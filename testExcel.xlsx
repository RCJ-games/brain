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at Simulator" sheetId="1" r:id="rId5"/>
    <sheet state="visible" name="ExportTable" sheetId="2" r:id="rId6"/>
    <sheet state="visible" name="BaseStats" sheetId="3" r:id="rId7"/>
    <sheet state="visible" name="Combat" sheetId="4" r:id="rId8"/>
    <sheet state="visible" name="Econ" sheetId="5" r:id="rId9"/>
  </sheets>
  <definedNames>
    <definedName name="BaseArmour">BaseStats!$D:$D</definedName>
    <definedName name="ArmourGain">BaseStats!$E:$E</definedName>
    <definedName name="basename">BaseStats!$A:$A</definedName>
    <definedName name="HP">Combat!$C:$C</definedName>
    <definedName name="Unit">Combat!$A:$A</definedName>
    <definedName name="Level">Combat!$B:$B</definedName>
    <definedName name="BaseHP">BaseStats!$B:$B</definedName>
    <definedName name="baseenrage">BaseStats!$J:$J</definedName>
    <definedName name="pengain">BaseStats!$I:$I</definedName>
    <definedName name="ArmourPen">Combat!$F:$F</definedName>
    <definedName name="HPGain">BaseStats!$C:$C</definedName>
    <definedName name="DMG">Combat!$E:$E</definedName>
    <definedName name="enragegain">BaseStats!$K:$K</definedName>
    <definedName name="damageGain">BaseStats!$G:$G</definedName>
    <definedName name="Enrage">Combat!$G:$G</definedName>
    <definedName name="Armour">Combat!$D:$D</definedName>
    <definedName name="BaseDMG">BaseStats!$F:$F</definedName>
    <definedName name="Basepen">BaseStats!$H:$H</definedName>
  </definedNames>
  <calcPr/>
</workbook>
</file>

<file path=xl/sharedStrings.xml><?xml version="1.0" encoding="utf-8"?>
<sst xmlns="http://schemas.openxmlformats.org/spreadsheetml/2006/main" count="1292" uniqueCount="52">
  <si>
    <t>Winner</t>
  </si>
  <si>
    <t>Select 1st Unit</t>
  </si>
  <si>
    <t>Set 1st unit level</t>
  </si>
  <si>
    <t>Berserker</t>
  </si>
  <si>
    <t>Select 2nd Unit</t>
  </si>
  <si>
    <t>Set 2nd unit level</t>
  </si>
  <si>
    <t>Archer</t>
  </si>
  <si>
    <t>Select a Unit from the drop down and set it's level. If no level is set the level will automatically default to 1</t>
  </si>
  <si>
    <t>UnitID</t>
  </si>
  <si>
    <t>FlavorName</t>
  </si>
  <si>
    <t>Tier</t>
  </si>
  <si>
    <t>Requirement1</t>
  </si>
  <si>
    <t>Requirement2</t>
  </si>
  <si>
    <t>Requirement3</t>
  </si>
  <si>
    <t>Cost_Gold</t>
  </si>
  <si>
    <t>Cost_Wood</t>
  </si>
  <si>
    <t>Cost_Metal</t>
  </si>
  <si>
    <t>TrainingTime</t>
  </si>
  <si>
    <t>HealCost_Gold</t>
  </si>
  <si>
    <t>HealCost_Wood</t>
  </si>
  <si>
    <t>HealCost_Metal</t>
  </si>
  <si>
    <t>HealTime</t>
  </si>
  <si>
    <t>CommandSize</t>
  </si>
  <si>
    <t>UnitType</t>
  </si>
  <si>
    <t>HitPoints</t>
  </si>
  <si>
    <t>Armor</t>
  </si>
  <si>
    <t>Damage</t>
  </si>
  <si>
    <t>ArmorPiercing</t>
  </si>
  <si>
    <t>Name</t>
  </si>
  <si>
    <t>HP</t>
  </si>
  <si>
    <t>Level Gains</t>
  </si>
  <si>
    <t>Armour</t>
  </si>
  <si>
    <t>DMG</t>
  </si>
  <si>
    <t>ArmourPen</t>
  </si>
  <si>
    <t>Enrage</t>
  </si>
  <si>
    <t>Knight</t>
  </si>
  <si>
    <t>Pikeman</t>
  </si>
  <si>
    <t>UnitA</t>
  </si>
  <si>
    <t>Level</t>
  </si>
  <si>
    <t>Round</t>
  </si>
  <si>
    <t>Hp Left</t>
  </si>
  <si>
    <t>effective DMG</t>
  </si>
  <si>
    <t>Unitb</t>
  </si>
  <si>
    <t>winner</t>
  </si>
  <si>
    <t>UnitB</t>
  </si>
  <si>
    <t>Time</t>
  </si>
  <si>
    <t>Factor Gold</t>
  </si>
  <si>
    <t>Factor Wood</t>
  </si>
  <si>
    <t>Factor Metal</t>
  </si>
  <si>
    <t>Factor Time</t>
  </si>
  <si>
    <t>Heal Multi</t>
  </si>
  <si>
    <t>power 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</si>
</sst>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center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ont="1">
      <alignment horizontal="center" vertical="bottom"/>
    </xf>
    <xf borderId="1" fillId="4" fontId="3" numFmtId="3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4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vertical="bottom"/>
    </xf>
    <xf borderId="0" fillId="0" fontId="4" numFmtId="3" xfId="0" applyAlignment="1" applyFont="1" applyNumberFormat="1">
      <alignment horizontal="center" vertical="bottom"/>
    </xf>
    <xf borderId="0" fillId="0" fontId="4" numFmtId="1" xfId="0" applyAlignment="1" applyFont="1" applyNumberFormat="1">
      <alignment horizontal="right" vertical="bottom"/>
    </xf>
    <xf borderId="0" fillId="0" fontId="5" numFmtId="1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3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9" xfId="0" applyAlignment="1" applyFont="1" applyNumberFormat="1">
      <alignment readingOrder="0"/>
    </xf>
    <xf borderId="0" fillId="5" fontId="1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3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6" fontId="1" numFmtId="1" xfId="0" applyFont="1" applyNumberFormat="1"/>
    <xf borderId="0" fillId="6" fontId="1" numFmtId="9" xfId="0" applyAlignment="1" applyFont="1" applyNumberFormat="1">
      <alignment readingOrder="0"/>
    </xf>
    <xf borderId="0" fillId="0" fontId="1" numFmtId="10" xfId="0" applyFont="1" applyNumberFormat="1"/>
    <xf borderId="0" fillId="0" fontId="1" numFmtId="3" xfId="0" applyFont="1" applyNumberFormat="1"/>
    <xf borderId="0" fillId="0" fontId="1" numFmtId="0" xfId="0" applyFont="1"/>
    <xf borderId="0" fillId="6" fontId="1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 t="s">
        <v>1</v>
      </c>
      <c r="E1" s="2" t="s">
        <v>2</v>
      </c>
    </row>
    <row r="2">
      <c r="A2" s="3" t="str">
        <f>Combat!P2</f>
        <v>Berserker</v>
      </c>
      <c r="D2" s="2" t="s">
        <v>3</v>
      </c>
      <c r="E2" s="2">
        <v>2.0</v>
      </c>
    </row>
    <row r="3">
      <c r="D3" s="2" t="s">
        <v>4</v>
      </c>
      <c r="E3" s="2" t="s">
        <v>5</v>
      </c>
    </row>
    <row r="4">
      <c r="D4" s="2" t="s">
        <v>6</v>
      </c>
    </row>
    <row r="7">
      <c r="A7" s="2" t="s">
        <v>7</v>
      </c>
    </row>
  </sheetData>
  <mergeCells count="2">
    <mergeCell ref="A1:C1"/>
    <mergeCell ref="A2:C2"/>
  </mergeCells>
  <dataValidations>
    <dataValidation type="list" allowBlank="1" showErrorMessage="1" sqref="D2 D4">
      <formula1>"Knight,Archer,Pikeman,Berserker"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</cols>
  <sheetData>
    <row r="1">
      <c r="A1" s="4" t="s">
        <v>8</v>
      </c>
      <c r="B1" s="4" t="s">
        <v>9</v>
      </c>
      <c r="C1" s="5" t="s">
        <v>10</v>
      </c>
      <c r="D1" s="4" t="s">
        <v>11</v>
      </c>
      <c r="E1" s="4" t="s">
        <v>12</v>
      </c>
      <c r="F1" s="4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4" t="s">
        <v>23</v>
      </c>
      <c r="Q1" s="6" t="s">
        <v>24</v>
      </c>
      <c r="R1" s="6" t="s">
        <v>25</v>
      </c>
      <c r="S1" s="6" t="s">
        <v>26</v>
      </c>
      <c r="T1" s="6" t="s">
        <v>27</v>
      </c>
    </row>
    <row r="2">
      <c r="A2" s="7" t="str">
        <f>Econ!A2&amp;if(Econ!B2&lt;10,"_0"&amp;Econ!B2,"_"&amp;Econ!B2)</f>
        <v>Archer_01</v>
      </c>
      <c r="B2" s="7" t="str">
        <f>"T"&amp;Econ!B2&amp;" "&amp;Econ!A2</f>
        <v>T1 Archer</v>
      </c>
      <c r="C2" s="8">
        <f>Econ!B2</f>
        <v>1</v>
      </c>
      <c r="D2" s="7"/>
      <c r="E2" s="9"/>
      <c r="F2" s="9"/>
      <c r="G2" s="10" t="str">
        <f>Econ!L2</f>
        <v/>
      </c>
      <c r="H2" s="11">
        <f>Econ!M2</f>
        <v>10</v>
      </c>
      <c r="I2" s="11" t="str">
        <f>Econ!N2</f>
        <v/>
      </c>
      <c r="J2" s="12">
        <f>Econ!O2</f>
        <v>25</v>
      </c>
      <c r="K2" s="13">
        <f>Econ!P2</f>
        <v>0</v>
      </c>
      <c r="L2" s="14">
        <f>Econ!Q2</f>
        <v>2.5</v>
      </c>
      <c r="M2" s="14">
        <f>Econ!R2</f>
        <v>0</v>
      </c>
      <c r="N2" s="13">
        <f>Econ!S2</f>
        <v>6.25</v>
      </c>
      <c r="O2" s="13">
        <f>Econ!T2</f>
        <v>1</v>
      </c>
      <c r="P2" s="7" t="str">
        <f>Econ!A2</f>
        <v>Archer</v>
      </c>
      <c r="Q2" s="10">
        <f>Econ!C2</f>
        <v>150</v>
      </c>
      <c r="R2" s="10">
        <f>Econ!E2</f>
        <v>5</v>
      </c>
      <c r="S2" s="10">
        <f>Econ!G2</f>
        <v>100</v>
      </c>
      <c r="T2" s="10">
        <f>Econ!I2</f>
        <v>10</v>
      </c>
    </row>
    <row r="3">
      <c r="A3" s="7" t="str">
        <f>Econ!A3&amp;if(Econ!B3&lt;10,"_0"&amp;Econ!B3,"_"&amp;Econ!B3)</f>
        <v>Archer_02</v>
      </c>
      <c r="B3" s="7" t="str">
        <f>"T"&amp;Econ!B3&amp;" "&amp;Econ!A3</f>
        <v>T2 Archer</v>
      </c>
      <c r="C3" s="8">
        <f>Econ!B3</f>
        <v>2</v>
      </c>
      <c r="D3" s="7"/>
      <c r="E3" s="9"/>
      <c r="F3" s="9"/>
      <c r="G3" s="10" t="str">
        <f>Econ!L3</f>
        <v/>
      </c>
      <c r="H3" s="11">
        <f>Econ!M3</f>
        <v>13</v>
      </c>
      <c r="I3" s="11" t="str">
        <f>Econ!N3</f>
        <v/>
      </c>
      <c r="J3" s="12">
        <f>Econ!O3</f>
        <v>27</v>
      </c>
      <c r="K3" s="13">
        <f>Econ!P3</f>
        <v>0</v>
      </c>
      <c r="L3" s="14">
        <f>Econ!Q3</f>
        <v>3.25</v>
      </c>
      <c r="M3" s="14">
        <f>Econ!R3</f>
        <v>0</v>
      </c>
      <c r="N3" s="13">
        <f>Econ!S3</f>
        <v>6.75</v>
      </c>
      <c r="O3" s="13">
        <f>Econ!T3</f>
        <v>1</v>
      </c>
      <c r="P3" s="7" t="str">
        <f>Econ!A3</f>
        <v>Archer</v>
      </c>
      <c r="Q3" s="10">
        <f>Econ!C3</f>
        <v>157.5</v>
      </c>
      <c r="R3" s="10">
        <f>Econ!E3</f>
        <v>5.1</v>
      </c>
      <c r="S3" s="10">
        <f>Econ!G3</f>
        <v>105</v>
      </c>
      <c r="T3" s="10">
        <f>Econ!I3</f>
        <v>10.2</v>
      </c>
    </row>
    <row r="4">
      <c r="A4" s="7" t="str">
        <f>Econ!A4&amp;if(Econ!B4&lt;10,"_0"&amp;Econ!B4,"_"&amp;Econ!B4)</f>
        <v>Archer_03</v>
      </c>
      <c r="B4" s="7" t="str">
        <f>"T"&amp;Econ!B4&amp;" "&amp;Econ!A4</f>
        <v>T3 Archer</v>
      </c>
      <c r="C4" s="8">
        <f>Econ!B4</f>
        <v>3</v>
      </c>
      <c r="D4" s="7"/>
      <c r="E4" s="9"/>
      <c r="F4" s="9"/>
      <c r="G4" s="10" t="str">
        <f>Econ!L4</f>
        <v/>
      </c>
      <c r="H4" s="11">
        <f>Econ!M4</f>
        <v>17</v>
      </c>
      <c r="I4" s="11" t="str">
        <f>Econ!N4</f>
        <v/>
      </c>
      <c r="J4" s="12">
        <f>Econ!O4</f>
        <v>30</v>
      </c>
      <c r="K4" s="13">
        <f>Econ!P4</f>
        <v>0</v>
      </c>
      <c r="L4" s="14">
        <f>Econ!Q4</f>
        <v>4.25</v>
      </c>
      <c r="M4" s="14">
        <f>Econ!R4</f>
        <v>0</v>
      </c>
      <c r="N4" s="13">
        <f>Econ!S4</f>
        <v>7.5</v>
      </c>
      <c r="O4" s="13">
        <f>Econ!T4</f>
        <v>1</v>
      </c>
      <c r="P4" s="7" t="str">
        <f>Econ!A4</f>
        <v>Archer</v>
      </c>
      <c r="Q4" s="10">
        <f>Econ!C4</f>
        <v>165.375</v>
      </c>
      <c r="R4" s="10">
        <f>Econ!E4</f>
        <v>5.202</v>
      </c>
      <c r="S4" s="10">
        <f>Econ!G4</f>
        <v>110.25</v>
      </c>
      <c r="T4" s="10">
        <f>Econ!I4</f>
        <v>10.404</v>
      </c>
    </row>
    <row r="5">
      <c r="A5" s="7" t="str">
        <f>Econ!A5&amp;if(Econ!B5&lt;10,"_0"&amp;Econ!B5,"_"&amp;Econ!B5)</f>
        <v>Archer_04</v>
      </c>
      <c r="B5" s="7" t="str">
        <f>"T"&amp;Econ!B5&amp;" "&amp;Econ!A5</f>
        <v>T4 Archer</v>
      </c>
      <c r="C5" s="8">
        <f>Econ!B5</f>
        <v>4</v>
      </c>
      <c r="D5" s="7"/>
      <c r="E5" s="9"/>
      <c r="F5" s="9"/>
      <c r="G5" s="10" t="str">
        <f>Econ!L5</f>
        <v/>
      </c>
      <c r="H5" s="11">
        <f>Econ!M5</f>
        <v>22</v>
      </c>
      <c r="I5" s="11" t="str">
        <f>Econ!N5</f>
        <v/>
      </c>
      <c r="J5" s="12">
        <f>Econ!O5</f>
        <v>33</v>
      </c>
      <c r="K5" s="13">
        <f>Econ!P5</f>
        <v>0</v>
      </c>
      <c r="L5" s="14">
        <f>Econ!Q5</f>
        <v>5.5</v>
      </c>
      <c r="M5" s="14">
        <f>Econ!R5</f>
        <v>0</v>
      </c>
      <c r="N5" s="13">
        <f>Econ!S5</f>
        <v>8.25</v>
      </c>
      <c r="O5" s="13">
        <f>Econ!T5</f>
        <v>1</v>
      </c>
      <c r="P5" s="7" t="str">
        <f>Econ!A5</f>
        <v>Archer</v>
      </c>
      <c r="Q5" s="10">
        <f>Econ!C5</f>
        <v>173.64375</v>
      </c>
      <c r="R5" s="10">
        <f>Econ!E5</f>
        <v>5.30604</v>
      </c>
      <c r="S5" s="10">
        <f>Econ!G5</f>
        <v>115.7625</v>
      </c>
      <c r="T5" s="10">
        <f>Econ!I5</f>
        <v>10.61208</v>
      </c>
    </row>
    <row r="6">
      <c r="A6" s="7" t="str">
        <f>Econ!A6&amp;if(Econ!B6&lt;10,"_0"&amp;Econ!B6,"_"&amp;Econ!B6)</f>
        <v>Archer_05</v>
      </c>
      <c r="B6" s="7" t="str">
        <f>"T"&amp;Econ!B6&amp;" "&amp;Econ!A6</f>
        <v>T5 Archer</v>
      </c>
      <c r="C6" s="8">
        <f>Econ!B6</f>
        <v>5</v>
      </c>
      <c r="D6" s="7"/>
      <c r="E6" s="9"/>
      <c r="F6" s="9"/>
      <c r="G6" s="10" t="str">
        <f>Econ!L6</f>
        <v/>
      </c>
      <c r="H6" s="11">
        <f>Econ!M6</f>
        <v>28</v>
      </c>
      <c r="I6" s="11" t="str">
        <f>Econ!N6</f>
        <v/>
      </c>
      <c r="J6" s="12">
        <f>Econ!O6</f>
        <v>36</v>
      </c>
      <c r="K6" s="13">
        <f>Econ!P6</f>
        <v>0</v>
      </c>
      <c r="L6" s="14">
        <f>Econ!Q6</f>
        <v>7</v>
      </c>
      <c r="M6" s="14">
        <f>Econ!R6</f>
        <v>0</v>
      </c>
      <c r="N6" s="13">
        <f>Econ!S6</f>
        <v>9</v>
      </c>
      <c r="O6" s="13">
        <f>Econ!T6</f>
        <v>2</v>
      </c>
      <c r="P6" s="7" t="str">
        <f>Econ!A6</f>
        <v>Archer</v>
      </c>
      <c r="Q6" s="10">
        <f>Econ!C6</f>
        <v>182.3259375</v>
      </c>
      <c r="R6" s="10">
        <f>Econ!E6</f>
        <v>5.4121608</v>
      </c>
      <c r="S6" s="10">
        <f>Econ!G6</f>
        <v>121.550625</v>
      </c>
      <c r="T6" s="10">
        <f>Econ!I6</f>
        <v>10.8243216</v>
      </c>
    </row>
    <row r="7">
      <c r="A7" s="7" t="str">
        <f>Econ!A7&amp;if(Econ!B7&lt;10,"_0"&amp;Econ!B7,"_"&amp;Econ!B7)</f>
        <v>Archer_06</v>
      </c>
      <c r="B7" s="7" t="str">
        <f>"T"&amp;Econ!B7&amp;" "&amp;Econ!A7</f>
        <v>T6 Archer</v>
      </c>
      <c r="C7" s="8">
        <f>Econ!B7</f>
        <v>6</v>
      </c>
      <c r="D7" s="7"/>
      <c r="E7" s="9"/>
      <c r="F7" s="9"/>
      <c r="G7" s="10" t="str">
        <f>Econ!L7</f>
        <v/>
      </c>
      <c r="H7" s="11">
        <f>Econ!M7</f>
        <v>35</v>
      </c>
      <c r="I7" s="11" t="str">
        <f>Econ!N7</f>
        <v/>
      </c>
      <c r="J7" s="12">
        <f>Econ!O7</f>
        <v>40</v>
      </c>
      <c r="K7" s="13">
        <f>Econ!P7</f>
        <v>0</v>
      </c>
      <c r="L7" s="14">
        <f>Econ!Q7</f>
        <v>8.75</v>
      </c>
      <c r="M7" s="14">
        <f>Econ!R7</f>
        <v>0</v>
      </c>
      <c r="N7" s="13">
        <f>Econ!S7</f>
        <v>10</v>
      </c>
      <c r="O7" s="13">
        <f>Econ!T7</f>
        <v>2</v>
      </c>
      <c r="P7" s="7" t="str">
        <f>Econ!A7</f>
        <v>Archer</v>
      </c>
      <c r="Q7" s="10">
        <f>Econ!C7</f>
        <v>191.4422344</v>
      </c>
      <c r="R7" s="10">
        <f>Econ!E7</f>
        <v>5.520404016</v>
      </c>
      <c r="S7" s="10">
        <f>Econ!G7</f>
        <v>127.6281563</v>
      </c>
      <c r="T7" s="10">
        <f>Econ!I7</f>
        <v>11.04080803</v>
      </c>
    </row>
    <row r="8">
      <c r="A8" s="7" t="str">
        <f>Econ!A8&amp;if(Econ!B8&lt;10,"_0"&amp;Econ!B8,"_"&amp;Econ!B8)</f>
        <v>Archer_07</v>
      </c>
      <c r="B8" s="7" t="str">
        <f>"T"&amp;Econ!B8&amp;" "&amp;Econ!A8</f>
        <v>T7 Archer</v>
      </c>
      <c r="C8" s="8">
        <f>Econ!B8</f>
        <v>7</v>
      </c>
      <c r="D8" s="7"/>
      <c r="E8" s="9"/>
      <c r="F8" s="9"/>
      <c r="G8" s="10" t="str">
        <f>Econ!L8</f>
        <v/>
      </c>
      <c r="H8" s="11">
        <f>Econ!M8</f>
        <v>43</v>
      </c>
      <c r="I8" s="11" t="str">
        <f>Econ!N8</f>
        <v/>
      </c>
      <c r="J8" s="12">
        <f>Econ!O8</f>
        <v>44</v>
      </c>
      <c r="K8" s="13">
        <f>Econ!P8</f>
        <v>0</v>
      </c>
      <c r="L8" s="14">
        <f>Econ!Q8</f>
        <v>10.75</v>
      </c>
      <c r="M8" s="14">
        <f>Econ!R8</f>
        <v>0</v>
      </c>
      <c r="N8" s="13">
        <f>Econ!S8</f>
        <v>11</v>
      </c>
      <c r="O8" s="13">
        <f>Econ!T8</f>
        <v>2</v>
      </c>
      <c r="P8" s="7" t="str">
        <f>Econ!A8</f>
        <v>Archer</v>
      </c>
      <c r="Q8" s="10">
        <f>Econ!C8</f>
        <v>201.0143461</v>
      </c>
      <c r="R8" s="10">
        <f>Econ!E8</f>
        <v>5.630812096</v>
      </c>
      <c r="S8" s="10">
        <f>Econ!G8</f>
        <v>134.0095641</v>
      </c>
      <c r="T8" s="10">
        <f>Econ!I8</f>
        <v>11.26162419</v>
      </c>
    </row>
    <row r="9">
      <c r="A9" s="7" t="str">
        <f>Econ!A9&amp;if(Econ!B9&lt;10,"_0"&amp;Econ!B9,"_"&amp;Econ!B9)</f>
        <v>Archer_08</v>
      </c>
      <c r="B9" s="7" t="str">
        <f>"T"&amp;Econ!B9&amp;" "&amp;Econ!A9</f>
        <v>T8 Archer</v>
      </c>
      <c r="C9" s="8">
        <f>Econ!B9</f>
        <v>8</v>
      </c>
      <c r="D9" s="7"/>
      <c r="E9" s="9"/>
      <c r="F9" s="9"/>
      <c r="G9" s="10" t="str">
        <f>Econ!L9</f>
        <v/>
      </c>
      <c r="H9" s="11">
        <f>Econ!M9</f>
        <v>51</v>
      </c>
      <c r="I9" s="11" t="str">
        <f>Econ!N9</f>
        <v/>
      </c>
      <c r="J9" s="12">
        <f>Econ!O9</f>
        <v>49</v>
      </c>
      <c r="K9" s="13">
        <f>Econ!P9</f>
        <v>0</v>
      </c>
      <c r="L9" s="14">
        <f>Econ!Q9</f>
        <v>12.75</v>
      </c>
      <c r="M9" s="14">
        <f>Econ!R9</f>
        <v>0</v>
      </c>
      <c r="N9" s="13">
        <f>Econ!S9</f>
        <v>12.25</v>
      </c>
      <c r="O9" s="13">
        <f>Econ!T9</f>
        <v>2</v>
      </c>
      <c r="P9" s="7" t="str">
        <f>Econ!A9</f>
        <v>Archer</v>
      </c>
      <c r="Q9" s="10">
        <f>Econ!C9</f>
        <v>211.0650634</v>
      </c>
      <c r="R9" s="10">
        <f>Econ!E9</f>
        <v>5.743428338</v>
      </c>
      <c r="S9" s="10">
        <f>Econ!G9</f>
        <v>140.7100423</v>
      </c>
      <c r="T9" s="10">
        <f>Econ!I9</f>
        <v>11.48685668</v>
      </c>
    </row>
    <row r="10">
      <c r="A10" s="7" t="str">
        <f>Econ!A10&amp;if(Econ!B10&lt;10,"_0"&amp;Econ!B10,"_"&amp;Econ!B10)</f>
        <v>Archer_09</v>
      </c>
      <c r="B10" s="7" t="str">
        <f>"T"&amp;Econ!B10&amp;" "&amp;Econ!A10</f>
        <v>T9 Archer</v>
      </c>
      <c r="C10" s="8">
        <f>Econ!B10</f>
        <v>9</v>
      </c>
      <c r="D10" s="7"/>
      <c r="E10" s="9"/>
      <c r="F10" s="9"/>
      <c r="G10" s="10" t="str">
        <f>Econ!L10</f>
        <v/>
      </c>
      <c r="H10" s="11">
        <f>Econ!M10</f>
        <v>60</v>
      </c>
      <c r="I10" s="11" t="str">
        <f>Econ!N10</f>
        <v/>
      </c>
      <c r="J10" s="12">
        <f>Econ!O10</f>
        <v>54</v>
      </c>
      <c r="K10" s="13">
        <f>Econ!P10</f>
        <v>0</v>
      </c>
      <c r="L10" s="14">
        <f>Econ!Q10</f>
        <v>15</v>
      </c>
      <c r="M10" s="14">
        <f>Econ!R10</f>
        <v>0</v>
      </c>
      <c r="N10" s="13">
        <f>Econ!S10</f>
        <v>13.5</v>
      </c>
      <c r="O10" s="13">
        <f>Econ!T10</f>
        <v>2</v>
      </c>
      <c r="P10" s="7" t="str">
        <f>Econ!A10</f>
        <v>Archer</v>
      </c>
      <c r="Q10" s="10">
        <f>Econ!C10</f>
        <v>221.6183166</v>
      </c>
      <c r="R10" s="10">
        <f>Econ!E10</f>
        <v>5.858296905</v>
      </c>
      <c r="S10" s="10">
        <f>Econ!G10</f>
        <v>147.7455444</v>
      </c>
      <c r="T10" s="10">
        <f>Econ!I10</f>
        <v>11.71659381</v>
      </c>
    </row>
    <row r="11">
      <c r="A11" s="7" t="str">
        <f>Econ!A11&amp;if(Econ!B11&lt;10,"_0"&amp;Econ!B11,"_"&amp;Econ!B11)</f>
        <v>Archer_10</v>
      </c>
      <c r="B11" s="7" t="str">
        <f>"T"&amp;Econ!B11&amp;" "&amp;Econ!A11</f>
        <v>T10 Archer</v>
      </c>
      <c r="C11" s="8">
        <f>Econ!B11</f>
        <v>10</v>
      </c>
      <c r="D11" s="7"/>
      <c r="E11" s="9"/>
      <c r="F11" s="9"/>
      <c r="G11" s="10" t="str">
        <f>Econ!L11</f>
        <v/>
      </c>
      <c r="H11" s="11">
        <f>Econ!M11</f>
        <v>70</v>
      </c>
      <c r="I11" s="11" t="str">
        <f>Econ!N11</f>
        <v/>
      </c>
      <c r="J11" s="12">
        <f>Econ!O11</f>
        <v>59</v>
      </c>
      <c r="K11" s="13">
        <f>Econ!P11</f>
        <v>0</v>
      </c>
      <c r="L11" s="14">
        <f>Econ!Q11</f>
        <v>17.5</v>
      </c>
      <c r="M11" s="14">
        <f>Econ!R11</f>
        <v>0</v>
      </c>
      <c r="N11" s="13">
        <f>Econ!S11</f>
        <v>14.75</v>
      </c>
      <c r="O11" s="13">
        <f>Econ!T11</f>
        <v>2</v>
      </c>
      <c r="P11" s="7" t="str">
        <f>Econ!A11</f>
        <v>Archer</v>
      </c>
      <c r="Q11" s="10">
        <f>Econ!C11</f>
        <v>232.6992324</v>
      </c>
      <c r="R11" s="10">
        <f>Econ!E11</f>
        <v>5.975462843</v>
      </c>
      <c r="S11" s="10">
        <f>Econ!G11</f>
        <v>155.1328216</v>
      </c>
      <c r="T11" s="10">
        <f>Econ!I11</f>
        <v>11.95092569</v>
      </c>
    </row>
    <row r="12">
      <c r="A12" s="7" t="str">
        <f>Econ!A12&amp;if(Econ!B12&lt;10,"_0"&amp;Econ!B12,"_"&amp;Econ!B12)</f>
        <v>Archer_11</v>
      </c>
      <c r="B12" s="7" t="str">
        <f>"T"&amp;Econ!B12&amp;" "&amp;Econ!A12</f>
        <v>T11 Archer</v>
      </c>
      <c r="C12" s="8">
        <f>Econ!B12</f>
        <v>11</v>
      </c>
      <c r="D12" s="7"/>
      <c r="E12" s="9"/>
      <c r="F12" s="9"/>
      <c r="G12" s="10" t="str">
        <f>Econ!L12</f>
        <v/>
      </c>
      <c r="H12" s="11">
        <f>Econ!M12</f>
        <v>80</v>
      </c>
      <c r="I12" s="11" t="str">
        <f>Econ!N12</f>
        <v/>
      </c>
      <c r="J12" s="12">
        <f>Econ!O12</f>
        <v>65</v>
      </c>
      <c r="K12" s="13">
        <f>Econ!P12</f>
        <v>0</v>
      </c>
      <c r="L12" s="14">
        <f>Econ!Q12</f>
        <v>20</v>
      </c>
      <c r="M12" s="14">
        <f>Econ!R12</f>
        <v>0</v>
      </c>
      <c r="N12" s="13">
        <f>Econ!S12</f>
        <v>16.25</v>
      </c>
      <c r="O12" s="13">
        <f>Econ!T12</f>
        <v>2</v>
      </c>
      <c r="P12" s="7" t="str">
        <f>Econ!A12</f>
        <v>Archer</v>
      </c>
      <c r="Q12" s="10">
        <f>Econ!C12</f>
        <v>244.334194</v>
      </c>
      <c r="R12" s="10">
        <f>Econ!E12</f>
        <v>6.0949721</v>
      </c>
      <c r="S12" s="10">
        <f>Econ!G12</f>
        <v>162.8894627</v>
      </c>
      <c r="T12" s="10">
        <f>Econ!I12</f>
        <v>12.1899442</v>
      </c>
    </row>
    <row r="13">
      <c r="A13" s="7" t="str">
        <f>Econ!A13&amp;if(Econ!B13&lt;10,"_0"&amp;Econ!B13,"_"&amp;Econ!B13)</f>
        <v>Archer_12</v>
      </c>
      <c r="B13" s="7" t="str">
        <f>"T"&amp;Econ!B13&amp;" "&amp;Econ!A13</f>
        <v>T12 Archer</v>
      </c>
      <c r="C13" s="8">
        <f>Econ!B13</f>
        <v>12</v>
      </c>
      <c r="D13" s="7"/>
      <c r="E13" s="9"/>
      <c r="F13" s="9"/>
      <c r="G13" s="10" t="str">
        <f>Econ!L13</f>
        <v/>
      </c>
      <c r="H13" s="11">
        <f>Econ!M13</f>
        <v>91</v>
      </c>
      <c r="I13" s="11" t="str">
        <f>Econ!N13</f>
        <v/>
      </c>
      <c r="J13" s="12">
        <f>Econ!O13</f>
        <v>71</v>
      </c>
      <c r="K13" s="13">
        <f>Econ!P13</f>
        <v>0</v>
      </c>
      <c r="L13" s="14">
        <f>Econ!Q13</f>
        <v>22.75</v>
      </c>
      <c r="M13" s="14">
        <f>Econ!R13</f>
        <v>0</v>
      </c>
      <c r="N13" s="13">
        <f>Econ!S13</f>
        <v>17.75</v>
      </c>
      <c r="O13" s="13">
        <f>Econ!T13</f>
        <v>2</v>
      </c>
      <c r="P13" s="7" t="str">
        <f>Econ!A13</f>
        <v>Archer</v>
      </c>
      <c r="Q13" s="10">
        <f>Econ!C13</f>
        <v>256.5509037</v>
      </c>
      <c r="R13" s="10">
        <f>Econ!E13</f>
        <v>6.216871542</v>
      </c>
      <c r="S13" s="10">
        <f>Econ!G13</f>
        <v>171.0339358</v>
      </c>
      <c r="T13" s="10">
        <f>Econ!I13</f>
        <v>12.43374308</v>
      </c>
    </row>
    <row r="14">
      <c r="A14" s="7" t="str">
        <f>Econ!A14&amp;if(Econ!B14&lt;10,"_0"&amp;Econ!B14,"_"&amp;Econ!B14)</f>
        <v>Archer_13</v>
      </c>
      <c r="B14" s="7" t="str">
        <f>"T"&amp;Econ!B14&amp;" "&amp;Econ!A14</f>
        <v>T13 Archer</v>
      </c>
      <c r="C14" s="8">
        <f>Econ!B14</f>
        <v>13</v>
      </c>
      <c r="D14" s="7"/>
      <c r="E14" s="9"/>
      <c r="F14" s="9"/>
      <c r="G14" s="10" t="str">
        <f>Econ!L14</f>
        <v/>
      </c>
      <c r="H14" s="11">
        <f>Econ!M14</f>
        <v>103</v>
      </c>
      <c r="I14" s="11" t="str">
        <f>Econ!N14</f>
        <v/>
      </c>
      <c r="J14" s="12">
        <f>Econ!O14</f>
        <v>77</v>
      </c>
      <c r="K14" s="13">
        <f>Econ!P14</f>
        <v>0</v>
      </c>
      <c r="L14" s="14">
        <f>Econ!Q14</f>
        <v>25.75</v>
      </c>
      <c r="M14" s="14">
        <f>Econ!R14</f>
        <v>0</v>
      </c>
      <c r="N14" s="13">
        <f>Econ!S14</f>
        <v>19.25</v>
      </c>
      <c r="O14" s="13">
        <f>Econ!T14</f>
        <v>2</v>
      </c>
      <c r="P14" s="7" t="str">
        <f>Econ!A14</f>
        <v>Archer</v>
      </c>
      <c r="Q14" s="10">
        <f>Econ!C14</f>
        <v>269.3784489</v>
      </c>
      <c r="R14" s="10">
        <f>Econ!E14</f>
        <v>6.341208973</v>
      </c>
      <c r="S14" s="10">
        <f>Econ!G14</f>
        <v>179.5856326</v>
      </c>
      <c r="T14" s="10">
        <f>Econ!I14</f>
        <v>12.68241795</v>
      </c>
    </row>
    <row r="15">
      <c r="A15" s="7" t="str">
        <f>Econ!A15&amp;if(Econ!B15&lt;10,"_0"&amp;Econ!B15,"_"&amp;Econ!B15)</f>
        <v>Archer_14</v>
      </c>
      <c r="B15" s="7" t="str">
        <f>"T"&amp;Econ!B15&amp;" "&amp;Econ!A15</f>
        <v>T14 Archer</v>
      </c>
      <c r="C15" s="8">
        <f>Econ!B15</f>
        <v>14</v>
      </c>
      <c r="D15" s="7"/>
      <c r="E15" s="9"/>
      <c r="F15" s="9"/>
      <c r="G15" s="10" t="str">
        <f>Econ!L15</f>
        <v/>
      </c>
      <c r="H15" s="11">
        <f>Econ!M15</f>
        <v>115</v>
      </c>
      <c r="I15" s="11" t="str">
        <f>Econ!N15</f>
        <v/>
      </c>
      <c r="J15" s="12">
        <f>Econ!O15</f>
        <v>84</v>
      </c>
      <c r="K15" s="13">
        <f>Econ!P15</f>
        <v>0</v>
      </c>
      <c r="L15" s="14">
        <f>Econ!Q15</f>
        <v>28.75</v>
      </c>
      <c r="M15" s="14">
        <f>Econ!R15</f>
        <v>0</v>
      </c>
      <c r="N15" s="13">
        <f>Econ!S15</f>
        <v>21</v>
      </c>
      <c r="O15" s="13">
        <f>Econ!T15</f>
        <v>2</v>
      </c>
      <c r="P15" s="7" t="str">
        <f>Econ!A15</f>
        <v>Archer</v>
      </c>
      <c r="Q15" s="10">
        <f>Econ!C15</f>
        <v>282.8473713</v>
      </c>
      <c r="R15" s="10">
        <f>Econ!E15</f>
        <v>6.468033152</v>
      </c>
      <c r="S15" s="10">
        <f>Econ!G15</f>
        <v>188.5649142</v>
      </c>
      <c r="T15" s="10">
        <f>Econ!I15</f>
        <v>12.9360663</v>
      </c>
    </row>
    <row r="16">
      <c r="A16" s="7" t="str">
        <f>Econ!A16&amp;if(Econ!B16&lt;10,"_0"&amp;Econ!B16,"_"&amp;Econ!B16)</f>
        <v>Archer_15</v>
      </c>
      <c r="B16" s="7" t="str">
        <f>"T"&amp;Econ!B16&amp;" "&amp;Econ!A16</f>
        <v>T15 Archer</v>
      </c>
      <c r="C16" s="8">
        <f>Econ!B16</f>
        <v>15</v>
      </c>
      <c r="D16" s="7"/>
      <c r="E16" s="9"/>
      <c r="F16" s="9"/>
      <c r="G16" s="10" t="str">
        <f>Econ!L16</f>
        <v/>
      </c>
      <c r="H16" s="11">
        <f>Econ!M16</f>
        <v>128</v>
      </c>
      <c r="I16" s="11" t="str">
        <f>Econ!N16</f>
        <v/>
      </c>
      <c r="J16" s="12">
        <f>Econ!O16</f>
        <v>91</v>
      </c>
      <c r="K16" s="13">
        <f>Econ!P16</f>
        <v>0</v>
      </c>
      <c r="L16" s="14">
        <f>Econ!Q16</f>
        <v>32</v>
      </c>
      <c r="M16" s="14">
        <f>Econ!R16</f>
        <v>0</v>
      </c>
      <c r="N16" s="13">
        <f>Econ!S16</f>
        <v>22.75</v>
      </c>
      <c r="O16" s="13">
        <f>Econ!T16</f>
        <v>3</v>
      </c>
      <c r="P16" s="7" t="str">
        <f>Econ!A16</f>
        <v>Archer</v>
      </c>
      <c r="Q16" s="10">
        <f>Econ!C16</f>
        <v>296.9897399</v>
      </c>
      <c r="R16" s="10">
        <f>Econ!E16</f>
        <v>6.597393815</v>
      </c>
      <c r="S16" s="10">
        <f>Econ!G16</f>
        <v>197.9931599</v>
      </c>
      <c r="T16" s="10">
        <f>Econ!I16</f>
        <v>13.19478763</v>
      </c>
    </row>
    <row r="17">
      <c r="A17" s="7" t="str">
        <f>Econ!A17&amp;if(Econ!B17&lt;10,"_0"&amp;Econ!B17,"_"&amp;Econ!B17)</f>
        <v>Archer_16</v>
      </c>
      <c r="B17" s="7" t="str">
        <f>"T"&amp;Econ!B17&amp;" "&amp;Econ!A17</f>
        <v>T16 Archer</v>
      </c>
      <c r="C17" s="8">
        <f>Econ!B17</f>
        <v>16</v>
      </c>
      <c r="D17" s="7"/>
      <c r="E17" s="9"/>
      <c r="F17" s="9"/>
      <c r="G17" s="10" t="str">
        <f>Econ!L17</f>
        <v/>
      </c>
      <c r="H17" s="11">
        <f>Econ!M17</f>
        <v>142</v>
      </c>
      <c r="I17" s="11" t="str">
        <f>Econ!N17</f>
        <v/>
      </c>
      <c r="J17" s="12">
        <f>Econ!O17</f>
        <v>98</v>
      </c>
      <c r="K17" s="13">
        <f>Econ!P17</f>
        <v>0</v>
      </c>
      <c r="L17" s="14">
        <f>Econ!Q17</f>
        <v>35.5</v>
      </c>
      <c r="M17" s="14">
        <f>Econ!R17</f>
        <v>0</v>
      </c>
      <c r="N17" s="13">
        <f>Econ!S17</f>
        <v>24.5</v>
      </c>
      <c r="O17" s="13">
        <f>Econ!T17</f>
        <v>3</v>
      </c>
      <c r="P17" s="7" t="str">
        <f>Econ!A17</f>
        <v>Archer</v>
      </c>
      <c r="Q17" s="10">
        <f>Econ!C17</f>
        <v>311.8392269</v>
      </c>
      <c r="R17" s="10">
        <f>Econ!E17</f>
        <v>6.729341692</v>
      </c>
      <c r="S17" s="10">
        <f>Econ!G17</f>
        <v>207.8928179</v>
      </c>
      <c r="T17" s="10">
        <f>Econ!I17</f>
        <v>13.45868338</v>
      </c>
    </row>
    <row r="18">
      <c r="A18" s="7" t="str">
        <f>Econ!A18&amp;if(Econ!B18&lt;10,"_0"&amp;Econ!B18,"_"&amp;Econ!B18)</f>
        <v>Archer_17</v>
      </c>
      <c r="B18" s="7" t="str">
        <f>"T"&amp;Econ!B18&amp;" "&amp;Econ!A18</f>
        <v>T17 Archer</v>
      </c>
      <c r="C18" s="8">
        <f>Econ!B18</f>
        <v>17</v>
      </c>
      <c r="D18" s="7"/>
      <c r="E18" s="9"/>
      <c r="F18" s="9"/>
      <c r="G18" s="10" t="str">
        <f>Econ!L18</f>
        <v/>
      </c>
      <c r="H18" s="11">
        <f>Econ!M18</f>
        <v>156</v>
      </c>
      <c r="I18" s="11" t="str">
        <f>Econ!N18</f>
        <v/>
      </c>
      <c r="J18" s="12">
        <f>Econ!O18</f>
        <v>106</v>
      </c>
      <c r="K18" s="13">
        <f>Econ!P18</f>
        <v>0</v>
      </c>
      <c r="L18" s="14">
        <f>Econ!Q18</f>
        <v>39</v>
      </c>
      <c r="M18" s="14">
        <f>Econ!R18</f>
        <v>0</v>
      </c>
      <c r="N18" s="13">
        <f>Econ!S18</f>
        <v>26.5</v>
      </c>
      <c r="O18" s="13">
        <f>Econ!T18</f>
        <v>3</v>
      </c>
      <c r="P18" s="7" t="str">
        <f>Econ!A18</f>
        <v>Archer</v>
      </c>
      <c r="Q18" s="10">
        <f>Econ!C18</f>
        <v>327.4311883</v>
      </c>
      <c r="R18" s="10">
        <f>Econ!E18</f>
        <v>6.863928525</v>
      </c>
      <c r="S18" s="10">
        <f>Econ!G18</f>
        <v>218.2874588</v>
      </c>
      <c r="T18" s="10">
        <f>Econ!I18</f>
        <v>13.72785705</v>
      </c>
    </row>
    <row r="19">
      <c r="A19" s="7" t="str">
        <f>Econ!A19&amp;if(Econ!B19&lt;10,"_0"&amp;Econ!B19,"_"&amp;Econ!B19)</f>
        <v>Archer_18</v>
      </c>
      <c r="B19" s="7" t="str">
        <f>"T"&amp;Econ!B19&amp;" "&amp;Econ!A19</f>
        <v>T18 Archer</v>
      </c>
      <c r="C19" s="8">
        <f>Econ!B19</f>
        <v>18</v>
      </c>
      <c r="D19" s="7"/>
      <c r="E19" s="9"/>
      <c r="F19" s="9"/>
      <c r="G19" s="10" t="str">
        <f>Econ!L19</f>
        <v/>
      </c>
      <c r="H19" s="11">
        <f>Econ!M19</f>
        <v>171</v>
      </c>
      <c r="I19" s="11" t="str">
        <f>Econ!N19</f>
        <v/>
      </c>
      <c r="J19" s="12">
        <f>Econ!O19</f>
        <v>114</v>
      </c>
      <c r="K19" s="13">
        <f>Econ!P19</f>
        <v>0</v>
      </c>
      <c r="L19" s="14">
        <f>Econ!Q19</f>
        <v>42.75</v>
      </c>
      <c r="M19" s="14">
        <f>Econ!R19</f>
        <v>0</v>
      </c>
      <c r="N19" s="13">
        <f>Econ!S19</f>
        <v>28.5</v>
      </c>
      <c r="O19" s="13">
        <f>Econ!T19</f>
        <v>3</v>
      </c>
      <c r="P19" s="7" t="str">
        <f>Econ!A19</f>
        <v>Archer</v>
      </c>
      <c r="Q19" s="10">
        <f>Econ!C19</f>
        <v>343.8027477</v>
      </c>
      <c r="R19" s="10">
        <f>Econ!E19</f>
        <v>7.001207096</v>
      </c>
      <c r="S19" s="10">
        <f>Econ!G19</f>
        <v>229.2018318</v>
      </c>
      <c r="T19" s="10">
        <f>Econ!I19</f>
        <v>14.00241419</v>
      </c>
    </row>
    <row r="20">
      <c r="A20" s="7" t="str">
        <f>Econ!A20&amp;if(Econ!B20&lt;10,"_0"&amp;Econ!B20,"_"&amp;Econ!B20)</f>
        <v>Archer_19</v>
      </c>
      <c r="B20" s="7" t="str">
        <f>"T"&amp;Econ!B20&amp;" "&amp;Econ!A20</f>
        <v>T19 Archer</v>
      </c>
      <c r="C20" s="8">
        <f>Econ!B20</f>
        <v>19</v>
      </c>
      <c r="D20" s="7"/>
      <c r="E20" s="9"/>
      <c r="F20" s="9"/>
      <c r="G20" s="10" t="str">
        <f>Econ!L20</f>
        <v/>
      </c>
      <c r="H20" s="11">
        <f>Econ!M20</f>
        <v>186</v>
      </c>
      <c r="I20" s="11" t="str">
        <f>Econ!N20</f>
        <v/>
      </c>
      <c r="J20" s="12">
        <f>Econ!O20</f>
        <v>122</v>
      </c>
      <c r="K20" s="13">
        <f>Econ!P20</f>
        <v>0</v>
      </c>
      <c r="L20" s="14">
        <f>Econ!Q20</f>
        <v>46.5</v>
      </c>
      <c r="M20" s="14">
        <f>Econ!R20</f>
        <v>0</v>
      </c>
      <c r="N20" s="13">
        <f>Econ!S20</f>
        <v>30.5</v>
      </c>
      <c r="O20" s="13">
        <f>Econ!T20</f>
        <v>3</v>
      </c>
      <c r="P20" s="7" t="str">
        <f>Econ!A20</f>
        <v>Archer</v>
      </c>
      <c r="Q20" s="10">
        <f>Econ!C20</f>
        <v>360.9928851</v>
      </c>
      <c r="R20" s="10">
        <f>Econ!E20</f>
        <v>7.141231238</v>
      </c>
      <c r="S20" s="10">
        <f>Econ!G20</f>
        <v>240.6619234</v>
      </c>
      <c r="T20" s="10">
        <f>Econ!I20</f>
        <v>14.28246248</v>
      </c>
    </row>
    <row r="21">
      <c r="A21" s="7" t="str">
        <f>Econ!A21&amp;if(Econ!B21&lt;10,"_0"&amp;Econ!B21,"_"&amp;Econ!B21)</f>
        <v>Archer_20</v>
      </c>
      <c r="B21" s="7" t="str">
        <f>"T"&amp;Econ!B21&amp;" "&amp;Econ!A21</f>
        <v>T20 Archer</v>
      </c>
      <c r="C21" s="8">
        <f>Econ!B21</f>
        <v>20</v>
      </c>
      <c r="D21" s="7"/>
      <c r="E21" s="9"/>
      <c r="F21" s="9"/>
      <c r="G21" s="10" t="str">
        <f>Econ!L21</f>
        <v/>
      </c>
      <c r="H21" s="11">
        <f>Econ!M21</f>
        <v>202</v>
      </c>
      <c r="I21" s="11" t="str">
        <f>Econ!N21</f>
        <v/>
      </c>
      <c r="J21" s="12">
        <f>Econ!O21</f>
        <v>130</v>
      </c>
      <c r="K21" s="13">
        <f>Econ!P21</f>
        <v>0</v>
      </c>
      <c r="L21" s="14">
        <f>Econ!Q21</f>
        <v>50.5</v>
      </c>
      <c r="M21" s="14">
        <f>Econ!R21</f>
        <v>0</v>
      </c>
      <c r="N21" s="13">
        <f>Econ!S21</f>
        <v>32.5</v>
      </c>
      <c r="O21" s="13">
        <f>Econ!T21</f>
        <v>3</v>
      </c>
      <c r="P21" s="7" t="str">
        <f>Econ!A21</f>
        <v>Archer</v>
      </c>
      <c r="Q21" s="10">
        <f>Econ!C21</f>
        <v>379.0425293</v>
      </c>
      <c r="R21" s="10">
        <f>Econ!E21</f>
        <v>7.284055863</v>
      </c>
      <c r="S21" s="10">
        <f>Econ!G21</f>
        <v>252.6950195</v>
      </c>
      <c r="T21" s="10">
        <f>Econ!I21</f>
        <v>14.56811173</v>
      </c>
    </row>
    <row r="22">
      <c r="A22" s="7" t="str">
        <f>Econ!A22&amp;if(Econ!B22&lt;10,"_0"&amp;Econ!B22,"_"&amp;Econ!B22)</f>
        <v>Archer_21</v>
      </c>
      <c r="B22" s="7" t="str">
        <f>"T"&amp;Econ!B22&amp;" "&amp;Econ!A22</f>
        <v>T21 Archer</v>
      </c>
      <c r="C22" s="8">
        <f>Econ!B22</f>
        <v>21</v>
      </c>
      <c r="D22" s="7"/>
      <c r="E22" s="9"/>
      <c r="F22" s="9"/>
      <c r="G22" s="10" t="str">
        <f>Econ!L22</f>
        <v/>
      </c>
      <c r="H22" s="11">
        <f>Econ!M22</f>
        <v>218</v>
      </c>
      <c r="I22" s="11" t="str">
        <f>Econ!N22</f>
        <v/>
      </c>
      <c r="J22" s="12">
        <f>Econ!O22</f>
        <v>139</v>
      </c>
      <c r="K22" s="13">
        <f>Econ!P22</f>
        <v>0</v>
      </c>
      <c r="L22" s="14">
        <f>Econ!Q22</f>
        <v>54.5</v>
      </c>
      <c r="M22" s="14">
        <f>Econ!R22</f>
        <v>0</v>
      </c>
      <c r="N22" s="13">
        <f>Econ!S22</f>
        <v>34.75</v>
      </c>
      <c r="O22" s="13">
        <f>Econ!T22</f>
        <v>3</v>
      </c>
      <c r="P22" s="7" t="str">
        <f>Econ!A22</f>
        <v>Archer</v>
      </c>
      <c r="Q22" s="10">
        <f>Econ!C22</f>
        <v>397.9946558</v>
      </c>
      <c r="R22" s="10">
        <f>Econ!E22</f>
        <v>7.42973698</v>
      </c>
      <c r="S22" s="10">
        <f>Econ!G22</f>
        <v>265.3297705</v>
      </c>
      <c r="T22" s="10">
        <f>Econ!I22</f>
        <v>14.85947396</v>
      </c>
    </row>
    <row r="23">
      <c r="A23" s="7" t="str">
        <f>Econ!A23&amp;if(Econ!B23&lt;10,"_0"&amp;Econ!B23,"_"&amp;Econ!B23)</f>
        <v>Archer_22</v>
      </c>
      <c r="B23" s="7" t="str">
        <f>"T"&amp;Econ!B23&amp;" "&amp;Econ!A23</f>
        <v>T22 Archer</v>
      </c>
      <c r="C23" s="8">
        <f>Econ!B23</f>
        <v>22</v>
      </c>
      <c r="D23" s="7"/>
      <c r="E23" s="9"/>
      <c r="F23" s="9"/>
      <c r="G23" s="10" t="str">
        <f>Econ!L23</f>
        <v/>
      </c>
      <c r="H23" s="11">
        <f>Econ!M23</f>
        <v>235</v>
      </c>
      <c r="I23" s="11" t="str">
        <f>Econ!N23</f>
        <v/>
      </c>
      <c r="J23" s="12">
        <f>Econ!O23</f>
        <v>148</v>
      </c>
      <c r="K23" s="13">
        <f>Econ!P23</f>
        <v>0</v>
      </c>
      <c r="L23" s="14">
        <f>Econ!Q23</f>
        <v>58.75</v>
      </c>
      <c r="M23" s="14">
        <f>Econ!R23</f>
        <v>0</v>
      </c>
      <c r="N23" s="13">
        <f>Econ!S23</f>
        <v>37</v>
      </c>
      <c r="O23" s="13">
        <f>Econ!T23</f>
        <v>3</v>
      </c>
      <c r="P23" s="7" t="str">
        <f>Econ!A23</f>
        <v>Archer</v>
      </c>
      <c r="Q23" s="10">
        <f>Econ!C23</f>
        <v>417.8943886</v>
      </c>
      <c r="R23" s="10">
        <f>Econ!E23</f>
        <v>7.578331719</v>
      </c>
      <c r="S23" s="10">
        <f>Econ!G23</f>
        <v>278.596259</v>
      </c>
      <c r="T23" s="10">
        <f>Econ!I23</f>
        <v>15.15666344</v>
      </c>
    </row>
    <row r="24">
      <c r="A24" s="7" t="str">
        <f>Econ!A24&amp;if(Econ!B24&lt;10,"_0"&amp;Econ!B24,"_"&amp;Econ!B24)</f>
        <v>Archer_23</v>
      </c>
      <c r="B24" s="7" t="str">
        <f>"T"&amp;Econ!B24&amp;" "&amp;Econ!A24</f>
        <v>T23 Archer</v>
      </c>
      <c r="C24" s="8">
        <f>Econ!B24</f>
        <v>23</v>
      </c>
      <c r="D24" s="7"/>
      <c r="E24" s="9"/>
      <c r="F24" s="9"/>
      <c r="G24" s="10" t="str">
        <f>Econ!L24</f>
        <v/>
      </c>
      <c r="H24" s="11">
        <f>Econ!M24</f>
        <v>252</v>
      </c>
      <c r="I24" s="11" t="str">
        <f>Econ!N24</f>
        <v/>
      </c>
      <c r="J24" s="12">
        <f>Econ!O24</f>
        <v>157</v>
      </c>
      <c r="K24" s="13">
        <f>Econ!P24</f>
        <v>0</v>
      </c>
      <c r="L24" s="14">
        <f>Econ!Q24</f>
        <v>63</v>
      </c>
      <c r="M24" s="14">
        <f>Econ!R24</f>
        <v>0</v>
      </c>
      <c r="N24" s="13">
        <f>Econ!S24</f>
        <v>39.25</v>
      </c>
      <c r="O24" s="13">
        <f>Econ!T24</f>
        <v>3</v>
      </c>
      <c r="P24" s="7" t="str">
        <f>Econ!A24</f>
        <v>Archer</v>
      </c>
      <c r="Q24" s="10">
        <f>Econ!C24</f>
        <v>438.789108</v>
      </c>
      <c r="R24" s="10">
        <f>Econ!E24</f>
        <v>7.729898354</v>
      </c>
      <c r="S24" s="10">
        <f>Econ!G24</f>
        <v>292.526072</v>
      </c>
      <c r="T24" s="10">
        <f>Econ!I24</f>
        <v>15.45979671</v>
      </c>
    </row>
    <row r="25">
      <c r="A25" s="7" t="str">
        <f>Econ!A25&amp;if(Econ!B25&lt;10,"_0"&amp;Econ!B25,"_"&amp;Econ!B25)</f>
        <v>Archer_24</v>
      </c>
      <c r="B25" s="7" t="str">
        <f>"T"&amp;Econ!B25&amp;" "&amp;Econ!A25</f>
        <v>T24 Archer</v>
      </c>
      <c r="C25" s="8">
        <f>Econ!B25</f>
        <v>24</v>
      </c>
      <c r="D25" s="7"/>
      <c r="E25" s="9"/>
      <c r="F25" s="9"/>
      <c r="G25" s="10" t="str">
        <f>Econ!L25</f>
        <v/>
      </c>
      <c r="H25" s="11">
        <f>Econ!M25</f>
        <v>270</v>
      </c>
      <c r="I25" s="11" t="str">
        <f>Econ!N25</f>
        <v/>
      </c>
      <c r="J25" s="12">
        <f>Econ!O25</f>
        <v>166</v>
      </c>
      <c r="K25" s="13">
        <f>Econ!P25</f>
        <v>0</v>
      </c>
      <c r="L25" s="14">
        <f>Econ!Q25</f>
        <v>67.5</v>
      </c>
      <c r="M25" s="14">
        <f>Econ!R25</f>
        <v>0</v>
      </c>
      <c r="N25" s="13">
        <f>Econ!S25</f>
        <v>41.5</v>
      </c>
      <c r="O25" s="13">
        <f>Econ!T25</f>
        <v>3</v>
      </c>
      <c r="P25" s="7" t="str">
        <f>Econ!A25</f>
        <v>Archer</v>
      </c>
      <c r="Q25" s="10">
        <f>Econ!C25</f>
        <v>460.7285634</v>
      </c>
      <c r="R25" s="10">
        <f>Econ!E25</f>
        <v>7.884496321</v>
      </c>
      <c r="S25" s="10">
        <f>Econ!G25</f>
        <v>307.1523756</v>
      </c>
      <c r="T25" s="10">
        <f>Econ!I25</f>
        <v>15.76899264</v>
      </c>
    </row>
    <row r="26">
      <c r="A26" s="7" t="str">
        <f>Econ!A26&amp;if(Econ!B26&lt;10,"_0"&amp;Econ!B26,"_"&amp;Econ!B26)</f>
        <v>Archer_25</v>
      </c>
      <c r="B26" s="7" t="str">
        <f>"T"&amp;Econ!B26&amp;" "&amp;Econ!A26</f>
        <v>T25 Archer</v>
      </c>
      <c r="C26" s="8">
        <f>Econ!B26</f>
        <v>25</v>
      </c>
      <c r="D26" s="7"/>
      <c r="E26" s="9"/>
      <c r="F26" s="9"/>
      <c r="G26" s="10" t="str">
        <f>Econ!L26</f>
        <v/>
      </c>
      <c r="H26" s="11">
        <f>Econ!M26</f>
        <v>288</v>
      </c>
      <c r="I26" s="11" t="str">
        <f>Econ!N26</f>
        <v/>
      </c>
      <c r="J26" s="12">
        <f>Econ!O26</f>
        <v>176</v>
      </c>
      <c r="K26" s="13">
        <f>Econ!P26</f>
        <v>0</v>
      </c>
      <c r="L26" s="14">
        <f>Econ!Q26</f>
        <v>72</v>
      </c>
      <c r="M26" s="14">
        <f>Econ!R26</f>
        <v>0</v>
      </c>
      <c r="N26" s="13">
        <f>Econ!S26</f>
        <v>44</v>
      </c>
      <c r="O26" s="13">
        <f>Econ!T26</f>
        <v>4</v>
      </c>
      <c r="P26" s="7" t="str">
        <f>Econ!A26</f>
        <v>Archer</v>
      </c>
      <c r="Q26" s="10">
        <f>Econ!C26</f>
        <v>483.7649916</v>
      </c>
      <c r="R26" s="10">
        <f>Econ!E26</f>
        <v>8.042186247</v>
      </c>
      <c r="S26" s="10">
        <f>Econ!G26</f>
        <v>322.5099944</v>
      </c>
      <c r="T26" s="10">
        <f>Econ!I26</f>
        <v>16.08437249</v>
      </c>
    </row>
    <row r="27">
      <c r="A27" s="7" t="str">
        <f>Econ!A27&amp;if(Econ!B27&lt;10,"_0"&amp;Econ!B27,"_"&amp;Econ!B27)</f>
        <v>Archer_26</v>
      </c>
      <c r="B27" s="7" t="str">
        <f>"T"&amp;Econ!B27&amp;" "&amp;Econ!A27</f>
        <v>T26 Archer</v>
      </c>
      <c r="C27" s="8">
        <f>Econ!B27</f>
        <v>26</v>
      </c>
      <c r="D27" s="7"/>
      <c r="E27" s="9"/>
      <c r="F27" s="9"/>
      <c r="G27" s="10" t="str">
        <f>Econ!L27</f>
        <v/>
      </c>
      <c r="H27" s="11">
        <f>Econ!M27</f>
        <v>307</v>
      </c>
      <c r="I27" s="11" t="str">
        <f>Econ!N27</f>
        <v/>
      </c>
      <c r="J27" s="12">
        <f>Econ!O27</f>
        <v>186</v>
      </c>
      <c r="K27" s="13">
        <f>Econ!P27</f>
        <v>0</v>
      </c>
      <c r="L27" s="14">
        <f>Econ!Q27</f>
        <v>76.75</v>
      </c>
      <c r="M27" s="14">
        <f>Econ!R27</f>
        <v>0</v>
      </c>
      <c r="N27" s="13">
        <f>Econ!S27</f>
        <v>46.5</v>
      </c>
      <c r="O27" s="13">
        <f>Econ!T27</f>
        <v>4</v>
      </c>
      <c r="P27" s="7" t="str">
        <f>Econ!A27</f>
        <v>Archer</v>
      </c>
      <c r="Q27" s="10">
        <f>Econ!C27</f>
        <v>507.9532411</v>
      </c>
      <c r="R27" s="10">
        <f>Econ!E27</f>
        <v>8.203029972</v>
      </c>
      <c r="S27" s="10">
        <f>Econ!G27</f>
        <v>338.6354941</v>
      </c>
      <c r="T27" s="10">
        <f>Econ!I27</f>
        <v>16.40605994</v>
      </c>
    </row>
    <row r="28">
      <c r="A28" s="7" t="str">
        <f>Econ!A28&amp;if(Econ!B28&lt;10,"_0"&amp;Econ!B28,"_"&amp;Econ!B28)</f>
        <v>Archer_27</v>
      </c>
      <c r="B28" s="7" t="str">
        <f>"T"&amp;Econ!B28&amp;" "&amp;Econ!A28</f>
        <v>T27 Archer</v>
      </c>
      <c r="C28" s="8">
        <f>Econ!B28</f>
        <v>27</v>
      </c>
      <c r="D28" s="7"/>
      <c r="E28" s="9"/>
      <c r="F28" s="9"/>
      <c r="G28" s="10" t="str">
        <f>Econ!L28</f>
        <v/>
      </c>
      <c r="H28" s="11">
        <f>Econ!M28</f>
        <v>326</v>
      </c>
      <c r="I28" s="11" t="str">
        <f>Econ!N28</f>
        <v/>
      </c>
      <c r="J28" s="12">
        <f>Econ!O28</f>
        <v>196</v>
      </c>
      <c r="K28" s="13">
        <f>Econ!P28</f>
        <v>0</v>
      </c>
      <c r="L28" s="14">
        <f>Econ!Q28</f>
        <v>81.5</v>
      </c>
      <c r="M28" s="14">
        <f>Econ!R28</f>
        <v>0</v>
      </c>
      <c r="N28" s="13">
        <f>Econ!S28</f>
        <v>49</v>
      </c>
      <c r="O28" s="13">
        <f>Econ!T28</f>
        <v>4</v>
      </c>
      <c r="P28" s="7" t="str">
        <f>Econ!A28</f>
        <v>Archer</v>
      </c>
      <c r="Q28" s="10">
        <f>Econ!C28</f>
        <v>533.3509032</v>
      </c>
      <c r="R28" s="10">
        <f>Econ!E28</f>
        <v>8.367090572</v>
      </c>
      <c r="S28" s="10">
        <f>Econ!G28</f>
        <v>355.5672688</v>
      </c>
      <c r="T28" s="10">
        <f>Econ!I28</f>
        <v>16.73418114</v>
      </c>
    </row>
    <row r="29">
      <c r="A29" s="7" t="str">
        <f>Econ!A29&amp;if(Econ!B29&lt;10,"_0"&amp;Econ!B29,"_"&amp;Econ!B29)</f>
        <v>Archer_28</v>
      </c>
      <c r="B29" s="7" t="str">
        <f>"T"&amp;Econ!B29&amp;" "&amp;Econ!A29</f>
        <v>T28 Archer</v>
      </c>
      <c r="C29" s="8">
        <f>Econ!B29</f>
        <v>28</v>
      </c>
      <c r="D29" s="7"/>
      <c r="E29" s="9"/>
      <c r="F29" s="9"/>
      <c r="G29" s="10" t="str">
        <f>Econ!L29</f>
        <v/>
      </c>
      <c r="H29" s="11">
        <f>Econ!M29</f>
        <v>346</v>
      </c>
      <c r="I29" s="11" t="str">
        <f>Econ!N29</f>
        <v/>
      </c>
      <c r="J29" s="12">
        <f>Econ!O29</f>
        <v>206</v>
      </c>
      <c r="K29" s="13">
        <f>Econ!P29</f>
        <v>0</v>
      </c>
      <c r="L29" s="14">
        <f>Econ!Q29</f>
        <v>86.5</v>
      </c>
      <c r="M29" s="14">
        <f>Econ!R29</f>
        <v>0</v>
      </c>
      <c r="N29" s="13">
        <f>Econ!S29</f>
        <v>51.5</v>
      </c>
      <c r="O29" s="13">
        <f>Econ!T29</f>
        <v>4</v>
      </c>
      <c r="P29" s="7" t="str">
        <f>Econ!A29</f>
        <v>Archer</v>
      </c>
      <c r="Q29" s="10">
        <f>Econ!C29</f>
        <v>560.0184484</v>
      </c>
      <c r="R29" s="10">
        <f>Econ!E29</f>
        <v>8.534432383</v>
      </c>
      <c r="S29" s="10">
        <f>Econ!G29</f>
        <v>373.3456322</v>
      </c>
      <c r="T29" s="10">
        <f>Econ!I29</f>
        <v>17.06886477</v>
      </c>
    </row>
    <row r="30">
      <c r="A30" s="7" t="str">
        <f>Econ!A30&amp;if(Econ!B30&lt;10,"_0"&amp;Econ!B30,"_"&amp;Econ!B30)</f>
        <v>Archer_29</v>
      </c>
      <c r="B30" s="7" t="str">
        <f>"T"&amp;Econ!B30&amp;" "&amp;Econ!A30</f>
        <v>T29 Archer</v>
      </c>
      <c r="C30" s="8">
        <f>Econ!B30</f>
        <v>29</v>
      </c>
      <c r="D30" s="7"/>
      <c r="E30" s="9"/>
      <c r="F30" s="9"/>
      <c r="G30" s="10" t="str">
        <f>Econ!L30</f>
        <v/>
      </c>
      <c r="H30" s="11">
        <f>Econ!M30</f>
        <v>366</v>
      </c>
      <c r="I30" s="11" t="str">
        <f>Econ!N30</f>
        <v/>
      </c>
      <c r="J30" s="12">
        <f>Econ!O30</f>
        <v>217</v>
      </c>
      <c r="K30" s="13">
        <f>Econ!P30</f>
        <v>0</v>
      </c>
      <c r="L30" s="14">
        <f>Econ!Q30</f>
        <v>91.5</v>
      </c>
      <c r="M30" s="14">
        <f>Econ!R30</f>
        <v>0</v>
      </c>
      <c r="N30" s="13">
        <f>Econ!S30</f>
        <v>54.25</v>
      </c>
      <c r="O30" s="13">
        <f>Econ!T30</f>
        <v>4</v>
      </c>
      <c r="P30" s="7" t="str">
        <f>Econ!A30</f>
        <v>Archer</v>
      </c>
      <c r="Q30" s="10">
        <f>Econ!C30</f>
        <v>588.0193708</v>
      </c>
      <c r="R30" s="10">
        <f>Econ!E30</f>
        <v>8.705121031</v>
      </c>
      <c r="S30" s="10">
        <f>Econ!G30</f>
        <v>392.0129138</v>
      </c>
      <c r="T30" s="10">
        <f>Econ!I30</f>
        <v>17.41024206</v>
      </c>
    </row>
    <row r="31">
      <c r="A31" s="7" t="str">
        <f>Econ!A31&amp;if(Econ!B31&lt;10,"_0"&amp;Econ!B31,"_"&amp;Econ!B31)</f>
        <v>Archer_30</v>
      </c>
      <c r="B31" s="7" t="str">
        <f>"T"&amp;Econ!B31&amp;" "&amp;Econ!A31</f>
        <v>T30 Archer</v>
      </c>
      <c r="C31" s="8">
        <f>Econ!B31</f>
        <v>30</v>
      </c>
      <c r="D31" s="7"/>
      <c r="E31" s="9"/>
      <c r="F31" s="9"/>
      <c r="G31" s="10" t="str">
        <f>Econ!L31</f>
        <v/>
      </c>
      <c r="H31" s="11">
        <f>Econ!M31</f>
        <v>387</v>
      </c>
      <c r="I31" s="11" t="str">
        <f>Econ!N31</f>
        <v/>
      </c>
      <c r="J31" s="12">
        <f>Econ!O31</f>
        <v>228</v>
      </c>
      <c r="K31" s="13">
        <f>Econ!P31</f>
        <v>0</v>
      </c>
      <c r="L31" s="14">
        <f>Econ!Q31</f>
        <v>96.75</v>
      </c>
      <c r="M31" s="14">
        <f>Econ!R31</f>
        <v>0</v>
      </c>
      <c r="N31" s="13">
        <f>Econ!S31</f>
        <v>57</v>
      </c>
      <c r="O31" s="13">
        <f>Econ!T31</f>
        <v>4</v>
      </c>
      <c r="P31" s="7" t="str">
        <f>Econ!A31</f>
        <v>Archer</v>
      </c>
      <c r="Q31" s="10">
        <f>Econ!C31</f>
        <v>617.4203393</v>
      </c>
      <c r="R31" s="10">
        <f>Econ!E31</f>
        <v>8.879223451</v>
      </c>
      <c r="S31" s="10">
        <f>Econ!G31</f>
        <v>411.6135595</v>
      </c>
      <c r="T31" s="10">
        <f>Econ!I31</f>
        <v>17.7584469</v>
      </c>
    </row>
    <row r="32">
      <c r="A32" s="7" t="str">
        <f>Econ!A32&amp;if(Econ!B32&lt;10,"_0"&amp;Econ!B32,"_"&amp;Econ!B32)</f>
        <v>Archer_31</v>
      </c>
      <c r="B32" s="7" t="str">
        <f>"T"&amp;Econ!B32&amp;" "&amp;Econ!A32</f>
        <v>T31 Archer</v>
      </c>
      <c r="C32" s="8">
        <f>Econ!B32</f>
        <v>31</v>
      </c>
      <c r="D32" s="7"/>
      <c r="E32" s="9"/>
      <c r="F32" s="9"/>
      <c r="G32" s="10" t="str">
        <f>Econ!L32</f>
        <v/>
      </c>
      <c r="H32" s="11">
        <f>Econ!M32</f>
        <v>408</v>
      </c>
      <c r="I32" s="11" t="str">
        <f>Econ!N32</f>
        <v/>
      </c>
      <c r="J32" s="12">
        <f>Econ!O32</f>
        <v>239</v>
      </c>
      <c r="K32" s="13">
        <f>Econ!P32</f>
        <v>0</v>
      </c>
      <c r="L32" s="14">
        <f>Econ!Q32</f>
        <v>102</v>
      </c>
      <c r="M32" s="14">
        <f>Econ!R32</f>
        <v>0</v>
      </c>
      <c r="N32" s="13">
        <f>Econ!S32</f>
        <v>59.75</v>
      </c>
      <c r="O32" s="13">
        <f>Econ!T32</f>
        <v>4</v>
      </c>
      <c r="P32" s="7" t="str">
        <f>Econ!A32</f>
        <v>Archer</v>
      </c>
      <c r="Q32" s="10">
        <f>Econ!C32</f>
        <v>648.2913563</v>
      </c>
      <c r="R32" s="10">
        <f>Econ!E32</f>
        <v>9.056807921</v>
      </c>
      <c r="S32" s="10">
        <f>Econ!G32</f>
        <v>432.1942375</v>
      </c>
      <c r="T32" s="10">
        <f>Econ!I32</f>
        <v>18.11361584</v>
      </c>
    </row>
    <row r="33">
      <c r="A33" s="7" t="str">
        <f>Econ!A33&amp;if(Econ!B33&lt;10,"_0"&amp;Econ!B33,"_"&amp;Econ!B33)</f>
        <v>Archer_32</v>
      </c>
      <c r="B33" s="7" t="str">
        <f>"T"&amp;Econ!B33&amp;" "&amp;Econ!A33</f>
        <v>T32 Archer</v>
      </c>
      <c r="C33" s="8">
        <f>Econ!B33</f>
        <v>32</v>
      </c>
      <c r="D33" s="7"/>
      <c r="E33" s="9"/>
      <c r="F33" s="9"/>
      <c r="G33" s="10" t="str">
        <f>Econ!L33</f>
        <v/>
      </c>
      <c r="H33" s="11">
        <f>Econ!M33</f>
        <v>430</v>
      </c>
      <c r="I33" s="11" t="str">
        <f>Econ!N33</f>
        <v/>
      </c>
      <c r="J33" s="12">
        <f>Econ!O33</f>
        <v>250</v>
      </c>
      <c r="K33" s="13">
        <f>Econ!P33</f>
        <v>0</v>
      </c>
      <c r="L33" s="14">
        <f>Econ!Q33</f>
        <v>107.5</v>
      </c>
      <c r="M33" s="14">
        <f>Econ!R33</f>
        <v>0</v>
      </c>
      <c r="N33" s="13">
        <f>Econ!S33</f>
        <v>62.5</v>
      </c>
      <c r="O33" s="13">
        <f>Econ!T33</f>
        <v>4</v>
      </c>
      <c r="P33" s="7" t="str">
        <f>Econ!A33</f>
        <v>Archer</v>
      </c>
      <c r="Q33" s="10">
        <f>Econ!C33</f>
        <v>680.7059241</v>
      </c>
      <c r="R33" s="10">
        <f>Econ!E33</f>
        <v>9.237944079</v>
      </c>
      <c r="S33" s="10">
        <f>Econ!G33</f>
        <v>453.8039494</v>
      </c>
      <c r="T33" s="10">
        <f>Econ!I33</f>
        <v>18.47588816</v>
      </c>
    </row>
    <row r="34">
      <c r="A34" s="7" t="str">
        <f>Econ!A34&amp;if(Econ!B34&lt;10,"_0"&amp;Econ!B34,"_"&amp;Econ!B34)</f>
        <v>Archer_33</v>
      </c>
      <c r="B34" s="7" t="str">
        <f>"T"&amp;Econ!B34&amp;" "&amp;Econ!A34</f>
        <v>T33 Archer</v>
      </c>
      <c r="C34" s="8">
        <f>Econ!B34</f>
        <v>33</v>
      </c>
      <c r="D34" s="7"/>
      <c r="E34" s="9"/>
      <c r="F34" s="9"/>
      <c r="G34" s="10" t="str">
        <f>Econ!L34</f>
        <v/>
      </c>
      <c r="H34" s="11">
        <f>Econ!M34</f>
        <v>452</v>
      </c>
      <c r="I34" s="11" t="str">
        <f>Econ!N34</f>
        <v/>
      </c>
      <c r="J34" s="12">
        <f>Econ!O34</f>
        <v>262</v>
      </c>
      <c r="K34" s="13">
        <f>Econ!P34</f>
        <v>0</v>
      </c>
      <c r="L34" s="14">
        <f>Econ!Q34</f>
        <v>113</v>
      </c>
      <c r="M34" s="14">
        <f>Econ!R34</f>
        <v>0</v>
      </c>
      <c r="N34" s="13">
        <f>Econ!S34</f>
        <v>65.5</v>
      </c>
      <c r="O34" s="13">
        <f>Econ!T34</f>
        <v>4</v>
      </c>
      <c r="P34" s="7" t="str">
        <f>Econ!A34</f>
        <v>Archer</v>
      </c>
      <c r="Q34" s="10">
        <f>Econ!C34</f>
        <v>714.7412203</v>
      </c>
      <c r="R34" s="10">
        <f>Econ!E34</f>
        <v>9.422702961</v>
      </c>
      <c r="S34" s="10">
        <f>Econ!G34</f>
        <v>476.4941469</v>
      </c>
      <c r="T34" s="10">
        <f>Econ!I34</f>
        <v>18.84540592</v>
      </c>
    </row>
    <row r="35">
      <c r="A35" s="7" t="str">
        <f>Econ!A35&amp;if(Econ!B35&lt;10,"_0"&amp;Econ!B35,"_"&amp;Econ!B35)</f>
        <v>Archer_34</v>
      </c>
      <c r="B35" s="7" t="str">
        <f>"T"&amp;Econ!B35&amp;" "&amp;Econ!A35</f>
        <v>T34 Archer</v>
      </c>
      <c r="C35" s="8">
        <f>Econ!B35</f>
        <v>34</v>
      </c>
      <c r="D35" s="7"/>
      <c r="E35" s="9"/>
      <c r="F35" s="9"/>
      <c r="G35" s="10" t="str">
        <f>Econ!L35</f>
        <v/>
      </c>
      <c r="H35" s="11">
        <f>Econ!M35</f>
        <v>475</v>
      </c>
      <c r="I35" s="11" t="str">
        <f>Econ!N35</f>
        <v/>
      </c>
      <c r="J35" s="12">
        <f>Econ!O35</f>
        <v>274</v>
      </c>
      <c r="K35" s="13">
        <f>Econ!P35</f>
        <v>0</v>
      </c>
      <c r="L35" s="14">
        <f>Econ!Q35</f>
        <v>118.75</v>
      </c>
      <c r="M35" s="14">
        <f>Econ!R35</f>
        <v>0</v>
      </c>
      <c r="N35" s="13">
        <f>Econ!S35</f>
        <v>68.5</v>
      </c>
      <c r="O35" s="13">
        <f>Econ!T35</f>
        <v>4</v>
      </c>
      <c r="P35" s="7" t="str">
        <f>Econ!A35</f>
        <v>Archer</v>
      </c>
      <c r="Q35" s="10">
        <f>Econ!C35</f>
        <v>750.4782813</v>
      </c>
      <c r="R35" s="10">
        <f>Econ!E35</f>
        <v>9.61115702</v>
      </c>
      <c r="S35" s="10">
        <f>Econ!G35</f>
        <v>500.3188542</v>
      </c>
      <c r="T35" s="10">
        <f>Econ!I35</f>
        <v>19.22231404</v>
      </c>
    </row>
    <row r="36">
      <c r="A36" s="7" t="str">
        <f>Econ!A36&amp;if(Econ!B36&lt;10,"_0"&amp;Econ!B36,"_"&amp;Econ!B36)</f>
        <v>Archer_35</v>
      </c>
      <c r="B36" s="7" t="str">
        <f>"T"&amp;Econ!B36&amp;" "&amp;Econ!A36</f>
        <v>T35 Archer</v>
      </c>
      <c r="C36" s="8">
        <f>Econ!B36</f>
        <v>35</v>
      </c>
      <c r="D36" s="7"/>
      <c r="E36" s="9"/>
      <c r="F36" s="9"/>
      <c r="G36" s="10" t="str">
        <f>Econ!L36</f>
        <v/>
      </c>
      <c r="H36" s="11">
        <f>Econ!M36</f>
        <v>498</v>
      </c>
      <c r="I36" s="11" t="str">
        <f>Econ!N36</f>
        <v/>
      </c>
      <c r="J36" s="12">
        <f>Econ!O36</f>
        <v>286</v>
      </c>
      <c r="K36" s="13">
        <f>Econ!P36</f>
        <v>0</v>
      </c>
      <c r="L36" s="14">
        <f>Econ!Q36</f>
        <v>124.5</v>
      </c>
      <c r="M36" s="14">
        <f>Econ!R36</f>
        <v>0</v>
      </c>
      <c r="N36" s="13">
        <f>Econ!S36</f>
        <v>71.5</v>
      </c>
      <c r="O36" s="13">
        <f>Econ!T36</f>
        <v>5</v>
      </c>
      <c r="P36" s="7" t="str">
        <f>Econ!A36</f>
        <v>Archer</v>
      </c>
      <c r="Q36" s="10">
        <f>Econ!C36</f>
        <v>788.0021954</v>
      </c>
      <c r="R36" s="10">
        <f>Econ!E36</f>
        <v>9.80338016</v>
      </c>
      <c r="S36" s="10">
        <f>Econ!G36</f>
        <v>525.3347969</v>
      </c>
      <c r="T36" s="10">
        <f>Econ!I36</f>
        <v>19.60676032</v>
      </c>
    </row>
    <row r="37">
      <c r="A37" s="7" t="str">
        <f>Econ!A37&amp;if(Econ!B37&lt;10,"_0"&amp;Econ!B37,"_"&amp;Econ!B37)</f>
        <v>Archer_36</v>
      </c>
      <c r="B37" s="7" t="str">
        <f>"T"&amp;Econ!B37&amp;" "&amp;Econ!A37</f>
        <v>T36 Archer</v>
      </c>
      <c r="C37" s="8">
        <f>Econ!B37</f>
        <v>36</v>
      </c>
      <c r="D37" s="7"/>
      <c r="E37" s="9"/>
      <c r="F37" s="9"/>
      <c r="G37" s="10" t="str">
        <f>Econ!L37</f>
        <v/>
      </c>
      <c r="H37" s="11">
        <f>Econ!M37</f>
        <v>522</v>
      </c>
      <c r="I37" s="11" t="str">
        <f>Econ!N37</f>
        <v/>
      </c>
      <c r="J37" s="12">
        <f>Econ!O37</f>
        <v>298</v>
      </c>
      <c r="K37" s="13">
        <f>Econ!P37</f>
        <v>0</v>
      </c>
      <c r="L37" s="14">
        <f>Econ!Q37</f>
        <v>130.5</v>
      </c>
      <c r="M37" s="14">
        <f>Econ!R37</f>
        <v>0</v>
      </c>
      <c r="N37" s="13">
        <f>Econ!S37</f>
        <v>74.5</v>
      </c>
      <c r="O37" s="13">
        <f>Econ!T37</f>
        <v>5</v>
      </c>
      <c r="P37" s="7" t="str">
        <f>Econ!A37</f>
        <v>Archer</v>
      </c>
      <c r="Q37" s="10">
        <f>Econ!C37</f>
        <v>827.4023051</v>
      </c>
      <c r="R37" s="10">
        <f>Econ!E37</f>
        <v>9.999447763</v>
      </c>
      <c r="S37" s="10">
        <f>Econ!G37</f>
        <v>551.6015368</v>
      </c>
      <c r="T37" s="10">
        <f>Econ!I37</f>
        <v>19.99889553</v>
      </c>
    </row>
    <row r="38">
      <c r="A38" s="7" t="str">
        <f>Econ!A38&amp;if(Econ!B38&lt;10,"_0"&amp;Econ!B38,"_"&amp;Econ!B38)</f>
        <v>Archer_37</v>
      </c>
      <c r="B38" s="7" t="str">
        <f>"T"&amp;Econ!B38&amp;" "&amp;Econ!A38</f>
        <v>T37 Archer</v>
      </c>
      <c r="C38" s="8">
        <f>Econ!B38</f>
        <v>37</v>
      </c>
      <c r="D38" s="7"/>
      <c r="E38" s="9"/>
      <c r="F38" s="9"/>
      <c r="G38" s="10" t="str">
        <f>Econ!L38</f>
        <v/>
      </c>
      <c r="H38" s="11">
        <f>Econ!M38</f>
        <v>546</v>
      </c>
      <c r="I38" s="11" t="str">
        <f>Econ!N38</f>
        <v/>
      </c>
      <c r="J38" s="12">
        <f>Econ!O38</f>
        <v>311</v>
      </c>
      <c r="K38" s="13">
        <f>Econ!P38</f>
        <v>0</v>
      </c>
      <c r="L38" s="14">
        <f>Econ!Q38</f>
        <v>136.5</v>
      </c>
      <c r="M38" s="14">
        <f>Econ!R38</f>
        <v>0</v>
      </c>
      <c r="N38" s="13">
        <f>Econ!S38</f>
        <v>77.75</v>
      </c>
      <c r="O38" s="13">
        <f>Econ!T38</f>
        <v>5</v>
      </c>
      <c r="P38" s="7" t="str">
        <f>Econ!A38</f>
        <v>Archer</v>
      </c>
      <c r="Q38" s="10">
        <f>Econ!C38</f>
        <v>868.7724204</v>
      </c>
      <c r="R38" s="10">
        <f>Econ!E38</f>
        <v>10.19943672</v>
      </c>
      <c r="S38" s="10">
        <f>Econ!G38</f>
        <v>579.1816136</v>
      </c>
      <c r="T38" s="10">
        <f>Econ!I38</f>
        <v>20.39887344</v>
      </c>
    </row>
    <row r="39">
      <c r="A39" s="7" t="str">
        <f>Econ!A39&amp;if(Econ!B39&lt;10,"_0"&amp;Econ!B39,"_"&amp;Econ!B39)</f>
        <v>Archer_38</v>
      </c>
      <c r="B39" s="7" t="str">
        <f>"T"&amp;Econ!B39&amp;" "&amp;Econ!A39</f>
        <v>T38 Archer</v>
      </c>
      <c r="C39" s="8">
        <f>Econ!B39</f>
        <v>38</v>
      </c>
      <c r="D39" s="7"/>
      <c r="E39" s="9"/>
      <c r="F39" s="9"/>
      <c r="G39" s="10" t="str">
        <f>Econ!L39</f>
        <v/>
      </c>
      <c r="H39" s="11">
        <f>Econ!M39</f>
        <v>571</v>
      </c>
      <c r="I39" s="11" t="str">
        <f>Econ!N39</f>
        <v/>
      </c>
      <c r="J39" s="12">
        <f>Econ!O39</f>
        <v>324</v>
      </c>
      <c r="K39" s="13">
        <f>Econ!P39</f>
        <v>0</v>
      </c>
      <c r="L39" s="14">
        <f>Econ!Q39</f>
        <v>142.75</v>
      </c>
      <c r="M39" s="14">
        <f>Econ!R39</f>
        <v>0</v>
      </c>
      <c r="N39" s="13">
        <f>Econ!S39</f>
        <v>81</v>
      </c>
      <c r="O39" s="13">
        <f>Econ!T39</f>
        <v>5</v>
      </c>
      <c r="P39" s="7" t="str">
        <f>Econ!A39</f>
        <v>Archer</v>
      </c>
      <c r="Q39" s="10">
        <f>Econ!C39</f>
        <v>912.2110414</v>
      </c>
      <c r="R39" s="10">
        <f>Econ!E39</f>
        <v>10.40342545</v>
      </c>
      <c r="S39" s="10">
        <f>Econ!G39</f>
        <v>608.1406943</v>
      </c>
      <c r="T39" s="10">
        <f>Econ!I39</f>
        <v>20.80685091</v>
      </c>
    </row>
    <row r="40">
      <c r="A40" s="7" t="str">
        <f>Econ!A40&amp;if(Econ!B40&lt;10,"_0"&amp;Econ!B40,"_"&amp;Econ!B40)</f>
        <v>Archer_39</v>
      </c>
      <c r="B40" s="7" t="str">
        <f>"T"&amp;Econ!B40&amp;" "&amp;Econ!A40</f>
        <v>T39 Archer</v>
      </c>
      <c r="C40" s="8">
        <f>Econ!B40</f>
        <v>39</v>
      </c>
      <c r="D40" s="7"/>
      <c r="E40" s="9"/>
      <c r="F40" s="9"/>
      <c r="G40" s="10" t="str">
        <f>Econ!L40</f>
        <v/>
      </c>
      <c r="H40" s="11">
        <f>Econ!M40</f>
        <v>596</v>
      </c>
      <c r="I40" s="11" t="str">
        <f>Econ!N40</f>
        <v/>
      </c>
      <c r="J40" s="12">
        <f>Econ!O40</f>
        <v>337</v>
      </c>
      <c r="K40" s="13">
        <f>Econ!P40</f>
        <v>0</v>
      </c>
      <c r="L40" s="14">
        <f>Econ!Q40</f>
        <v>149</v>
      </c>
      <c r="M40" s="14">
        <f>Econ!R40</f>
        <v>0</v>
      </c>
      <c r="N40" s="13">
        <f>Econ!S40</f>
        <v>84.25</v>
      </c>
      <c r="O40" s="13">
        <f>Econ!T40</f>
        <v>5</v>
      </c>
      <c r="P40" s="7" t="str">
        <f>Econ!A40</f>
        <v>Archer</v>
      </c>
      <c r="Q40" s="10">
        <f>Econ!C40</f>
        <v>957.8215935</v>
      </c>
      <c r="R40" s="10">
        <f>Econ!E40</f>
        <v>10.61149396</v>
      </c>
      <c r="S40" s="10">
        <f>Econ!G40</f>
        <v>638.547729</v>
      </c>
      <c r="T40" s="10">
        <f>Econ!I40</f>
        <v>21.22298792</v>
      </c>
    </row>
    <row r="41">
      <c r="A41" s="7" t="str">
        <f>Econ!A41&amp;if(Econ!B41&lt;10,"_0"&amp;Econ!B41,"_"&amp;Econ!B41)</f>
        <v>Archer_40</v>
      </c>
      <c r="B41" s="7" t="str">
        <f>"T"&amp;Econ!B41&amp;" "&amp;Econ!A41</f>
        <v>T40 Archer</v>
      </c>
      <c r="C41" s="8">
        <f>Econ!B41</f>
        <v>40</v>
      </c>
      <c r="D41" s="7"/>
      <c r="E41" s="9"/>
      <c r="F41" s="9"/>
      <c r="G41" s="10" t="str">
        <f>Econ!L41</f>
        <v/>
      </c>
      <c r="H41" s="11">
        <f>Econ!M41</f>
        <v>622</v>
      </c>
      <c r="I41" s="11" t="str">
        <f>Econ!N41</f>
        <v/>
      </c>
      <c r="J41" s="12">
        <f>Econ!O41</f>
        <v>350</v>
      </c>
      <c r="K41" s="13">
        <f>Econ!P41</f>
        <v>0</v>
      </c>
      <c r="L41" s="14">
        <f>Econ!Q41</f>
        <v>155.5</v>
      </c>
      <c r="M41" s="14">
        <f>Econ!R41</f>
        <v>0</v>
      </c>
      <c r="N41" s="13">
        <f>Econ!S41</f>
        <v>87.5</v>
      </c>
      <c r="O41" s="13">
        <f>Econ!T41</f>
        <v>5</v>
      </c>
      <c r="P41" s="7" t="str">
        <f>Econ!A41</f>
        <v>Archer</v>
      </c>
      <c r="Q41" s="10">
        <f>Econ!C41</f>
        <v>1005.712673</v>
      </c>
      <c r="R41" s="10">
        <f>Econ!E41</f>
        <v>10.82372384</v>
      </c>
      <c r="S41" s="10">
        <f>Econ!G41</f>
        <v>670.4751154</v>
      </c>
      <c r="T41" s="10">
        <f>Econ!I41</f>
        <v>21.64744768</v>
      </c>
    </row>
    <row r="42">
      <c r="A42" s="7" t="str">
        <f>Econ!A42&amp;if(Econ!B42&lt;10,"_0"&amp;Econ!B42,"_"&amp;Econ!B42)</f>
        <v>Archer_41</v>
      </c>
      <c r="B42" s="7" t="str">
        <f>"T"&amp;Econ!B42&amp;" "&amp;Econ!A42</f>
        <v>T41 Archer</v>
      </c>
      <c r="C42" s="8">
        <f>Econ!B42</f>
        <v>41</v>
      </c>
      <c r="D42" s="7"/>
      <c r="E42" s="9"/>
      <c r="F42" s="9"/>
      <c r="G42" s="10" t="str">
        <f>Econ!L42</f>
        <v/>
      </c>
      <c r="H42" s="11">
        <f>Econ!M42</f>
        <v>648</v>
      </c>
      <c r="I42" s="11" t="str">
        <f>Econ!N42</f>
        <v/>
      </c>
      <c r="J42" s="12">
        <f>Econ!O42</f>
        <v>364</v>
      </c>
      <c r="K42" s="13">
        <f>Econ!P42</f>
        <v>0</v>
      </c>
      <c r="L42" s="14">
        <f>Econ!Q42</f>
        <v>162</v>
      </c>
      <c r="M42" s="14">
        <f>Econ!R42</f>
        <v>0</v>
      </c>
      <c r="N42" s="13">
        <f>Econ!S42</f>
        <v>91</v>
      </c>
      <c r="O42" s="13">
        <f>Econ!T42</f>
        <v>5</v>
      </c>
      <c r="P42" s="7" t="str">
        <f>Econ!A42</f>
        <v>Archer</v>
      </c>
      <c r="Q42" s="10">
        <f>Econ!C42</f>
        <v>1055.998307</v>
      </c>
      <c r="R42" s="10">
        <f>Econ!E42</f>
        <v>11.04019832</v>
      </c>
      <c r="S42" s="10">
        <f>Econ!G42</f>
        <v>703.9988712</v>
      </c>
      <c r="T42" s="10">
        <f>Econ!I42</f>
        <v>22.08039664</v>
      </c>
    </row>
    <row r="43">
      <c r="A43" s="7" t="str">
        <f>Econ!A43&amp;if(Econ!B43&lt;10,"_0"&amp;Econ!B43,"_"&amp;Econ!B43)</f>
        <v>Archer_42</v>
      </c>
      <c r="B43" s="7" t="str">
        <f>"T"&amp;Econ!B43&amp;" "&amp;Econ!A43</f>
        <v>T42 Archer</v>
      </c>
      <c r="C43" s="8">
        <f>Econ!B43</f>
        <v>42</v>
      </c>
      <c r="D43" s="7"/>
      <c r="E43" s="9"/>
      <c r="F43" s="9"/>
      <c r="G43" s="10" t="str">
        <f>Econ!L43</f>
        <v/>
      </c>
      <c r="H43" s="11">
        <f>Econ!M43</f>
        <v>674</v>
      </c>
      <c r="I43" s="11" t="str">
        <f>Econ!N43</f>
        <v/>
      </c>
      <c r="J43" s="12">
        <f>Econ!O43</f>
        <v>378</v>
      </c>
      <c r="K43" s="13">
        <f>Econ!P43</f>
        <v>0</v>
      </c>
      <c r="L43" s="14">
        <f>Econ!Q43</f>
        <v>168.5</v>
      </c>
      <c r="M43" s="14">
        <f>Econ!R43</f>
        <v>0</v>
      </c>
      <c r="N43" s="13">
        <f>Econ!S43</f>
        <v>94.5</v>
      </c>
      <c r="O43" s="13">
        <f>Econ!T43</f>
        <v>5</v>
      </c>
      <c r="P43" s="7" t="str">
        <f>Econ!A43</f>
        <v>Archer</v>
      </c>
      <c r="Q43" s="10">
        <f>Econ!C43</f>
        <v>1108.798222</v>
      </c>
      <c r="R43" s="10">
        <f>Econ!E43</f>
        <v>11.26100228</v>
      </c>
      <c r="S43" s="10">
        <f>Econ!G43</f>
        <v>739.1988148</v>
      </c>
      <c r="T43" s="10">
        <f>Econ!I43</f>
        <v>22.52200457</v>
      </c>
    </row>
    <row r="44">
      <c r="A44" s="7" t="str">
        <f>Econ!A44&amp;if(Econ!B44&lt;10,"_0"&amp;Econ!B44,"_"&amp;Econ!B44)</f>
        <v>Archer_43</v>
      </c>
      <c r="B44" s="7" t="str">
        <f>"T"&amp;Econ!B44&amp;" "&amp;Econ!A44</f>
        <v>T43 Archer</v>
      </c>
      <c r="C44" s="8">
        <f>Econ!B44</f>
        <v>43</v>
      </c>
      <c r="D44" s="7"/>
      <c r="E44" s="9"/>
      <c r="F44" s="9"/>
      <c r="G44" s="10" t="str">
        <f>Econ!L44</f>
        <v/>
      </c>
      <c r="H44" s="11">
        <f>Econ!M44</f>
        <v>701</v>
      </c>
      <c r="I44" s="11" t="str">
        <f>Econ!N44</f>
        <v/>
      </c>
      <c r="J44" s="12">
        <f>Econ!O44</f>
        <v>392</v>
      </c>
      <c r="K44" s="13">
        <f>Econ!P44</f>
        <v>0</v>
      </c>
      <c r="L44" s="14">
        <f>Econ!Q44</f>
        <v>175.25</v>
      </c>
      <c r="M44" s="14">
        <f>Econ!R44</f>
        <v>0</v>
      </c>
      <c r="N44" s="13">
        <f>Econ!S44</f>
        <v>98</v>
      </c>
      <c r="O44" s="13">
        <f>Econ!T44</f>
        <v>5</v>
      </c>
      <c r="P44" s="7" t="str">
        <f>Econ!A44</f>
        <v>Archer</v>
      </c>
      <c r="Q44" s="10">
        <f>Econ!C44</f>
        <v>1164.238133</v>
      </c>
      <c r="R44" s="10">
        <f>Econ!E44</f>
        <v>11.48622233</v>
      </c>
      <c r="S44" s="10">
        <f>Econ!G44</f>
        <v>776.1587555</v>
      </c>
      <c r="T44" s="10">
        <f>Econ!I44</f>
        <v>22.97244466</v>
      </c>
    </row>
    <row r="45">
      <c r="A45" s="7" t="str">
        <f>Econ!A45&amp;if(Econ!B45&lt;10,"_0"&amp;Econ!B45,"_"&amp;Econ!B45)</f>
        <v>Archer_44</v>
      </c>
      <c r="B45" s="7" t="str">
        <f>"T"&amp;Econ!B45&amp;" "&amp;Econ!A45</f>
        <v>T44 Archer</v>
      </c>
      <c r="C45" s="8">
        <f>Econ!B45</f>
        <v>44</v>
      </c>
      <c r="D45" s="7"/>
      <c r="E45" s="9"/>
      <c r="F45" s="9"/>
      <c r="G45" s="10" t="str">
        <f>Econ!L45</f>
        <v/>
      </c>
      <c r="H45" s="11">
        <f>Econ!M45</f>
        <v>728</v>
      </c>
      <c r="I45" s="11" t="str">
        <f>Econ!N45</f>
        <v/>
      </c>
      <c r="J45" s="12">
        <f>Econ!O45</f>
        <v>406</v>
      </c>
      <c r="K45" s="13">
        <f>Econ!P45</f>
        <v>0</v>
      </c>
      <c r="L45" s="14">
        <f>Econ!Q45</f>
        <v>182</v>
      </c>
      <c r="M45" s="14">
        <f>Econ!R45</f>
        <v>0</v>
      </c>
      <c r="N45" s="13">
        <f>Econ!S45</f>
        <v>101.5</v>
      </c>
      <c r="O45" s="13">
        <f>Econ!T45</f>
        <v>5</v>
      </c>
      <c r="P45" s="7" t="str">
        <f>Econ!A45</f>
        <v>Archer</v>
      </c>
      <c r="Q45" s="10">
        <f>Econ!C45</f>
        <v>1222.45004</v>
      </c>
      <c r="R45" s="10">
        <f>Econ!E45</f>
        <v>11.71594678</v>
      </c>
      <c r="S45" s="10">
        <f>Econ!G45</f>
        <v>814.9666933</v>
      </c>
      <c r="T45" s="10">
        <f>Econ!I45</f>
        <v>23.43189355</v>
      </c>
    </row>
    <row r="46">
      <c r="A46" s="7" t="str">
        <f>Econ!A46&amp;if(Econ!B46&lt;10,"_0"&amp;Econ!B46,"_"&amp;Econ!B46)</f>
        <v>Archer_45</v>
      </c>
      <c r="B46" s="7" t="str">
        <f>"T"&amp;Econ!B46&amp;" "&amp;Econ!A46</f>
        <v>T45 Archer</v>
      </c>
      <c r="C46" s="8">
        <f>Econ!B46</f>
        <v>45</v>
      </c>
      <c r="D46" s="7"/>
      <c r="E46" s="9"/>
      <c r="F46" s="9"/>
      <c r="G46" s="10" t="str">
        <f>Econ!L46</f>
        <v/>
      </c>
      <c r="H46" s="11">
        <f>Econ!M46</f>
        <v>756</v>
      </c>
      <c r="I46" s="11" t="str">
        <f>Econ!N46</f>
        <v/>
      </c>
      <c r="J46" s="12">
        <f>Econ!O46</f>
        <v>420</v>
      </c>
      <c r="K46" s="13">
        <f>Econ!P46</f>
        <v>0</v>
      </c>
      <c r="L46" s="14">
        <f>Econ!Q46</f>
        <v>189</v>
      </c>
      <c r="M46" s="14">
        <f>Econ!R46</f>
        <v>0</v>
      </c>
      <c r="N46" s="13">
        <f>Econ!S46</f>
        <v>105</v>
      </c>
      <c r="O46" s="13">
        <f>Econ!T46</f>
        <v>6</v>
      </c>
      <c r="P46" s="7" t="str">
        <f>Econ!A46</f>
        <v>Archer</v>
      </c>
      <c r="Q46" s="10">
        <f>Econ!C46</f>
        <v>1283.572542</v>
      </c>
      <c r="R46" s="10">
        <f>Econ!E46</f>
        <v>11.95026571</v>
      </c>
      <c r="S46" s="10">
        <f>Econ!G46</f>
        <v>855.715028</v>
      </c>
      <c r="T46" s="10">
        <f>Econ!I46</f>
        <v>23.90053142</v>
      </c>
    </row>
    <row r="47">
      <c r="A47" s="7" t="str">
        <f>Econ!A47&amp;if(Econ!B47&lt;10,"_0"&amp;Econ!B47,"_"&amp;Econ!B47)</f>
        <v>Archer_46</v>
      </c>
      <c r="B47" s="7" t="str">
        <f>"T"&amp;Econ!B47&amp;" "&amp;Econ!A47</f>
        <v>T46 Archer</v>
      </c>
      <c r="C47" s="8">
        <f>Econ!B47</f>
        <v>46</v>
      </c>
      <c r="D47" s="7"/>
      <c r="E47" s="9"/>
      <c r="F47" s="9"/>
      <c r="G47" s="10" t="str">
        <f>Econ!L47</f>
        <v/>
      </c>
      <c r="H47" s="11">
        <f>Econ!M47</f>
        <v>784</v>
      </c>
      <c r="I47" s="11" t="str">
        <f>Econ!N47</f>
        <v/>
      </c>
      <c r="J47" s="12">
        <f>Econ!O47</f>
        <v>435</v>
      </c>
      <c r="K47" s="13">
        <f>Econ!P47</f>
        <v>0</v>
      </c>
      <c r="L47" s="14">
        <f>Econ!Q47</f>
        <v>196</v>
      </c>
      <c r="M47" s="14">
        <f>Econ!R47</f>
        <v>0</v>
      </c>
      <c r="N47" s="13">
        <f>Econ!S47</f>
        <v>108.75</v>
      </c>
      <c r="O47" s="13">
        <f>Econ!T47</f>
        <v>6</v>
      </c>
      <c r="P47" s="7" t="str">
        <f>Econ!A47</f>
        <v>Archer</v>
      </c>
      <c r="Q47" s="10">
        <f>Econ!C47</f>
        <v>1347.751169</v>
      </c>
      <c r="R47" s="10">
        <f>Econ!E47</f>
        <v>12.18927103</v>
      </c>
      <c r="S47" s="10">
        <f>Econ!G47</f>
        <v>898.5007793</v>
      </c>
      <c r="T47" s="10">
        <f>Econ!I47</f>
        <v>24.37854205</v>
      </c>
    </row>
    <row r="48">
      <c r="A48" s="7" t="str">
        <f>Econ!A48&amp;if(Econ!B48&lt;10,"_0"&amp;Econ!B48,"_"&amp;Econ!B48)</f>
        <v>Archer_47</v>
      </c>
      <c r="B48" s="7" t="str">
        <f>"T"&amp;Econ!B48&amp;" "&amp;Econ!A48</f>
        <v>T47 Archer</v>
      </c>
      <c r="C48" s="8">
        <f>Econ!B48</f>
        <v>47</v>
      </c>
      <c r="D48" s="7"/>
      <c r="E48" s="9"/>
      <c r="F48" s="9"/>
      <c r="G48" s="10" t="str">
        <f>Econ!L48</f>
        <v/>
      </c>
      <c r="H48" s="11">
        <f>Econ!M48</f>
        <v>813</v>
      </c>
      <c r="I48" s="11" t="str">
        <f>Econ!N48</f>
        <v/>
      </c>
      <c r="J48" s="12">
        <f>Econ!O48</f>
        <v>450</v>
      </c>
      <c r="K48" s="13">
        <f>Econ!P48</f>
        <v>0</v>
      </c>
      <c r="L48" s="14">
        <f>Econ!Q48</f>
        <v>203.25</v>
      </c>
      <c r="M48" s="14">
        <f>Econ!R48</f>
        <v>0</v>
      </c>
      <c r="N48" s="13">
        <f>Econ!S48</f>
        <v>112.5</v>
      </c>
      <c r="O48" s="13">
        <f>Econ!T48</f>
        <v>6</v>
      </c>
      <c r="P48" s="7" t="str">
        <f>Econ!A48</f>
        <v>Archer</v>
      </c>
      <c r="Q48" s="10">
        <f>Econ!C48</f>
        <v>1415.138727</v>
      </c>
      <c r="R48" s="10">
        <f>Econ!E48</f>
        <v>12.43305645</v>
      </c>
      <c r="S48" s="10">
        <f>Econ!G48</f>
        <v>943.4258183</v>
      </c>
      <c r="T48" s="10">
        <f>Econ!I48</f>
        <v>24.86611289</v>
      </c>
    </row>
    <row r="49">
      <c r="A49" s="7" t="str">
        <f>Econ!A49&amp;if(Econ!B49&lt;10,"_0"&amp;Econ!B49,"_"&amp;Econ!B49)</f>
        <v>Archer_48</v>
      </c>
      <c r="B49" s="7" t="str">
        <f>"T"&amp;Econ!B49&amp;" "&amp;Econ!A49</f>
        <v>T48 Archer</v>
      </c>
      <c r="C49" s="8">
        <f>Econ!B49</f>
        <v>48</v>
      </c>
      <c r="D49" s="7"/>
      <c r="E49" s="9"/>
      <c r="F49" s="9"/>
      <c r="G49" s="10" t="str">
        <f>Econ!L49</f>
        <v/>
      </c>
      <c r="H49" s="11">
        <f>Econ!M49</f>
        <v>842</v>
      </c>
      <c r="I49" s="11" t="str">
        <f>Econ!N49</f>
        <v/>
      </c>
      <c r="J49" s="12">
        <f>Econ!O49</f>
        <v>465</v>
      </c>
      <c r="K49" s="13">
        <f>Econ!P49</f>
        <v>0</v>
      </c>
      <c r="L49" s="14">
        <f>Econ!Q49</f>
        <v>210.5</v>
      </c>
      <c r="M49" s="14">
        <f>Econ!R49</f>
        <v>0</v>
      </c>
      <c r="N49" s="13">
        <f>Econ!S49</f>
        <v>116.25</v>
      </c>
      <c r="O49" s="13">
        <f>Econ!T49</f>
        <v>6</v>
      </c>
      <c r="P49" s="7" t="str">
        <f>Econ!A49</f>
        <v>Archer</v>
      </c>
      <c r="Q49" s="10">
        <f>Econ!C49</f>
        <v>1485.895664</v>
      </c>
      <c r="R49" s="10">
        <f>Econ!E49</f>
        <v>12.68171758</v>
      </c>
      <c r="S49" s="10">
        <f>Econ!G49</f>
        <v>990.5971092</v>
      </c>
      <c r="T49" s="10">
        <f>Econ!I49</f>
        <v>25.36343515</v>
      </c>
    </row>
    <row r="50">
      <c r="A50" s="7" t="str">
        <f>Econ!A50&amp;if(Econ!B50&lt;10,"_0"&amp;Econ!B50,"_"&amp;Econ!B50)</f>
        <v>Archer_49</v>
      </c>
      <c r="B50" s="7" t="str">
        <f>"T"&amp;Econ!B50&amp;" "&amp;Econ!A50</f>
        <v>T49 Archer</v>
      </c>
      <c r="C50" s="8">
        <f>Econ!B50</f>
        <v>49</v>
      </c>
      <c r="D50" s="7"/>
      <c r="E50" s="9"/>
      <c r="F50" s="9"/>
      <c r="G50" s="10" t="str">
        <f>Econ!L50</f>
        <v/>
      </c>
      <c r="H50" s="11">
        <f>Econ!M50</f>
        <v>871</v>
      </c>
      <c r="I50" s="11" t="str">
        <f>Econ!N50</f>
        <v/>
      </c>
      <c r="J50" s="12">
        <f>Econ!O50</f>
        <v>480</v>
      </c>
      <c r="K50" s="13">
        <f>Econ!P50</f>
        <v>0</v>
      </c>
      <c r="L50" s="14">
        <f>Econ!Q50</f>
        <v>217.75</v>
      </c>
      <c r="M50" s="14">
        <f>Econ!R50</f>
        <v>0</v>
      </c>
      <c r="N50" s="13">
        <f>Econ!S50</f>
        <v>120</v>
      </c>
      <c r="O50" s="13">
        <f>Econ!T50</f>
        <v>6</v>
      </c>
      <c r="P50" s="7" t="str">
        <f>Econ!A50</f>
        <v>Archer</v>
      </c>
      <c r="Q50" s="10">
        <f>Econ!C50</f>
        <v>1560.190447</v>
      </c>
      <c r="R50" s="10">
        <f>Econ!E50</f>
        <v>12.93535193</v>
      </c>
      <c r="S50" s="10">
        <f>Econ!G50</f>
        <v>1040.126965</v>
      </c>
      <c r="T50" s="10">
        <f>Econ!I50</f>
        <v>25.87070385</v>
      </c>
    </row>
    <row r="51">
      <c r="A51" s="7" t="str">
        <f>Econ!A51&amp;if(Econ!B51&lt;10,"_0"&amp;Econ!B51,"_"&amp;Econ!B51)</f>
        <v>Archer_50</v>
      </c>
      <c r="B51" s="7" t="str">
        <f>"T"&amp;Econ!B51&amp;" "&amp;Econ!A51</f>
        <v>T50 Archer</v>
      </c>
      <c r="C51" s="8">
        <f>Econ!B51</f>
        <v>50</v>
      </c>
      <c r="D51" s="7"/>
      <c r="E51" s="9"/>
      <c r="F51" s="9"/>
      <c r="G51" s="10" t="str">
        <f>Econ!L51</f>
        <v/>
      </c>
      <c r="H51" s="11">
        <f>Econ!M51</f>
        <v>901</v>
      </c>
      <c r="I51" s="11" t="str">
        <f>Econ!N51</f>
        <v/>
      </c>
      <c r="J51" s="12">
        <f>Econ!O51</f>
        <v>495</v>
      </c>
      <c r="K51" s="13">
        <f>Econ!P51</f>
        <v>0</v>
      </c>
      <c r="L51" s="14">
        <f>Econ!Q51</f>
        <v>225.25</v>
      </c>
      <c r="M51" s="14">
        <f>Econ!R51</f>
        <v>0</v>
      </c>
      <c r="N51" s="13">
        <f>Econ!S51</f>
        <v>123.75</v>
      </c>
      <c r="O51" s="13">
        <f>Econ!T51</f>
        <v>6</v>
      </c>
      <c r="P51" s="7" t="str">
        <f>Econ!A51</f>
        <v>Archer</v>
      </c>
      <c r="Q51" s="10">
        <f>Econ!C51</f>
        <v>1638.199969</v>
      </c>
      <c r="R51" s="10">
        <f>Econ!E51</f>
        <v>13.19405897</v>
      </c>
      <c r="S51" s="10">
        <f>Econ!G51</f>
        <v>1092.133313</v>
      </c>
      <c r="T51" s="10">
        <f>Econ!I51</f>
        <v>26.38811793</v>
      </c>
    </row>
    <row r="52">
      <c r="A52" s="7" t="str">
        <f>Econ!A52&amp;if(Econ!B52&lt;10,"_0"&amp;Econ!B52,"_"&amp;Econ!B52)</f>
        <v>Archer_51</v>
      </c>
      <c r="B52" s="7" t="str">
        <f>"T"&amp;Econ!B52&amp;" "&amp;Econ!A52</f>
        <v>T51 Archer</v>
      </c>
      <c r="C52" s="8">
        <f>Econ!B52</f>
        <v>51</v>
      </c>
      <c r="D52" s="7"/>
      <c r="E52" s="9"/>
      <c r="F52" s="9"/>
      <c r="G52" s="10" t="str">
        <f>Econ!L52</f>
        <v/>
      </c>
      <c r="H52" s="11">
        <f>Econ!M52</f>
        <v>931</v>
      </c>
      <c r="I52" s="11" t="str">
        <f>Econ!N52</f>
        <v/>
      </c>
      <c r="J52" s="12">
        <f>Econ!O52</f>
        <v>511</v>
      </c>
      <c r="K52" s="13">
        <f>Econ!P52</f>
        <v>0</v>
      </c>
      <c r="L52" s="14">
        <f>Econ!Q52</f>
        <v>232.75</v>
      </c>
      <c r="M52" s="14">
        <f>Econ!R52</f>
        <v>0</v>
      </c>
      <c r="N52" s="13">
        <f>Econ!S52</f>
        <v>127.75</v>
      </c>
      <c r="O52" s="13">
        <f>Econ!T52</f>
        <v>6</v>
      </c>
      <c r="P52" s="7" t="str">
        <f>Econ!A52</f>
        <v>Archer</v>
      </c>
      <c r="Q52" s="10">
        <f>Econ!C52</f>
        <v>1720.109968</v>
      </c>
      <c r="R52" s="10">
        <f>Econ!E52</f>
        <v>13.45794015</v>
      </c>
      <c r="S52" s="10">
        <f>Econ!G52</f>
        <v>1146.739979</v>
      </c>
      <c r="T52" s="10">
        <f>Econ!I52</f>
        <v>26.91588029</v>
      </c>
    </row>
    <row r="53">
      <c r="A53" s="7" t="str">
        <f>Econ!A53&amp;if(Econ!B53&lt;10,"_0"&amp;Econ!B53,"_"&amp;Econ!B53)</f>
        <v>Archer_52</v>
      </c>
      <c r="B53" s="7" t="str">
        <f>"T"&amp;Econ!B53&amp;" "&amp;Econ!A53</f>
        <v>T52 Archer</v>
      </c>
      <c r="C53" s="8">
        <f>Econ!B53</f>
        <v>52</v>
      </c>
      <c r="D53" s="7"/>
      <c r="E53" s="9"/>
      <c r="F53" s="9"/>
      <c r="G53" s="10" t="str">
        <f>Econ!L53</f>
        <v/>
      </c>
      <c r="H53" s="11">
        <f>Econ!M53</f>
        <v>962</v>
      </c>
      <c r="I53" s="11" t="str">
        <f>Econ!N53</f>
        <v/>
      </c>
      <c r="J53" s="12">
        <f>Econ!O53</f>
        <v>527</v>
      </c>
      <c r="K53" s="13">
        <f>Econ!P53</f>
        <v>0</v>
      </c>
      <c r="L53" s="14">
        <f>Econ!Q53</f>
        <v>240.5</v>
      </c>
      <c r="M53" s="14">
        <f>Econ!R53</f>
        <v>0</v>
      </c>
      <c r="N53" s="13">
        <f>Econ!S53</f>
        <v>131.75</v>
      </c>
      <c r="O53" s="13">
        <f>Econ!T53</f>
        <v>6</v>
      </c>
      <c r="P53" s="7" t="str">
        <f>Econ!A53</f>
        <v>Archer</v>
      </c>
      <c r="Q53" s="10">
        <f>Econ!C53</f>
        <v>1806.115466</v>
      </c>
      <c r="R53" s="10">
        <f>Econ!E53</f>
        <v>13.72709895</v>
      </c>
      <c r="S53" s="10">
        <f>Econ!G53</f>
        <v>1204.076978</v>
      </c>
      <c r="T53" s="10">
        <f>Econ!I53</f>
        <v>27.4541979</v>
      </c>
    </row>
    <row r="54">
      <c r="A54" s="7" t="str">
        <f>Econ!A54&amp;if(Econ!B54&lt;10,"_0"&amp;Econ!B54,"_"&amp;Econ!B54)</f>
        <v>Archer_53</v>
      </c>
      <c r="B54" s="7" t="str">
        <f>"T"&amp;Econ!B54&amp;" "&amp;Econ!A54</f>
        <v>T53 Archer</v>
      </c>
      <c r="C54" s="8">
        <f>Econ!B54</f>
        <v>53</v>
      </c>
      <c r="D54" s="7"/>
      <c r="E54" s="9"/>
      <c r="F54" s="9"/>
      <c r="G54" s="10" t="str">
        <f>Econ!L54</f>
        <v/>
      </c>
      <c r="H54" s="11">
        <f>Econ!M54</f>
        <v>993</v>
      </c>
      <c r="I54" s="11" t="str">
        <f>Econ!N54</f>
        <v/>
      </c>
      <c r="J54" s="12">
        <f>Econ!O54</f>
        <v>543</v>
      </c>
      <c r="K54" s="13">
        <f>Econ!P54</f>
        <v>0</v>
      </c>
      <c r="L54" s="14">
        <f>Econ!Q54</f>
        <v>248.25</v>
      </c>
      <c r="M54" s="14">
        <f>Econ!R54</f>
        <v>0</v>
      </c>
      <c r="N54" s="13">
        <f>Econ!S54</f>
        <v>135.75</v>
      </c>
      <c r="O54" s="13">
        <f>Econ!T54</f>
        <v>6</v>
      </c>
      <c r="P54" s="7" t="str">
        <f>Econ!A54</f>
        <v>Archer</v>
      </c>
      <c r="Q54" s="10">
        <f>Econ!C54</f>
        <v>1896.42124</v>
      </c>
      <c r="R54" s="10">
        <f>Econ!E54</f>
        <v>14.00164093</v>
      </c>
      <c r="S54" s="10">
        <f>Econ!G54</f>
        <v>1264.280826</v>
      </c>
      <c r="T54" s="10">
        <f>Econ!I54</f>
        <v>28.00328185</v>
      </c>
    </row>
    <row r="55">
      <c r="A55" s="7" t="str">
        <f>Econ!A55&amp;if(Econ!B55&lt;10,"_0"&amp;Econ!B55,"_"&amp;Econ!B55)</f>
        <v>Archer_54</v>
      </c>
      <c r="B55" s="7" t="str">
        <f>"T"&amp;Econ!B55&amp;" "&amp;Econ!A55</f>
        <v>T54 Archer</v>
      </c>
      <c r="C55" s="8">
        <f>Econ!B55</f>
        <v>54</v>
      </c>
      <c r="D55" s="7"/>
      <c r="E55" s="9"/>
      <c r="F55" s="9"/>
      <c r="G55" s="10" t="str">
        <f>Econ!L55</f>
        <v/>
      </c>
      <c r="H55" s="11">
        <f>Econ!M55</f>
        <v>1024</v>
      </c>
      <c r="I55" s="11" t="str">
        <f>Econ!N55</f>
        <v/>
      </c>
      <c r="J55" s="12">
        <f>Econ!O55</f>
        <v>559</v>
      </c>
      <c r="K55" s="13">
        <f>Econ!P55</f>
        <v>0</v>
      </c>
      <c r="L55" s="14">
        <f>Econ!Q55</f>
        <v>256</v>
      </c>
      <c r="M55" s="14">
        <f>Econ!R55</f>
        <v>0</v>
      </c>
      <c r="N55" s="13">
        <f>Econ!S55</f>
        <v>139.75</v>
      </c>
      <c r="O55" s="13">
        <f>Econ!T55</f>
        <v>6</v>
      </c>
      <c r="P55" s="7" t="str">
        <f>Econ!A55</f>
        <v>Archer</v>
      </c>
      <c r="Q55" s="10">
        <f>Econ!C55</f>
        <v>1991.242302</v>
      </c>
      <c r="R55" s="10">
        <f>Econ!E55</f>
        <v>14.28167375</v>
      </c>
      <c r="S55" s="10">
        <f>Econ!G55</f>
        <v>1327.494868</v>
      </c>
      <c r="T55" s="10">
        <f>Econ!I55</f>
        <v>28.56334749</v>
      </c>
    </row>
    <row r="56">
      <c r="A56" s="7" t="str">
        <f>Econ!A56&amp;if(Econ!B56&lt;10,"_0"&amp;Econ!B56,"_"&amp;Econ!B56)</f>
        <v>Archer_55</v>
      </c>
      <c r="B56" s="7" t="str">
        <f>"T"&amp;Econ!B56&amp;" "&amp;Econ!A56</f>
        <v>T55 Archer</v>
      </c>
      <c r="C56" s="8">
        <f>Econ!B56</f>
        <v>55</v>
      </c>
      <c r="D56" s="7"/>
      <c r="E56" s="9"/>
      <c r="F56" s="9"/>
      <c r="G56" s="10" t="str">
        <f>Econ!L56</f>
        <v/>
      </c>
      <c r="H56" s="11">
        <f>Econ!M56</f>
        <v>1056</v>
      </c>
      <c r="I56" s="11" t="str">
        <f>Econ!N56</f>
        <v/>
      </c>
      <c r="J56" s="12">
        <f>Econ!O56</f>
        <v>575</v>
      </c>
      <c r="K56" s="13">
        <f>Econ!P56</f>
        <v>0</v>
      </c>
      <c r="L56" s="14">
        <f>Econ!Q56</f>
        <v>264</v>
      </c>
      <c r="M56" s="14">
        <f>Econ!R56</f>
        <v>0</v>
      </c>
      <c r="N56" s="13">
        <f>Econ!S56</f>
        <v>143.75</v>
      </c>
      <c r="O56" s="13">
        <f>Econ!T56</f>
        <v>7</v>
      </c>
      <c r="P56" s="7" t="str">
        <f>Econ!A56</f>
        <v>Archer</v>
      </c>
      <c r="Q56" s="10">
        <f>Econ!C56</f>
        <v>2090.804417</v>
      </c>
      <c r="R56" s="10">
        <f>Econ!E56</f>
        <v>14.56730722</v>
      </c>
      <c r="S56" s="10">
        <f>Econ!G56</f>
        <v>1393.869611</v>
      </c>
      <c r="T56" s="10">
        <f>Econ!I56</f>
        <v>29.13461444</v>
      </c>
    </row>
    <row r="57">
      <c r="A57" s="7" t="str">
        <f>Econ!A57&amp;if(Econ!B57&lt;10,"_0"&amp;Econ!B57,"_"&amp;Econ!B57)</f>
        <v>Archer_56</v>
      </c>
      <c r="B57" s="7" t="str">
        <f>"T"&amp;Econ!B57&amp;" "&amp;Econ!A57</f>
        <v>T56 Archer</v>
      </c>
      <c r="C57" s="8">
        <f>Econ!B57</f>
        <v>56</v>
      </c>
      <c r="D57" s="7"/>
      <c r="E57" s="9"/>
      <c r="F57" s="9"/>
      <c r="G57" s="10" t="str">
        <f>Econ!L57</f>
        <v/>
      </c>
      <c r="H57" s="11">
        <f>Econ!M57</f>
        <v>1088</v>
      </c>
      <c r="I57" s="11" t="str">
        <f>Econ!N57</f>
        <v/>
      </c>
      <c r="J57" s="12">
        <f>Econ!O57</f>
        <v>592</v>
      </c>
      <c r="K57" s="13">
        <f>Econ!P57</f>
        <v>0</v>
      </c>
      <c r="L57" s="14">
        <f>Econ!Q57</f>
        <v>272</v>
      </c>
      <c r="M57" s="14">
        <f>Econ!R57</f>
        <v>0</v>
      </c>
      <c r="N57" s="13">
        <f>Econ!S57</f>
        <v>148</v>
      </c>
      <c r="O57" s="13">
        <f>Econ!T57</f>
        <v>7</v>
      </c>
      <c r="P57" s="7" t="str">
        <f>Econ!A57</f>
        <v>Archer</v>
      </c>
      <c r="Q57" s="10">
        <f>Econ!C57</f>
        <v>2195.344637</v>
      </c>
      <c r="R57" s="10">
        <f>Econ!E57</f>
        <v>14.85865337</v>
      </c>
      <c r="S57" s="10">
        <f>Econ!G57</f>
        <v>1463.563092</v>
      </c>
      <c r="T57" s="10">
        <f>Econ!I57</f>
        <v>29.71730673</v>
      </c>
    </row>
    <row r="58">
      <c r="A58" s="7" t="str">
        <f>Econ!A58&amp;if(Econ!B58&lt;10,"_0"&amp;Econ!B58,"_"&amp;Econ!B58)</f>
        <v>Archer_57</v>
      </c>
      <c r="B58" s="7" t="str">
        <f>"T"&amp;Econ!B58&amp;" "&amp;Econ!A58</f>
        <v>T57 Archer</v>
      </c>
      <c r="C58" s="8">
        <f>Econ!B58</f>
        <v>57</v>
      </c>
      <c r="D58" s="7"/>
      <c r="E58" s="9"/>
      <c r="F58" s="9"/>
      <c r="G58" s="10" t="str">
        <f>Econ!L58</f>
        <v/>
      </c>
      <c r="H58" s="11">
        <f>Econ!M58</f>
        <v>1121</v>
      </c>
      <c r="I58" s="11" t="str">
        <f>Econ!N58</f>
        <v/>
      </c>
      <c r="J58" s="12">
        <f>Econ!O58</f>
        <v>609</v>
      </c>
      <c r="K58" s="13">
        <f>Econ!P58</f>
        <v>0</v>
      </c>
      <c r="L58" s="14">
        <f>Econ!Q58</f>
        <v>280.25</v>
      </c>
      <c r="M58" s="14">
        <f>Econ!R58</f>
        <v>0</v>
      </c>
      <c r="N58" s="13">
        <f>Econ!S58</f>
        <v>152.25</v>
      </c>
      <c r="O58" s="13">
        <f>Econ!T58</f>
        <v>7</v>
      </c>
      <c r="P58" s="7" t="str">
        <f>Econ!A58</f>
        <v>Archer</v>
      </c>
      <c r="Q58" s="10">
        <f>Econ!C58</f>
        <v>2305.111869</v>
      </c>
      <c r="R58" s="10">
        <f>Econ!E58</f>
        <v>15.15582643</v>
      </c>
      <c r="S58" s="10">
        <f>Econ!G58</f>
        <v>1536.741246</v>
      </c>
      <c r="T58" s="10">
        <f>Econ!I58</f>
        <v>30.31165286</v>
      </c>
    </row>
    <row r="59">
      <c r="A59" s="7" t="str">
        <f>Econ!A59&amp;if(Econ!B59&lt;10,"_0"&amp;Econ!B59,"_"&amp;Econ!B59)</f>
        <v>Archer_58</v>
      </c>
      <c r="B59" s="7" t="str">
        <f>"T"&amp;Econ!B59&amp;" "&amp;Econ!A59</f>
        <v>T58 Archer</v>
      </c>
      <c r="C59" s="8">
        <f>Econ!B59</f>
        <v>58</v>
      </c>
      <c r="D59" s="7"/>
      <c r="E59" s="9"/>
      <c r="F59" s="9"/>
      <c r="G59" s="10" t="str">
        <f>Econ!L59</f>
        <v/>
      </c>
      <c r="H59" s="11">
        <f>Econ!M59</f>
        <v>1154</v>
      </c>
      <c r="I59" s="11" t="str">
        <f>Econ!N59</f>
        <v/>
      </c>
      <c r="J59" s="12">
        <f>Econ!O59</f>
        <v>626</v>
      </c>
      <c r="K59" s="13">
        <f>Econ!P59</f>
        <v>0</v>
      </c>
      <c r="L59" s="14">
        <f>Econ!Q59</f>
        <v>288.5</v>
      </c>
      <c r="M59" s="14">
        <f>Econ!R59</f>
        <v>0</v>
      </c>
      <c r="N59" s="13">
        <f>Econ!S59</f>
        <v>156.5</v>
      </c>
      <c r="O59" s="13">
        <f>Econ!T59</f>
        <v>7</v>
      </c>
      <c r="P59" s="7" t="str">
        <f>Econ!A59</f>
        <v>Archer</v>
      </c>
      <c r="Q59" s="10">
        <f>Econ!C59</f>
        <v>2420.367463</v>
      </c>
      <c r="R59" s="10">
        <f>Econ!E59</f>
        <v>15.45894296</v>
      </c>
      <c r="S59" s="10">
        <f>Econ!G59</f>
        <v>1613.578309</v>
      </c>
      <c r="T59" s="10">
        <f>Econ!I59</f>
        <v>30.91788592</v>
      </c>
    </row>
    <row r="60">
      <c r="A60" s="7" t="str">
        <f>Econ!A60&amp;if(Econ!B60&lt;10,"_0"&amp;Econ!B60,"_"&amp;Econ!B60)</f>
        <v>Archer_59</v>
      </c>
      <c r="B60" s="7" t="str">
        <f>"T"&amp;Econ!B60&amp;" "&amp;Econ!A60</f>
        <v>T59 Archer</v>
      </c>
      <c r="C60" s="8">
        <f>Econ!B60</f>
        <v>59</v>
      </c>
      <c r="D60" s="7"/>
      <c r="E60" s="9"/>
      <c r="F60" s="9"/>
      <c r="G60" s="10" t="str">
        <f>Econ!L60</f>
        <v/>
      </c>
      <c r="H60" s="11">
        <f>Econ!M60</f>
        <v>1187</v>
      </c>
      <c r="I60" s="11" t="str">
        <f>Econ!N60</f>
        <v/>
      </c>
      <c r="J60" s="12">
        <f>Econ!O60</f>
        <v>643</v>
      </c>
      <c r="K60" s="13">
        <f>Econ!P60</f>
        <v>0</v>
      </c>
      <c r="L60" s="14">
        <f>Econ!Q60</f>
        <v>296.75</v>
      </c>
      <c r="M60" s="14">
        <f>Econ!R60</f>
        <v>0</v>
      </c>
      <c r="N60" s="13">
        <f>Econ!S60</f>
        <v>160.75</v>
      </c>
      <c r="O60" s="13">
        <f>Econ!T60</f>
        <v>7</v>
      </c>
      <c r="P60" s="7" t="str">
        <f>Econ!A60</f>
        <v>Archer</v>
      </c>
      <c r="Q60" s="10">
        <f>Econ!C60</f>
        <v>2541.385836</v>
      </c>
      <c r="R60" s="10">
        <f>Econ!E60</f>
        <v>15.76812182</v>
      </c>
      <c r="S60" s="10">
        <f>Econ!G60</f>
        <v>1694.257224</v>
      </c>
      <c r="T60" s="10">
        <f>Econ!I60</f>
        <v>31.53624364</v>
      </c>
    </row>
    <row r="61">
      <c r="A61" s="7" t="str">
        <f>Econ!A61&amp;if(Econ!B61&lt;10,"_0"&amp;Econ!B61,"_"&amp;Econ!B61)</f>
        <v>Archer_60</v>
      </c>
      <c r="B61" s="7" t="str">
        <f>"T"&amp;Econ!B61&amp;" "&amp;Econ!A61</f>
        <v>T60 Archer</v>
      </c>
      <c r="C61" s="8">
        <f>Econ!B61</f>
        <v>60</v>
      </c>
      <c r="D61" s="7"/>
      <c r="E61" s="9"/>
      <c r="F61" s="9"/>
      <c r="G61" s="10" t="str">
        <f>Econ!L61</f>
        <v/>
      </c>
      <c r="H61" s="11">
        <f>Econ!M61</f>
        <v>1221</v>
      </c>
      <c r="I61" s="11" t="str">
        <f>Econ!N61</f>
        <v/>
      </c>
      <c r="J61" s="12">
        <f>Econ!O61</f>
        <v>660</v>
      </c>
      <c r="K61" s="13">
        <f>Econ!P61</f>
        <v>0</v>
      </c>
      <c r="L61" s="14">
        <f>Econ!Q61</f>
        <v>305.25</v>
      </c>
      <c r="M61" s="14">
        <f>Econ!R61</f>
        <v>0</v>
      </c>
      <c r="N61" s="13">
        <f>Econ!S61</f>
        <v>165</v>
      </c>
      <c r="O61" s="13">
        <f>Econ!T61</f>
        <v>7</v>
      </c>
      <c r="P61" s="7" t="str">
        <f>Econ!A61</f>
        <v>Archer</v>
      </c>
      <c r="Q61" s="10">
        <f>Econ!C61</f>
        <v>2668.455128</v>
      </c>
      <c r="R61" s="10">
        <f>Econ!E61</f>
        <v>16.08348426</v>
      </c>
      <c r="S61" s="10">
        <f>Econ!G61</f>
        <v>1778.970085</v>
      </c>
      <c r="T61" s="10">
        <f>Econ!I61</f>
        <v>32.16696851</v>
      </c>
    </row>
    <row r="62">
      <c r="A62" s="7" t="str">
        <f>Econ!A62&amp;if(Econ!B62&lt;10,"_0"&amp;Econ!B62,"_"&amp;Econ!B62)</f>
        <v>Archer_61</v>
      </c>
      <c r="B62" s="7" t="str">
        <f>"T"&amp;Econ!B62&amp;" "&amp;Econ!A62</f>
        <v>T61 Archer</v>
      </c>
      <c r="C62" s="8">
        <f>Econ!B62</f>
        <v>61</v>
      </c>
      <c r="D62" s="7"/>
      <c r="E62" s="9"/>
      <c r="F62" s="9"/>
      <c r="G62" s="10" t="str">
        <f>Econ!L62</f>
        <v/>
      </c>
      <c r="H62" s="11">
        <f>Econ!M62</f>
        <v>1255</v>
      </c>
      <c r="I62" s="11" t="str">
        <f>Econ!N62</f>
        <v/>
      </c>
      <c r="J62" s="12">
        <f>Econ!O62</f>
        <v>678</v>
      </c>
      <c r="K62" s="13">
        <f>Econ!P62</f>
        <v>0</v>
      </c>
      <c r="L62" s="14">
        <f>Econ!Q62</f>
        <v>313.75</v>
      </c>
      <c r="M62" s="14">
        <f>Econ!R62</f>
        <v>0</v>
      </c>
      <c r="N62" s="13">
        <f>Econ!S62</f>
        <v>169.5</v>
      </c>
      <c r="O62" s="13">
        <f>Econ!T62</f>
        <v>7</v>
      </c>
      <c r="P62" s="7" t="str">
        <f>Econ!A62</f>
        <v>Archer</v>
      </c>
      <c r="Q62" s="10">
        <f>Econ!C62</f>
        <v>2801.877884</v>
      </c>
      <c r="R62" s="10">
        <f>Econ!E62</f>
        <v>16.40515394</v>
      </c>
      <c r="S62" s="10">
        <f>Econ!G62</f>
        <v>1867.918589</v>
      </c>
      <c r="T62" s="10">
        <f>Econ!I62</f>
        <v>32.81030788</v>
      </c>
    </row>
    <row r="63">
      <c r="A63" s="7" t="str">
        <f>Econ!A63&amp;if(Econ!B63&lt;10,"_0"&amp;Econ!B63,"_"&amp;Econ!B63)</f>
        <v>Archer_62</v>
      </c>
      <c r="B63" s="7" t="str">
        <f>"T"&amp;Econ!B63&amp;" "&amp;Econ!A63</f>
        <v>T62 Archer</v>
      </c>
      <c r="C63" s="8">
        <f>Econ!B63</f>
        <v>62</v>
      </c>
      <c r="D63" s="7"/>
      <c r="E63" s="9"/>
      <c r="F63" s="9"/>
      <c r="G63" s="10" t="str">
        <f>Econ!L63</f>
        <v/>
      </c>
      <c r="H63" s="11">
        <f>Econ!M63</f>
        <v>1290</v>
      </c>
      <c r="I63" s="11" t="str">
        <f>Econ!N63</f>
        <v/>
      </c>
      <c r="J63" s="12">
        <f>Econ!O63</f>
        <v>696</v>
      </c>
      <c r="K63" s="13">
        <f>Econ!P63</f>
        <v>0</v>
      </c>
      <c r="L63" s="14">
        <f>Econ!Q63</f>
        <v>322.5</v>
      </c>
      <c r="M63" s="14">
        <f>Econ!R63</f>
        <v>0</v>
      </c>
      <c r="N63" s="13">
        <f>Econ!S63</f>
        <v>174</v>
      </c>
      <c r="O63" s="13">
        <f>Econ!T63</f>
        <v>7</v>
      </c>
      <c r="P63" s="7" t="str">
        <f>Econ!A63</f>
        <v>Archer</v>
      </c>
      <c r="Q63" s="10">
        <f>Econ!C63</f>
        <v>2941.971778</v>
      </c>
      <c r="R63" s="10">
        <f>Econ!E63</f>
        <v>16.73325702</v>
      </c>
      <c r="S63" s="10">
        <f>Econ!G63</f>
        <v>1961.314519</v>
      </c>
      <c r="T63" s="10">
        <f>Econ!I63</f>
        <v>33.46651404</v>
      </c>
    </row>
    <row r="64">
      <c r="A64" s="7" t="str">
        <f>Econ!A64&amp;if(Econ!B64&lt;10,"_0"&amp;Econ!B64,"_"&amp;Econ!B64)</f>
        <v>Archer_63</v>
      </c>
      <c r="B64" s="7" t="str">
        <f>"T"&amp;Econ!B64&amp;" "&amp;Econ!A64</f>
        <v>T63 Archer</v>
      </c>
      <c r="C64" s="8">
        <f>Econ!B64</f>
        <v>63</v>
      </c>
      <c r="D64" s="7"/>
      <c r="E64" s="9"/>
      <c r="F64" s="9"/>
      <c r="G64" s="10" t="str">
        <f>Econ!L64</f>
        <v/>
      </c>
      <c r="H64" s="11">
        <f>Econ!M64</f>
        <v>1325</v>
      </c>
      <c r="I64" s="11" t="str">
        <f>Econ!N64</f>
        <v/>
      </c>
      <c r="J64" s="12">
        <f>Econ!O64</f>
        <v>714</v>
      </c>
      <c r="K64" s="13">
        <f>Econ!P64</f>
        <v>0</v>
      </c>
      <c r="L64" s="14">
        <f>Econ!Q64</f>
        <v>331.25</v>
      </c>
      <c r="M64" s="14">
        <f>Econ!R64</f>
        <v>0</v>
      </c>
      <c r="N64" s="13">
        <f>Econ!S64</f>
        <v>178.5</v>
      </c>
      <c r="O64" s="13">
        <f>Econ!T64</f>
        <v>7</v>
      </c>
      <c r="P64" s="7" t="str">
        <f>Econ!A64</f>
        <v>Archer</v>
      </c>
      <c r="Q64" s="10">
        <f>Econ!C64</f>
        <v>3089.070367</v>
      </c>
      <c r="R64" s="10">
        <f>Econ!E64</f>
        <v>17.06792216</v>
      </c>
      <c r="S64" s="10">
        <f>Econ!G64</f>
        <v>2059.380245</v>
      </c>
      <c r="T64" s="10">
        <f>Econ!I64</f>
        <v>34.13584432</v>
      </c>
    </row>
    <row r="65">
      <c r="A65" s="7" t="str">
        <f>Econ!A65&amp;if(Econ!B65&lt;10,"_0"&amp;Econ!B65,"_"&amp;Econ!B65)</f>
        <v>Archer_64</v>
      </c>
      <c r="B65" s="7" t="str">
        <f>"T"&amp;Econ!B65&amp;" "&amp;Econ!A65</f>
        <v>T64 Archer</v>
      </c>
      <c r="C65" s="8">
        <f>Econ!B65</f>
        <v>64</v>
      </c>
      <c r="D65" s="7"/>
      <c r="E65" s="9"/>
      <c r="F65" s="9"/>
      <c r="G65" s="10" t="str">
        <f>Econ!L65</f>
        <v/>
      </c>
      <c r="H65" s="11">
        <f>Econ!M65</f>
        <v>1360</v>
      </c>
      <c r="I65" s="11" t="str">
        <f>Econ!N65</f>
        <v/>
      </c>
      <c r="J65" s="12">
        <f>Econ!O65</f>
        <v>732</v>
      </c>
      <c r="K65" s="13">
        <f>Econ!P65</f>
        <v>0</v>
      </c>
      <c r="L65" s="14">
        <f>Econ!Q65</f>
        <v>340</v>
      </c>
      <c r="M65" s="14">
        <f>Econ!R65</f>
        <v>0</v>
      </c>
      <c r="N65" s="13">
        <f>Econ!S65</f>
        <v>183</v>
      </c>
      <c r="O65" s="13">
        <f>Econ!T65</f>
        <v>7</v>
      </c>
      <c r="P65" s="7" t="str">
        <f>Econ!A65</f>
        <v>Archer</v>
      </c>
      <c r="Q65" s="10">
        <f>Econ!C65</f>
        <v>3243.523886</v>
      </c>
      <c r="R65" s="10">
        <f>Econ!E65</f>
        <v>17.4092806</v>
      </c>
      <c r="S65" s="10">
        <f>Econ!G65</f>
        <v>2162.349257</v>
      </c>
      <c r="T65" s="10">
        <f>Econ!I65</f>
        <v>34.81856121</v>
      </c>
    </row>
    <row r="66">
      <c r="A66" s="7" t="str">
        <f>Econ!A66&amp;if(Econ!B66&lt;10,"_0"&amp;Econ!B66,"_"&amp;Econ!B66)</f>
        <v>Archer_65</v>
      </c>
      <c r="B66" s="7" t="str">
        <f>"T"&amp;Econ!B66&amp;" "&amp;Econ!A66</f>
        <v>T65 Archer</v>
      </c>
      <c r="C66" s="8">
        <f>Econ!B66</f>
        <v>65</v>
      </c>
      <c r="D66" s="7"/>
      <c r="E66" s="9"/>
      <c r="F66" s="9"/>
      <c r="G66" s="10" t="str">
        <f>Econ!L66</f>
        <v/>
      </c>
      <c r="H66" s="11">
        <f>Econ!M66</f>
        <v>1396</v>
      </c>
      <c r="I66" s="11" t="str">
        <f>Econ!N66</f>
        <v/>
      </c>
      <c r="J66" s="12">
        <f>Econ!O66</f>
        <v>750</v>
      </c>
      <c r="K66" s="13">
        <f>Econ!P66</f>
        <v>0</v>
      </c>
      <c r="L66" s="14">
        <f>Econ!Q66</f>
        <v>349</v>
      </c>
      <c r="M66" s="14">
        <f>Econ!R66</f>
        <v>0</v>
      </c>
      <c r="N66" s="13">
        <f>Econ!S66</f>
        <v>187.5</v>
      </c>
      <c r="O66" s="13">
        <f>Econ!T66</f>
        <v>8</v>
      </c>
      <c r="P66" s="7" t="str">
        <f>Econ!A66</f>
        <v>Archer</v>
      </c>
      <c r="Q66" s="10">
        <f>Econ!C66</f>
        <v>3405.70008</v>
      </c>
      <c r="R66" s="10">
        <f>Econ!E66</f>
        <v>17.75746622</v>
      </c>
      <c r="S66" s="10">
        <f>Econ!G66</f>
        <v>2270.46672</v>
      </c>
      <c r="T66" s="10">
        <f>Econ!I66</f>
        <v>35.51493243</v>
      </c>
    </row>
    <row r="67">
      <c r="A67" s="7" t="str">
        <f>Econ!A67&amp;if(Econ!B67&lt;10,"_0"&amp;Econ!B67,"_"&amp;Econ!B67)</f>
        <v>Archer_66</v>
      </c>
      <c r="B67" s="7" t="str">
        <f>"T"&amp;Econ!B67&amp;" "&amp;Econ!A67</f>
        <v>T66 Archer</v>
      </c>
      <c r="C67" s="8">
        <f>Econ!B67</f>
        <v>66</v>
      </c>
      <c r="D67" s="7"/>
      <c r="E67" s="9"/>
      <c r="F67" s="9"/>
      <c r="G67" s="10" t="str">
        <f>Econ!L67</f>
        <v/>
      </c>
      <c r="H67" s="11">
        <f>Econ!M67</f>
        <v>1432</v>
      </c>
      <c r="I67" s="11" t="str">
        <f>Econ!N67</f>
        <v/>
      </c>
      <c r="J67" s="12">
        <f>Econ!O67</f>
        <v>769</v>
      </c>
      <c r="K67" s="13">
        <f>Econ!P67</f>
        <v>0</v>
      </c>
      <c r="L67" s="14">
        <f>Econ!Q67</f>
        <v>358</v>
      </c>
      <c r="M67" s="14">
        <f>Econ!R67</f>
        <v>0</v>
      </c>
      <c r="N67" s="13">
        <f>Econ!S67</f>
        <v>192.25</v>
      </c>
      <c r="O67" s="13">
        <f>Econ!T67</f>
        <v>8</v>
      </c>
      <c r="P67" s="7" t="str">
        <f>Econ!A67</f>
        <v>Archer</v>
      </c>
      <c r="Q67" s="10">
        <f>Econ!C67</f>
        <v>3575.985084</v>
      </c>
      <c r="R67" s="10">
        <f>Econ!E67</f>
        <v>18.11261554</v>
      </c>
      <c r="S67" s="10">
        <f>Econ!G67</f>
        <v>2383.990056</v>
      </c>
      <c r="T67" s="10">
        <f>Econ!I67</f>
        <v>36.22523108</v>
      </c>
    </row>
    <row r="68">
      <c r="A68" s="7" t="str">
        <f>Econ!A68&amp;if(Econ!B68&lt;10,"_0"&amp;Econ!B68,"_"&amp;Econ!B68)</f>
        <v>Archer_67</v>
      </c>
      <c r="B68" s="7" t="str">
        <f>"T"&amp;Econ!B68&amp;" "&amp;Econ!A68</f>
        <v>T67 Archer</v>
      </c>
      <c r="C68" s="8">
        <f>Econ!B68</f>
        <v>67</v>
      </c>
      <c r="D68" s="7"/>
      <c r="E68" s="9"/>
      <c r="F68" s="9"/>
      <c r="G68" s="10" t="str">
        <f>Econ!L68</f>
        <v/>
      </c>
      <c r="H68" s="11">
        <f>Econ!M68</f>
        <v>1469</v>
      </c>
      <c r="I68" s="11" t="str">
        <f>Econ!N68</f>
        <v/>
      </c>
      <c r="J68" s="12">
        <f>Econ!O68</f>
        <v>788</v>
      </c>
      <c r="K68" s="13">
        <f>Econ!P68</f>
        <v>0</v>
      </c>
      <c r="L68" s="14">
        <f>Econ!Q68</f>
        <v>367.25</v>
      </c>
      <c r="M68" s="14">
        <f>Econ!R68</f>
        <v>0</v>
      </c>
      <c r="N68" s="13">
        <f>Econ!S68</f>
        <v>197</v>
      </c>
      <c r="O68" s="13">
        <f>Econ!T68</f>
        <v>8</v>
      </c>
      <c r="P68" s="7" t="str">
        <f>Econ!A68</f>
        <v>Archer</v>
      </c>
      <c r="Q68" s="10">
        <f>Econ!C68</f>
        <v>3754.784338</v>
      </c>
      <c r="R68" s="10">
        <f>Econ!E68</f>
        <v>18.47486785</v>
      </c>
      <c r="S68" s="10">
        <f>Econ!G68</f>
        <v>2503.189559</v>
      </c>
      <c r="T68" s="10">
        <f>Econ!I68</f>
        <v>36.9497357</v>
      </c>
    </row>
    <row r="69">
      <c r="A69" s="7" t="str">
        <f>Econ!A69&amp;if(Econ!B69&lt;10,"_0"&amp;Econ!B69,"_"&amp;Econ!B69)</f>
        <v>Archer_68</v>
      </c>
      <c r="B69" s="7" t="str">
        <f>"T"&amp;Econ!B69&amp;" "&amp;Econ!A69</f>
        <v>T68 Archer</v>
      </c>
      <c r="C69" s="8">
        <f>Econ!B69</f>
        <v>68</v>
      </c>
      <c r="D69" s="7"/>
      <c r="E69" s="9"/>
      <c r="F69" s="9"/>
      <c r="G69" s="10" t="str">
        <f>Econ!L69</f>
        <v/>
      </c>
      <c r="H69" s="11">
        <f>Econ!M69</f>
        <v>1506</v>
      </c>
      <c r="I69" s="11" t="str">
        <f>Econ!N69</f>
        <v/>
      </c>
      <c r="J69" s="12">
        <f>Econ!O69</f>
        <v>807</v>
      </c>
      <c r="K69" s="13">
        <f>Econ!P69</f>
        <v>0</v>
      </c>
      <c r="L69" s="14">
        <f>Econ!Q69</f>
        <v>376.5</v>
      </c>
      <c r="M69" s="14">
        <f>Econ!R69</f>
        <v>0</v>
      </c>
      <c r="N69" s="13">
        <f>Econ!S69</f>
        <v>201.75</v>
      </c>
      <c r="O69" s="13">
        <f>Econ!T69</f>
        <v>8</v>
      </c>
      <c r="P69" s="7" t="str">
        <f>Econ!A69</f>
        <v>Archer</v>
      </c>
      <c r="Q69" s="10">
        <f>Econ!C69</f>
        <v>3942.523555</v>
      </c>
      <c r="R69" s="10">
        <f>Econ!E69</f>
        <v>18.84436521</v>
      </c>
      <c r="S69" s="10">
        <f>Econ!G69</f>
        <v>2628.349037</v>
      </c>
      <c r="T69" s="10">
        <f>Econ!I69</f>
        <v>37.68873042</v>
      </c>
    </row>
    <row r="70">
      <c r="A70" s="7" t="str">
        <f>Econ!A70&amp;if(Econ!B70&lt;10,"_0"&amp;Econ!B70,"_"&amp;Econ!B70)</f>
        <v>Archer_69</v>
      </c>
      <c r="B70" s="7" t="str">
        <f>"T"&amp;Econ!B70&amp;" "&amp;Econ!A70</f>
        <v>T69 Archer</v>
      </c>
      <c r="C70" s="8">
        <f>Econ!B70</f>
        <v>69</v>
      </c>
      <c r="D70" s="7"/>
      <c r="E70" s="9"/>
      <c r="F70" s="9"/>
      <c r="G70" s="10" t="str">
        <f>Econ!L70</f>
        <v/>
      </c>
      <c r="H70" s="11">
        <f>Econ!M70</f>
        <v>1543</v>
      </c>
      <c r="I70" s="11" t="str">
        <f>Econ!N70</f>
        <v/>
      </c>
      <c r="J70" s="12">
        <f>Econ!O70</f>
        <v>826</v>
      </c>
      <c r="K70" s="13">
        <f>Econ!P70</f>
        <v>0</v>
      </c>
      <c r="L70" s="14">
        <f>Econ!Q70</f>
        <v>385.75</v>
      </c>
      <c r="M70" s="14">
        <f>Econ!R70</f>
        <v>0</v>
      </c>
      <c r="N70" s="13">
        <f>Econ!S70</f>
        <v>206.5</v>
      </c>
      <c r="O70" s="13">
        <f>Econ!T70</f>
        <v>8</v>
      </c>
      <c r="P70" s="7" t="str">
        <f>Econ!A70</f>
        <v>Archer</v>
      </c>
      <c r="Q70" s="10">
        <f>Econ!C70</f>
        <v>4139.649733</v>
      </c>
      <c r="R70" s="10">
        <f>Econ!E70</f>
        <v>19.22125251</v>
      </c>
      <c r="S70" s="10">
        <f>Econ!G70</f>
        <v>2759.766488</v>
      </c>
      <c r="T70" s="10">
        <f>Econ!I70</f>
        <v>38.44250503</v>
      </c>
    </row>
    <row r="71">
      <c r="A71" s="7" t="str">
        <f>Econ!A71&amp;if(Econ!B71&lt;10,"_0"&amp;Econ!B71,"_"&amp;Econ!B71)</f>
        <v>Archer_70</v>
      </c>
      <c r="B71" s="7" t="str">
        <f>"T"&amp;Econ!B71&amp;" "&amp;Econ!A71</f>
        <v>T70 Archer</v>
      </c>
      <c r="C71" s="8">
        <f>Econ!B71</f>
        <v>70</v>
      </c>
      <c r="D71" s="7"/>
      <c r="E71" s="9"/>
      <c r="F71" s="9"/>
      <c r="G71" s="10" t="str">
        <f>Econ!L71</f>
        <v/>
      </c>
      <c r="H71" s="11">
        <f>Econ!M71</f>
        <v>1581</v>
      </c>
      <c r="I71" s="11" t="str">
        <f>Econ!N71</f>
        <v/>
      </c>
      <c r="J71" s="12">
        <f>Econ!O71</f>
        <v>845</v>
      </c>
      <c r="K71" s="13">
        <f>Econ!P71</f>
        <v>0</v>
      </c>
      <c r="L71" s="14">
        <f>Econ!Q71</f>
        <v>395.25</v>
      </c>
      <c r="M71" s="14">
        <f>Econ!R71</f>
        <v>0</v>
      </c>
      <c r="N71" s="13">
        <f>Econ!S71</f>
        <v>211.25</v>
      </c>
      <c r="O71" s="13">
        <f>Econ!T71</f>
        <v>8</v>
      </c>
      <c r="P71" s="7" t="str">
        <f>Econ!A71</f>
        <v>Archer</v>
      </c>
      <c r="Q71" s="10">
        <f>Econ!C71</f>
        <v>4346.632219</v>
      </c>
      <c r="R71" s="10">
        <f>Econ!E71</f>
        <v>19.60567756</v>
      </c>
      <c r="S71" s="10">
        <f>Econ!G71</f>
        <v>2897.754813</v>
      </c>
      <c r="T71" s="10">
        <f>Econ!I71</f>
        <v>39.21135513</v>
      </c>
    </row>
    <row r="72">
      <c r="A72" s="7" t="str">
        <f>Econ!A72&amp;if(Econ!B72&lt;10,"_0"&amp;Econ!B72,"_"&amp;Econ!B72)</f>
        <v>Archer_71</v>
      </c>
      <c r="B72" s="7" t="str">
        <f>"T"&amp;Econ!B72&amp;" "&amp;Econ!A72</f>
        <v>T71 Archer</v>
      </c>
      <c r="C72" s="8">
        <f>Econ!B72</f>
        <v>71</v>
      </c>
      <c r="D72" s="7"/>
      <c r="E72" s="9"/>
      <c r="F72" s="9"/>
      <c r="G72" s="10" t="str">
        <f>Econ!L72</f>
        <v/>
      </c>
      <c r="H72" s="11">
        <f>Econ!M72</f>
        <v>1619</v>
      </c>
      <c r="I72" s="11" t="str">
        <f>Econ!N72</f>
        <v/>
      </c>
      <c r="J72" s="12">
        <f>Econ!O72</f>
        <v>865</v>
      </c>
      <c r="K72" s="13">
        <f>Econ!P72</f>
        <v>0</v>
      </c>
      <c r="L72" s="14">
        <f>Econ!Q72</f>
        <v>404.75</v>
      </c>
      <c r="M72" s="14">
        <f>Econ!R72</f>
        <v>0</v>
      </c>
      <c r="N72" s="13">
        <f>Econ!S72</f>
        <v>216.25</v>
      </c>
      <c r="O72" s="13">
        <f>Econ!T72</f>
        <v>8</v>
      </c>
      <c r="P72" s="7" t="str">
        <f>Econ!A72</f>
        <v>Archer</v>
      </c>
      <c r="Q72" s="10">
        <f>Econ!C72</f>
        <v>4563.96383</v>
      </c>
      <c r="R72" s="10">
        <f>Econ!E72</f>
        <v>19.99779111</v>
      </c>
      <c r="S72" s="10">
        <f>Econ!G72</f>
        <v>3042.642554</v>
      </c>
      <c r="T72" s="10">
        <f>Econ!I72</f>
        <v>39.99558223</v>
      </c>
    </row>
    <row r="73">
      <c r="A73" s="7" t="str">
        <f>Econ!A73&amp;if(Econ!B73&lt;10,"_0"&amp;Econ!B73,"_"&amp;Econ!B73)</f>
        <v>Archer_72</v>
      </c>
      <c r="B73" s="7" t="str">
        <f>"T"&amp;Econ!B73&amp;" "&amp;Econ!A73</f>
        <v>T72 Archer</v>
      </c>
      <c r="C73" s="8">
        <f>Econ!B73</f>
        <v>72</v>
      </c>
      <c r="D73" s="7"/>
      <c r="E73" s="9"/>
      <c r="F73" s="9"/>
      <c r="G73" s="10" t="str">
        <f>Econ!L73</f>
        <v/>
      </c>
      <c r="H73" s="11">
        <f>Econ!M73</f>
        <v>1657</v>
      </c>
      <c r="I73" s="11" t="str">
        <f>Econ!N73</f>
        <v/>
      </c>
      <c r="J73" s="12">
        <f>Econ!O73</f>
        <v>885</v>
      </c>
      <c r="K73" s="13">
        <f>Econ!P73</f>
        <v>0</v>
      </c>
      <c r="L73" s="14">
        <f>Econ!Q73</f>
        <v>414.25</v>
      </c>
      <c r="M73" s="14">
        <f>Econ!R73</f>
        <v>0</v>
      </c>
      <c r="N73" s="13">
        <f>Econ!S73</f>
        <v>221.25</v>
      </c>
      <c r="O73" s="13">
        <f>Econ!T73</f>
        <v>8</v>
      </c>
      <c r="P73" s="7" t="str">
        <f>Econ!A73</f>
        <v>Archer</v>
      </c>
      <c r="Q73" s="10">
        <f>Econ!C73</f>
        <v>4792.162022</v>
      </c>
      <c r="R73" s="10">
        <f>Econ!E73</f>
        <v>20.39774694</v>
      </c>
      <c r="S73" s="10">
        <f>Econ!G73</f>
        <v>3194.774681</v>
      </c>
      <c r="T73" s="10">
        <f>Econ!I73</f>
        <v>40.79549387</v>
      </c>
    </row>
    <row r="74">
      <c r="A74" s="7" t="str">
        <f>Econ!A74&amp;if(Econ!B74&lt;10,"_0"&amp;Econ!B74,"_"&amp;Econ!B74)</f>
        <v>Archer_73</v>
      </c>
      <c r="B74" s="7" t="str">
        <f>"T"&amp;Econ!B74&amp;" "&amp;Econ!A74</f>
        <v>T73 Archer</v>
      </c>
      <c r="C74" s="8">
        <f>Econ!B74</f>
        <v>73</v>
      </c>
      <c r="D74" s="7"/>
      <c r="E74" s="9"/>
      <c r="F74" s="9"/>
      <c r="G74" s="10" t="str">
        <f>Econ!L74</f>
        <v/>
      </c>
      <c r="H74" s="11">
        <f>Econ!M74</f>
        <v>1696</v>
      </c>
      <c r="I74" s="11" t="str">
        <f>Econ!N74</f>
        <v/>
      </c>
      <c r="J74" s="12">
        <f>Econ!O74</f>
        <v>905</v>
      </c>
      <c r="K74" s="13">
        <f>Econ!P74</f>
        <v>0</v>
      </c>
      <c r="L74" s="14">
        <f>Econ!Q74</f>
        <v>424</v>
      </c>
      <c r="M74" s="14">
        <f>Econ!R74</f>
        <v>0</v>
      </c>
      <c r="N74" s="13">
        <f>Econ!S74</f>
        <v>226.25</v>
      </c>
      <c r="O74" s="13">
        <f>Econ!T74</f>
        <v>8</v>
      </c>
      <c r="P74" s="7" t="str">
        <f>Econ!A74</f>
        <v>Archer</v>
      </c>
      <c r="Q74" s="10">
        <f>Econ!C74</f>
        <v>5031.770123</v>
      </c>
      <c r="R74" s="10">
        <f>Econ!E74</f>
        <v>20.80570188</v>
      </c>
      <c r="S74" s="10">
        <f>Econ!G74</f>
        <v>3354.513415</v>
      </c>
      <c r="T74" s="10">
        <f>Econ!I74</f>
        <v>41.61140375</v>
      </c>
    </row>
    <row r="75">
      <c r="A75" s="7" t="str">
        <f>Econ!A75&amp;if(Econ!B75&lt;10,"_0"&amp;Econ!B75,"_"&amp;Econ!B75)</f>
        <v>Archer_74</v>
      </c>
      <c r="B75" s="7" t="str">
        <f>"T"&amp;Econ!B75&amp;" "&amp;Econ!A75</f>
        <v>T74 Archer</v>
      </c>
      <c r="C75" s="8">
        <f>Econ!B75</f>
        <v>74</v>
      </c>
      <c r="D75" s="7"/>
      <c r="E75" s="9"/>
      <c r="F75" s="9"/>
      <c r="G75" s="10" t="str">
        <f>Econ!L75</f>
        <v/>
      </c>
      <c r="H75" s="11">
        <f>Econ!M75</f>
        <v>1735</v>
      </c>
      <c r="I75" s="11" t="str">
        <f>Econ!N75</f>
        <v/>
      </c>
      <c r="J75" s="12">
        <f>Econ!O75</f>
        <v>925</v>
      </c>
      <c r="K75" s="13">
        <f>Econ!P75</f>
        <v>0</v>
      </c>
      <c r="L75" s="14">
        <f>Econ!Q75</f>
        <v>433.75</v>
      </c>
      <c r="M75" s="14">
        <f>Econ!R75</f>
        <v>0</v>
      </c>
      <c r="N75" s="13">
        <f>Econ!S75</f>
        <v>231.25</v>
      </c>
      <c r="O75" s="13">
        <f>Econ!T75</f>
        <v>8</v>
      </c>
      <c r="P75" s="7" t="str">
        <f>Econ!A75</f>
        <v>Archer</v>
      </c>
      <c r="Q75" s="10">
        <f>Econ!C75</f>
        <v>5283.358629</v>
      </c>
      <c r="R75" s="10">
        <f>Econ!E75</f>
        <v>21.22181591</v>
      </c>
      <c r="S75" s="10">
        <f>Econ!G75</f>
        <v>3522.239086</v>
      </c>
      <c r="T75" s="10">
        <f>Econ!I75</f>
        <v>42.44363183</v>
      </c>
    </row>
    <row r="76">
      <c r="A76" s="7" t="str">
        <f>Econ!A76&amp;if(Econ!B76&lt;10,"_0"&amp;Econ!B76,"_"&amp;Econ!B76)</f>
        <v>Archer_75</v>
      </c>
      <c r="B76" s="7" t="str">
        <f>"T"&amp;Econ!B76&amp;" "&amp;Econ!A76</f>
        <v>T75 Archer</v>
      </c>
      <c r="C76" s="8">
        <f>Econ!B76</f>
        <v>75</v>
      </c>
      <c r="D76" s="7"/>
      <c r="E76" s="9"/>
      <c r="F76" s="9"/>
      <c r="G76" s="10" t="str">
        <f>Econ!L76</f>
        <v/>
      </c>
      <c r="H76" s="11">
        <f>Econ!M76</f>
        <v>1774</v>
      </c>
      <c r="I76" s="11" t="str">
        <f>Econ!N76</f>
        <v/>
      </c>
      <c r="J76" s="12">
        <f>Econ!O76</f>
        <v>945</v>
      </c>
      <c r="K76" s="13">
        <f>Econ!P76</f>
        <v>0</v>
      </c>
      <c r="L76" s="14">
        <f>Econ!Q76</f>
        <v>443.5</v>
      </c>
      <c r="M76" s="14">
        <f>Econ!R76</f>
        <v>0</v>
      </c>
      <c r="N76" s="13">
        <f>Econ!S76</f>
        <v>236.25</v>
      </c>
      <c r="O76" s="13">
        <f>Econ!T76</f>
        <v>9</v>
      </c>
      <c r="P76" s="7" t="str">
        <f>Econ!A76</f>
        <v>Archer</v>
      </c>
      <c r="Q76" s="10">
        <f>Econ!C76</f>
        <v>5547.526561</v>
      </c>
      <c r="R76" s="10">
        <f>Econ!E76</f>
        <v>21.64625223</v>
      </c>
      <c r="S76" s="10">
        <f>Econ!G76</f>
        <v>3698.35104</v>
      </c>
      <c r="T76" s="10">
        <f>Econ!I76</f>
        <v>43.29250446</v>
      </c>
    </row>
    <row r="77">
      <c r="A77" s="7" t="str">
        <f>Econ!A77&amp;if(Econ!B77&lt;10,"_0"&amp;Econ!B77,"_"&amp;Econ!B77)</f>
        <v>Archer_76</v>
      </c>
      <c r="B77" s="7" t="str">
        <f>"T"&amp;Econ!B77&amp;" "&amp;Econ!A77</f>
        <v>T76 Archer</v>
      </c>
      <c r="C77" s="8">
        <f>Econ!B77</f>
        <v>76</v>
      </c>
      <c r="D77" s="7"/>
      <c r="E77" s="9"/>
      <c r="F77" s="9"/>
      <c r="G77" s="10" t="str">
        <f>Econ!L77</f>
        <v/>
      </c>
      <c r="H77" s="11">
        <f>Econ!M77</f>
        <v>1814</v>
      </c>
      <c r="I77" s="11" t="str">
        <f>Econ!N77</f>
        <v/>
      </c>
      <c r="J77" s="12">
        <f>Econ!O77</f>
        <v>965</v>
      </c>
      <c r="K77" s="13">
        <f>Econ!P77</f>
        <v>0</v>
      </c>
      <c r="L77" s="14">
        <f>Econ!Q77</f>
        <v>453.5</v>
      </c>
      <c r="M77" s="14">
        <f>Econ!R77</f>
        <v>0</v>
      </c>
      <c r="N77" s="13">
        <f>Econ!S77</f>
        <v>241.25</v>
      </c>
      <c r="O77" s="13">
        <f>Econ!T77</f>
        <v>9</v>
      </c>
      <c r="P77" s="7" t="str">
        <f>Econ!A77</f>
        <v>Archer</v>
      </c>
      <c r="Q77" s="10">
        <f>Econ!C77</f>
        <v>5824.902889</v>
      </c>
      <c r="R77" s="10">
        <f>Econ!E77</f>
        <v>22.07917728</v>
      </c>
      <c r="S77" s="10">
        <f>Econ!G77</f>
        <v>3883.268592</v>
      </c>
      <c r="T77" s="10">
        <f>Econ!I77</f>
        <v>44.15835455</v>
      </c>
    </row>
    <row r="78">
      <c r="A78" s="7" t="str">
        <f>Econ!A78&amp;if(Econ!B78&lt;10,"_0"&amp;Econ!B78,"_"&amp;Econ!B78)</f>
        <v>Archer_77</v>
      </c>
      <c r="B78" s="7" t="str">
        <f>"T"&amp;Econ!B78&amp;" "&amp;Econ!A78</f>
        <v>T77 Archer</v>
      </c>
      <c r="C78" s="8">
        <f>Econ!B78</f>
        <v>77</v>
      </c>
      <c r="D78" s="7"/>
      <c r="E78" s="9"/>
      <c r="F78" s="9"/>
      <c r="G78" s="10" t="str">
        <f>Econ!L78</f>
        <v/>
      </c>
      <c r="H78" s="11">
        <f>Econ!M78</f>
        <v>1854</v>
      </c>
      <c r="I78" s="11" t="str">
        <f>Econ!N78</f>
        <v/>
      </c>
      <c r="J78" s="12">
        <f>Econ!O78</f>
        <v>986</v>
      </c>
      <c r="K78" s="13">
        <f>Econ!P78</f>
        <v>0</v>
      </c>
      <c r="L78" s="14">
        <f>Econ!Q78</f>
        <v>463.5</v>
      </c>
      <c r="M78" s="14">
        <f>Econ!R78</f>
        <v>0</v>
      </c>
      <c r="N78" s="13">
        <f>Econ!S78</f>
        <v>246.5</v>
      </c>
      <c r="O78" s="13">
        <f>Econ!T78</f>
        <v>9</v>
      </c>
      <c r="P78" s="7" t="str">
        <f>Econ!A78</f>
        <v>Archer</v>
      </c>
      <c r="Q78" s="10">
        <f>Econ!C78</f>
        <v>6116.148033</v>
      </c>
      <c r="R78" s="10">
        <f>Econ!E78</f>
        <v>22.52076082</v>
      </c>
      <c r="S78" s="10">
        <f>Econ!G78</f>
        <v>4077.432022</v>
      </c>
      <c r="T78" s="10">
        <f>Econ!I78</f>
        <v>45.04152164</v>
      </c>
    </row>
    <row r="79">
      <c r="A79" s="7" t="str">
        <f>Econ!A79&amp;if(Econ!B79&lt;10,"_0"&amp;Econ!B79,"_"&amp;Econ!B79)</f>
        <v>Archer_78</v>
      </c>
      <c r="B79" s="7" t="str">
        <f>"T"&amp;Econ!B79&amp;" "&amp;Econ!A79</f>
        <v>T78 Archer</v>
      </c>
      <c r="C79" s="8">
        <f>Econ!B79</f>
        <v>78</v>
      </c>
      <c r="D79" s="7"/>
      <c r="E79" s="9"/>
      <c r="F79" s="9"/>
      <c r="G79" s="10" t="str">
        <f>Econ!L79</f>
        <v/>
      </c>
      <c r="H79" s="11">
        <f>Econ!M79</f>
        <v>1895</v>
      </c>
      <c r="I79" s="11" t="str">
        <f>Econ!N79</f>
        <v/>
      </c>
      <c r="J79" s="12">
        <f>Econ!O79</f>
        <v>1007</v>
      </c>
      <c r="K79" s="13">
        <f>Econ!P79</f>
        <v>0</v>
      </c>
      <c r="L79" s="14">
        <f>Econ!Q79</f>
        <v>473.75</v>
      </c>
      <c r="M79" s="14">
        <f>Econ!R79</f>
        <v>0</v>
      </c>
      <c r="N79" s="13">
        <f>Econ!S79</f>
        <v>251.75</v>
      </c>
      <c r="O79" s="13">
        <f>Econ!T79</f>
        <v>9</v>
      </c>
      <c r="P79" s="7" t="str">
        <f>Econ!A79</f>
        <v>Archer</v>
      </c>
      <c r="Q79" s="10">
        <f>Econ!C79</f>
        <v>6421.955435</v>
      </c>
      <c r="R79" s="10">
        <f>Econ!E79</f>
        <v>22.97117604</v>
      </c>
      <c r="S79" s="10">
        <f>Econ!G79</f>
        <v>4281.303623</v>
      </c>
      <c r="T79" s="10">
        <f>Econ!I79</f>
        <v>45.94235208</v>
      </c>
    </row>
    <row r="80">
      <c r="A80" s="7" t="str">
        <f>Econ!A80&amp;if(Econ!B80&lt;10,"_0"&amp;Econ!B80,"_"&amp;Econ!B80)</f>
        <v>Archer_79</v>
      </c>
      <c r="B80" s="7" t="str">
        <f>"T"&amp;Econ!B80&amp;" "&amp;Econ!A80</f>
        <v>T79 Archer</v>
      </c>
      <c r="C80" s="8">
        <f>Econ!B80</f>
        <v>79</v>
      </c>
      <c r="D80" s="7"/>
      <c r="E80" s="9"/>
      <c r="F80" s="9"/>
      <c r="G80" s="10" t="str">
        <f>Econ!L80</f>
        <v/>
      </c>
      <c r="H80" s="11">
        <f>Econ!M80</f>
        <v>1936</v>
      </c>
      <c r="I80" s="11" t="str">
        <f>Econ!N80</f>
        <v/>
      </c>
      <c r="J80" s="12">
        <f>Econ!O80</f>
        <v>1028</v>
      </c>
      <c r="K80" s="13">
        <f>Econ!P80</f>
        <v>0</v>
      </c>
      <c r="L80" s="14">
        <f>Econ!Q80</f>
        <v>484</v>
      </c>
      <c r="M80" s="14">
        <f>Econ!R80</f>
        <v>0</v>
      </c>
      <c r="N80" s="13">
        <f>Econ!S80</f>
        <v>257</v>
      </c>
      <c r="O80" s="13">
        <f>Econ!T80</f>
        <v>9</v>
      </c>
      <c r="P80" s="7" t="str">
        <f>Econ!A80</f>
        <v>Archer</v>
      </c>
      <c r="Q80" s="10">
        <f>Econ!C80</f>
        <v>6743.053206</v>
      </c>
      <c r="R80" s="10">
        <f>Econ!E80</f>
        <v>23.43059956</v>
      </c>
      <c r="S80" s="10">
        <f>Econ!G80</f>
        <v>4495.368804</v>
      </c>
      <c r="T80" s="10">
        <f>Econ!I80</f>
        <v>46.86119912</v>
      </c>
    </row>
    <row r="81">
      <c r="A81" s="7" t="str">
        <f>Econ!A81&amp;if(Econ!B81&lt;10,"_0"&amp;Econ!B81,"_"&amp;Econ!B81)</f>
        <v>Archer_80</v>
      </c>
      <c r="B81" s="7" t="str">
        <f>"T"&amp;Econ!B81&amp;" "&amp;Econ!A81</f>
        <v>T80 Archer</v>
      </c>
      <c r="C81" s="8">
        <f>Econ!B81</f>
        <v>80</v>
      </c>
      <c r="D81" s="7"/>
      <c r="E81" s="9"/>
      <c r="F81" s="9"/>
      <c r="G81" s="10" t="str">
        <f>Econ!L81</f>
        <v/>
      </c>
      <c r="H81" s="11">
        <f>Econ!M81</f>
        <v>1977</v>
      </c>
      <c r="I81" s="11" t="str">
        <f>Econ!N81</f>
        <v/>
      </c>
      <c r="J81" s="12">
        <f>Econ!O81</f>
        <v>1049</v>
      </c>
      <c r="K81" s="13">
        <f>Econ!P81</f>
        <v>0</v>
      </c>
      <c r="L81" s="14">
        <f>Econ!Q81</f>
        <v>494.25</v>
      </c>
      <c r="M81" s="14">
        <f>Econ!R81</f>
        <v>0</v>
      </c>
      <c r="N81" s="13">
        <f>Econ!S81</f>
        <v>262.25</v>
      </c>
      <c r="O81" s="13">
        <f>Econ!T81</f>
        <v>9</v>
      </c>
      <c r="P81" s="7" t="str">
        <f>Econ!A81</f>
        <v>Archer</v>
      </c>
      <c r="Q81" s="10">
        <f>Econ!C81</f>
        <v>7080.205867</v>
      </c>
      <c r="R81" s="10">
        <f>Econ!E81</f>
        <v>23.89921155</v>
      </c>
      <c r="S81" s="10">
        <f>Econ!G81</f>
        <v>4720.137244</v>
      </c>
      <c r="T81" s="10">
        <f>Econ!I81</f>
        <v>47.7984231</v>
      </c>
    </row>
    <row r="82">
      <c r="A82" s="7" t="str">
        <f>Econ!A82&amp;if(Econ!B82&lt;10,"_0"&amp;Econ!B82,"_"&amp;Econ!B82)</f>
        <v>Archer_81</v>
      </c>
      <c r="B82" s="7" t="str">
        <f>"T"&amp;Econ!B82&amp;" "&amp;Econ!A82</f>
        <v>T81 Archer</v>
      </c>
      <c r="C82" s="8">
        <f>Econ!B82</f>
        <v>81</v>
      </c>
      <c r="D82" s="7"/>
      <c r="E82" s="9"/>
      <c r="F82" s="9"/>
      <c r="G82" s="10" t="str">
        <f>Econ!L82</f>
        <v/>
      </c>
      <c r="H82" s="11">
        <f>Econ!M82</f>
        <v>2019</v>
      </c>
      <c r="I82" s="11" t="str">
        <f>Econ!N82</f>
        <v/>
      </c>
      <c r="J82" s="12">
        <f>Econ!O82</f>
        <v>1070</v>
      </c>
      <c r="K82" s="13">
        <f>Econ!P82</f>
        <v>0</v>
      </c>
      <c r="L82" s="14">
        <f>Econ!Q82</f>
        <v>504.75</v>
      </c>
      <c r="M82" s="14">
        <f>Econ!R82</f>
        <v>0</v>
      </c>
      <c r="N82" s="13">
        <f>Econ!S82</f>
        <v>267.5</v>
      </c>
      <c r="O82" s="13">
        <f>Econ!T82</f>
        <v>9</v>
      </c>
      <c r="P82" s="7" t="str">
        <f>Econ!A82</f>
        <v>Archer</v>
      </c>
      <c r="Q82" s="10">
        <f>Econ!C82</f>
        <v>7434.21616</v>
      </c>
      <c r="R82" s="10">
        <f>Econ!E82</f>
        <v>24.37719578</v>
      </c>
      <c r="S82" s="10">
        <f>Econ!G82</f>
        <v>4956.144107</v>
      </c>
      <c r="T82" s="10">
        <f>Econ!I82</f>
        <v>48.75439156</v>
      </c>
    </row>
    <row r="83">
      <c r="A83" s="7" t="str">
        <f>Econ!A83&amp;if(Econ!B83&lt;10,"_0"&amp;Econ!B83,"_"&amp;Econ!B83)</f>
        <v>Archer_82</v>
      </c>
      <c r="B83" s="7" t="str">
        <f>"T"&amp;Econ!B83&amp;" "&amp;Econ!A83</f>
        <v>T82 Archer</v>
      </c>
      <c r="C83" s="8">
        <f>Econ!B83</f>
        <v>82</v>
      </c>
      <c r="D83" s="7"/>
      <c r="E83" s="9"/>
      <c r="F83" s="9"/>
      <c r="G83" s="10" t="str">
        <f>Econ!L83</f>
        <v/>
      </c>
      <c r="H83" s="11">
        <f>Econ!M83</f>
        <v>2061</v>
      </c>
      <c r="I83" s="11" t="str">
        <f>Econ!N83</f>
        <v/>
      </c>
      <c r="J83" s="12">
        <f>Econ!O83</f>
        <v>1091</v>
      </c>
      <c r="K83" s="13">
        <f>Econ!P83</f>
        <v>0</v>
      </c>
      <c r="L83" s="14">
        <f>Econ!Q83</f>
        <v>515.25</v>
      </c>
      <c r="M83" s="14">
        <f>Econ!R83</f>
        <v>0</v>
      </c>
      <c r="N83" s="13">
        <f>Econ!S83</f>
        <v>272.75</v>
      </c>
      <c r="O83" s="13">
        <f>Econ!T83</f>
        <v>9</v>
      </c>
      <c r="P83" s="7" t="str">
        <f>Econ!A83</f>
        <v>Archer</v>
      </c>
      <c r="Q83" s="10">
        <f>Econ!C83</f>
        <v>7805.926968</v>
      </c>
      <c r="R83" s="10">
        <f>Econ!E83</f>
        <v>24.8647397</v>
      </c>
      <c r="S83" s="10">
        <f>Econ!G83</f>
        <v>5203.951312</v>
      </c>
      <c r="T83" s="10">
        <f>Econ!I83</f>
        <v>49.72947939</v>
      </c>
    </row>
    <row r="84">
      <c r="A84" s="7" t="str">
        <f>Econ!A84&amp;if(Econ!B84&lt;10,"_0"&amp;Econ!B84,"_"&amp;Econ!B84)</f>
        <v>Archer_83</v>
      </c>
      <c r="B84" s="7" t="str">
        <f>"T"&amp;Econ!B84&amp;" "&amp;Econ!A84</f>
        <v>T83 Archer</v>
      </c>
      <c r="C84" s="8">
        <f>Econ!B84</f>
        <v>83</v>
      </c>
      <c r="D84" s="7"/>
      <c r="E84" s="9"/>
      <c r="F84" s="9"/>
      <c r="G84" s="10" t="str">
        <f>Econ!L84</f>
        <v/>
      </c>
      <c r="H84" s="11">
        <f>Econ!M84</f>
        <v>2103</v>
      </c>
      <c r="I84" s="11" t="str">
        <f>Econ!N84</f>
        <v/>
      </c>
      <c r="J84" s="12">
        <f>Econ!O84</f>
        <v>1113</v>
      </c>
      <c r="K84" s="13">
        <f>Econ!P84</f>
        <v>0</v>
      </c>
      <c r="L84" s="14">
        <f>Econ!Q84</f>
        <v>525.75</v>
      </c>
      <c r="M84" s="14">
        <f>Econ!R84</f>
        <v>0</v>
      </c>
      <c r="N84" s="13">
        <f>Econ!S84</f>
        <v>278.25</v>
      </c>
      <c r="O84" s="13">
        <f>Econ!T84</f>
        <v>9</v>
      </c>
      <c r="P84" s="7" t="str">
        <f>Econ!A84</f>
        <v>Archer</v>
      </c>
      <c r="Q84" s="10">
        <f>Econ!C84</f>
        <v>8196.223316</v>
      </c>
      <c r="R84" s="10">
        <f>Econ!E84</f>
        <v>25.36203449</v>
      </c>
      <c r="S84" s="10">
        <f>Econ!G84</f>
        <v>5464.148878</v>
      </c>
      <c r="T84" s="10">
        <f>Econ!I84</f>
        <v>50.72406898</v>
      </c>
    </row>
    <row r="85">
      <c r="A85" s="7" t="str">
        <f>Econ!A85&amp;if(Econ!B85&lt;10,"_0"&amp;Econ!B85,"_"&amp;Econ!B85)</f>
        <v>Archer_84</v>
      </c>
      <c r="B85" s="7" t="str">
        <f>"T"&amp;Econ!B85&amp;" "&amp;Econ!A85</f>
        <v>T84 Archer</v>
      </c>
      <c r="C85" s="8">
        <f>Econ!B85</f>
        <v>84</v>
      </c>
      <c r="D85" s="7"/>
      <c r="E85" s="9"/>
      <c r="F85" s="9"/>
      <c r="G85" s="10" t="str">
        <f>Econ!L85</f>
        <v/>
      </c>
      <c r="H85" s="11">
        <f>Econ!M85</f>
        <v>2146</v>
      </c>
      <c r="I85" s="11" t="str">
        <f>Econ!N85</f>
        <v/>
      </c>
      <c r="J85" s="12">
        <f>Econ!O85</f>
        <v>1135</v>
      </c>
      <c r="K85" s="13">
        <f>Econ!P85</f>
        <v>0</v>
      </c>
      <c r="L85" s="14">
        <f>Econ!Q85</f>
        <v>536.5</v>
      </c>
      <c r="M85" s="14">
        <f>Econ!R85</f>
        <v>0</v>
      </c>
      <c r="N85" s="13">
        <f>Econ!S85</f>
        <v>283.75</v>
      </c>
      <c r="O85" s="13">
        <f>Econ!T85</f>
        <v>9</v>
      </c>
      <c r="P85" s="7" t="str">
        <f>Econ!A85</f>
        <v>Archer</v>
      </c>
      <c r="Q85" s="10">
        <f>Econ!C85</f>
        <v>8606.034482</v>
      </c>
      <c r="R85" s="10">
        <f>Econ!E85</f>
        <v>25.86927518</v>
      </c>
      <c r="S85" s="10">
        <f>Econ!G85</f>
        <v>5737.356322</v>
      </c>
      <c r="T85" s="10">
        <f>Econ!I85</f>
        <v>51.73855036</v>
      </c>
    </row>
    <row r="86">
      <c r="A86" s="7" t="str">
        <f>Econ!A86&amp;if(Econ!B86&lt;10,"_0"&amp;Econ!B86,"_"&amp;Econ!B86)</f>
        <v>Archer_85</v>
      </c>
      <c r="B86" s="7" t="str">
        <f>"T"&amp;Econ!B86&amp;" "&amp;Econ!A86</f>
        <v>T85 Archer</v>
      </c>
      <c r="C86" s="8">
        <f>Econ!B86</f>
        <v>85</v>
      </c>
      <c r="D86" s="7"/>
      <c r="E86" s="9"/>
      <c r="F86" s="9"/>
      <c r="G86" s="10" t="str">
        <f>Econ!L86</f>
        <v/>
      </c>
      <c r="H86" s="11">
        <f>Econ!M86</f>
        <v>2189</v>
      </c>
      <c r="I86" s="11" t="str">
        <f>Econ!N86</f>
        <v/>
      </c>
      <c r="J86" s="12">
        <f>Econ!O86</f>
        <v>1157</v>
      </c>
      <c r="K86" s="13">
        <f>Econ!P86</f>
        <v>0</v>
      </c>
      <c r="L86" s="14">
        <f>Econ!Q86</f>
        <v>547.25</v>
      </c>
      <c r="M86" s="14">
        <f>Econ!R86</f>
        <v>0</v>
      </c>
      <c r="N86" s="13">
        <f>Econ!S86</f>
        <v>289.25</v>
      </c>
      <c r="O86" s="13">
        <f>Econ!T86</f>
        <v>10</v>
      </c>
      <c r="P86" s="7" t="str">
        <f>Econ!A86</f>
        <v>Archer</v>
      </c>
      <c r="Q86" s="10">
        <f>Econ!C86</f>
        <v>9036.336206</v>
      </c>
      <c r="R86" s="10">
        <f>Econ!E86</f>
        <v>26.38666068</v>
      </c>
      <c r="S86" s="10">
        <f>Econ!G86</f>
        <v>6024.224138</v>
      </c>
      <c r="T86" s="10">
        <f>Econ!I86</f>
        <v>52.77332137</v>
      </c>
    </row>
    <row r="87">
      <c r="A87" s="7" t="str">
        <f>Econ!A87&amp;if(Econ!B87&lt;10,"_0"&amp;Econ!B87,"_"&amp;Econ!B87)</f>
        <v>Archer_86</v>
      </c>
      <c r="B87" s="7" t="str">
        <f>"T"&amp;Econ!B87&amp;" "&amp;Econ!A87</f>
        <v>T86 Archer</v>
      </c>
      <c r="C87" s="8">
        <f>Econ!B87</f>
        <v>86</v>
      </c>
      <c r="D87" s="7"/>
      <c r="E87" s="9"/>
      <c r="F87" s="9"/>
      <c r="G87" s="10" t="str">
        <f>Econ!L87</f>
        <v/>
      </c>
      <c r="H87" s="11">
        <f>Econ!M87</f>
        <v>2232</v>
      </c>
      <c r="I87" s="11" t="str">
        <f>Econ!N87</f>
        <v/>
      </c>
      <c r="J87" s="12">
        <f>Econ!O87</f>
        <v>1179</v>
      </c>
      <c r="K87" s="13">
        <f>Econ!P87</f>
        <v>0</v>
      </c>
      <c r="L87" s="14">
        <f>Econ!Q87</f>
        <v>558</v>
      </c>
      <c r="M87" s="14">
        <f>Econ!R87</f>
        <v>0</v>
      </c>
      <c r="N87" s="13">
        <f>Econ!S87</f>
        <v>294.75</v>
      </c>
      <c r="O87" s="13">
        <f>Econ!T87</f>
        <v>10</v>
      </c>
      <c r="P87" s="7" t="str">
        <f>Econ!A87</f>
        <v>Archer</v>
      </c>
      <c r="Q87" s="10">
        <f>Econ!C87</f>
        <v>9488.153017</v>
      </c>
      <c r="R87" s="10">
        <f>Econ!E87</f>
        <v>26.9143939</v>
      </c>
      <c r="S87" s="10">
        <f>Econ!G87</f>
        <v>6325.435344</v>
      </c>
      <c r="T87" s="10">
        <f>Econ!I87</f>
        <v>53.82878779</v>
      </c>
    </row>
    <row r="88">
      <c r="A88" s="7" t="str">
        <f>Econ!A88&amp;if(Econ!B88&lt;10,"_0"&amp;Econ!B88,"_"&amp;Econ!B88)</f>
        <v>Archer_87</v>
      </c>
      <c r="B88" s="7" t="str">
        <f>"T"&amp;Econ!B88&amp;" "&amp;Econ!A88</f>
        <v>T87 Archer</v>
      </c>
      <c r="C88" s="8">
        <f>Econ!B88</f>
        <v>87</v>
      </c>
      <c r="D88" s="7"/>
      <c r="E88" s="9"/>
      <c r="F88" s="9"/>
      <c r="G88" s="10" t="str">
        <f>Econ!L88</f>
        <v/>
      </c>
      <c r="H88" s="11">
        <f>Econ!M88</f>
        <v>2276</v>
      </c>
      <c r="I88" s="11" t="str">
        <f>Econ!N88</f>
        <v/>
      </c>
      <c r="J88" s="12">
        <f>Econ!O88</f>
        <v>1201</v>
      </c>
      <c r="K88" s="13">
        <f>Econ!P88</f>
        <v>0</v>
      </c>
      <c r="L88" s="14">
        <f>Econ!Q88</f>
        <v>569</v>
      </c>
      <c r="M88" s="14">
        <f>Econ!R88</f>
        <v>0</v>
      </c>
      <c r="N88" s="13">
        <f>Econ!S88</f>
        <v>300.25</v>
      </c>
      <c r="O88" s="13">
        <f>Econ!T88</f>
        <v>10</v>
      </c>
      <c r="P88" s="7" t="str">
        <f>Econ!A88</f>
        <v>Archer</v>
      </c>
      <c r="Q88" s="10">
        <f>Econ!C88</f>
        <v>9962.560668</v>
      </c>
      <c r="R88" s="10">
        <f>Econ!E88</f>
        <v>27.45268178</v>
      </c>
      <c r="S88" s="10">
        <f>Econ!G88</f>
        <v>6641.707112</v>
      </c>
      <c r="T88" s="10">
        <f>Econ!I88</f>
        <v>54.90536355</v>
      </c>
    </row>
    <row r="89">
      <c r="A89" s="7" t="str">
        <f>Econ!A89&amp;if(Econ!B89&lt;10,"_0"&amp;Econ!B89,"_"&amp;Econ!B89)</f>
        <v>Archer_88</v>
      </c>
      <c r="B89" s="7" t="str">
        <f>"T"&amp;Econ!B89&amp;" "&amp;Econ!A89</f>
        <v>T88 Archer</v>
      </c>
      <c r="C89" s="8">
        <f>Econ!B89</f>
        <v>88</v>
      </c>
      <c r="D89" s="7"/>
      <c r="E89" s="9"/>
      <c r="F89" s="9"/>
      <c r="G89" s="10" t="str">
        <f>Econ!L89</f>
        <v/>
      </c>
      <c r="H89" s="11">
        <f>Econ!M89</f>
        <v>2320</v>
      </c>
      <c r="I89" s="11" t="str">
        <f>Econ!N89</f>
        <v/>
      </c>
      <c r="J89" s="12">
        <f>Econ!O89</f>
        <v>1224</v>
      </c>
      <c r="K89" s="13">
        <f>Econ!P89</f>
        <v>0</v>
      </c>
      <c r="L89" s="14">
        <f>Econ!Q89</f>
        <v>580</v>
      </c>
      <c r="M89" s="14">
        <f>Econ!R89</f>
        <v>0</v>
      </c>
      <c r="N89" s="13">
        <f>Econ!S89</f>
        <v>306</v>
      </c>
      <c r="O89" s="13">
        <f>Econ!T89</f>
        <v>10</v>
      </c>
      <c r="P89" s="7" t="str">
        <f>Econ!A89</f>
        <v>Archer</v>
      </c>
      <c r="Q89" s="10">
        <f>Econ!C89</f>
        <v>10460.6887</v>
      </c>
      <c r="R89" s="10">
        <f>Econ!E89</f>
        <v>28.00173541</v>
      </c>
      <c r="S89" s="10">
        <f>Econ!G89</f>
        <v>6973.792467</v>
      </c>
      <c r="T89" s="10">
        <f>Econ!I89</f>
        <v>56.00347082</v>
      </c>
    </row>
    <row r="90">
      <c r="A90" s="7" t="str">
        <f>Econ!A90&amp;if(Econ!B90&lt;10,"_0"&amp;Econ!B90,"_"&amp;Econ!B90)</f>
        <v>Archer_89</v>
      </c>
      <c r="B90" s="7" t="str">
        <f>"T"&amp;Econ!B90&amp;" "&amp;Econ!A90</f>
        <v>T89 Archer</v>
      </c>
      <c r="C90" s="8">
        <f>Econ!B90</f>
        <v>89</v>
      </c>
      <c r="D90" s="7"/>
      <c r="E90" s="9"/>
      <c r="F90" s="9"/>
      <c r="G90" s="10" t="str">
        <f>Econ!L90</f>
        <v/>
      </c>
      <c r="H90" s="11">
        <f>Econ!M90</f>
        <v>2364</v>
      </c>
      <c r="I90" s="11" t="str">
        <f>Econ!N90</f>
        <v/>
      </c>
      <c r="J90" s="12">
        <f>Econ!O90</f>
        <v>1247</v>
      </c>
      <c r="K90" s="13">
        <f>Econ!P90</f>
        <v>0</v>
      </c>
      <c r="L90" s="14">
        <f>Econ!Q90</f>
        <v>591</v>
      </c>
      <c r="M90" s="14">
        <f>Econ!R90</f>
        <v>0</v>
      </c>
      <c r="N90" s="13">
        <f>Econ!S90</f>
        <v>311.75</v>
      </c>
      <c r="O90" s="13">
        <f>Econ!T90</f>
        <v>10</v>
      </c>
      <c r="P90" s="7" t="str">
        <f>Econ!A90</f>
        <v>Archer</v>
      </c>
      <c r="Q90" s="10">
        <f>Econ!C90</f>
        <v>10983.72314</v>
      </c>
      <c r="R90" s="10">
        <f>Econ!E90</f>
        <v>28.56177012</v>
      </c>
      <c r="S90" s="10">
        <f>Econ!G90</f>
        <v>7322.482091</v>
      </c>
      <c r="T90" s="10">
        <f>Econ!I90</f>
        <v>57.12354024</v>
      </c>
    </row>
    <row r="91">
      <c r="A91" s="7" t="str">
        <f>Econ!A91&amp;if(Econ!B91&lt;10,"_0"&amp;Econ!B91,"_"&amp;Econ!B91)</f>
        <v>Archer_90</v>
      </c>
      <c r="B91" s="7" t="str">
        <f>"T"&amp;Econ!B91&amp;" "&amp;Econ!A91</f>
        <v>T90 Archer</v>
      </c>
      <c r="C91" s="8">
        <f>Econ!B91</f>
        <v>90</v>
      </c>
      <c r="D91" s="7"/>
      <c r="E91" s="9"/>
      <c r="F91" s="9"/>
      <c r="G91" s="10" t="str">
        <f>Econ!L91</f>
        <v/>
      </c>
      <c r="H91" s="11">
        <f>Econ!M91</f>
        <v>2409</v>
      </c>
      <c r="I91" s="11" t="str">
        <f>Econ!N91</f>
        <v/>
      </c>
      <c r="J91" s="12">
        <f>Econ!O91</f>
        <v>1270</v>
      </c>
      <c r="K91" s="13">
        <f>Econ!P91</f>
        <v>0</v>
      </c>
      <c r="L91" s="14">
        <f>Econ!Q91</f>
        <v>602.25</v>
      </c>
      <c r="M91" s="14">
        <f>Econ!R91</f>
        <v>0</v>
      </c>
      <c r="N91" s="13">
        <f>Econ!S91</f>
        <v>317.5</v>
      </c>
      <c r="O91" s="13">
        <f>Econ!T91</f>
        <v>10</v>
      </c>
      <c r="P91" s="7" t="str">
        <f>Econ!A91</f>
        <v>Archer</v>
      </c>
      <c r="Q91" s="10">
        <f>Econ!C91</f>
        <v>11532.90929</v>
      </c>
      <c r="R91" s="10">
        <f>Econ!E91</f>
        <v>29.13300552</v>
      </c>
      <c r="S91" s="10">
        <f>Econ!G91</f>
        <v>7688.606195</v>
      </c>
      <c r="T91" s="10">
        <f>Econ!I91</f>
        <v>58.26601104</v>
      </c>
    </row>
    <row r="92">
      <c r="A92" s="7" t="str">
        <f>Econ!A92&amp;if(Econ!B92&lt;10,"_0"&amp;Econ!B92,"_"&amp;Econ!B92)</f>
        <v>Archer_91</v>
      </c>
      <c r="B92" s="7" t="str">
        <f>"T"&amp;Econ!B92&amp;" "&amp;Econ!A92</f>
        <v>T91 Archer</v>
      </c>
      <c r="C92" s="8">
        <f>Econ!B92</f>
        <v>91</v>
      </c>
      <c r="D92" s="7"/>
      <c r="E92" s="9"/>
      <c r="F92" s="9"/>
      <c r="G92" s="10" t="str">
        <f>Econ!L92</f>
        <v/>
      </c>
      <c r="H92" s="11">
        <f>Econ!M92</f>
        <v>2454</v>
      </c>
      <c r="I92" s="11" t="str">
        <f>Econ!N92</f>
        <v/>
      </c>
      <c r="J92" s="12">
        <f>Econ!O92</f>
        <v>1293</v>
      </c>
      <c r="K92" s="13">
        <f>Econ!P92</f>
        <v>0</v>
      </c>
      <c r="L92" s="14">
        <f>Econ!Q92</f>
        <v>613.5</v>
      </c>
      <c r="M92" s="14">
        <f>Econ!R92</f>
        <v>0</v>
      </c>
      <c r="N92" s="13">
        <f>Econ!S92</f>
        <v>323.25</v>
      </c>
      <c r="O92" s="13">
        <f>Econ!T92</f>
        <v>10</v>
      </c>
      <c r="P92" s="7" t="str">
        <f>Econ!A92</f>
        <v>Archer</v>
      </c>
      <c r="Q92" s="10">
        <f>Econ!C92</f>
        <v>12109.55476</v>
      </c>
      <c r="R92" s="10">
        <f>Econ!E92</f>
        <v>29.71566563</v>
      </c>
      <c r="S92" s="10">
        <f>Econ!G92</f>
        <v>8073.036505</v>
      </c>
      <c r="T92" s="10">
        <f>Econ!I92</f>
        <v>59.43133126</v>
      </c>
    </row>
    <row r="93">
      <c r="A93" s="7" t="str">
        <f>Econ!A93&amp;if(Econ!B93&lt;10,"_0"&amp;Econ!B93,"_"&amp;Econ!B93)</f>
        <v>Archer_92</v>
      </c>
      <c r="B93" s="7" t="str">
        <f>"T"&amp;Econ!B93&amp;" "&amp;Econ!A93</f>
        <v>T92 Archer</v>
      </c>
      <c r="C93" s="8">
        <f>Econ!B93</f>
        <v>92</v>
      </c>
      <c r="D93" s="7"/>
      <c r="E93" s="9"/>
      <c r="F93" s="9"/>
      <c r="G93" s="10" t="str">
        <f>Econ!L93</f>
        <v/>
      </c>
      <c r="H93" s="11">
        <f>Econ!M93</f>
        <v>2499</v>
      </c>
      <c r="I93" s="11" t="str">
        <f>Econ!N93</f>
        <v/>
      </c>
      <c r="J93" s="12">
        <f>Econ!O93</f>
        <v>1316</v>
      </c>
      <c r="K93" s="13">
        <f>Econ!P93</f>
        <v>0</v>
      </c>
      <c r="L93" s="14">
        <f>Econ!Q93</f>
        <v>624.75</v>
      </c>
      <c r="M93" s="14">
        <f>Econ!R93</f>
        <v>0</v>
      </c>
      <c r="N93" s="13">
        <f>Econ!S93</f>
        <v>329</v>
      </c>
      <c r="O93" s="13">
        <f>Econ!T93</f>
        <v>10</v>
      </c>
      <c r="P93" s="7" t="str">
        <f>Econ!A93</f>
        <v>Archer</v>
      </c>
      <c r="Q93" s="10">
        <f>Econ!C93</f>
        <v>12715.0325</v>
      </c>
      <c r="R93" s="10">
        <f>Econ!E93</f>
        <v>30.30997894</v>
      </c>
      <c r="S93" s="10">
        <f>Econ!G93</f>
        <v>8476.68833</v>
      </c>
      <c r="T93" s="10">
        <f>Econ!I93</f>
        <v>60.61995789</v>
      </c>
    </row>
    <row r="94">
      <c r="A94" s="7" t="str">
        <f>Econ!A94&amp;if(Econ!B94&lt;10,"_0"&amp;Econ!B94,"_"&amp;Econ!B94)</f>
        <v>Archer_93</v>
      </c>
      <c r="B94" s="7" t="str">
        <f>"T"&amp;Econ!B94&amp;" "&amp;Econ!A94</f>
        <v>T93 Archer</v>
      </c>
      <c r="C94" s="8">
        <f>Econ!B94</f>
        <v>93</v>
      </c>
      <c r="D94" s="7"/>
      <c r="E94" s="9"/>
      <c r="F94" s="9"/>
      <c r="G94" s="10" t="str">
        <f>Econ!L94</f>
        <v/>
      </c>
      <c r="H94" s="11">
        <f>Econ!M94</f>
        <v>2545</v>
      </c>
      <c r="I94" s="11" t="str">
        <f>Econ!N94</f>
        <v/>
      </c>
      <c r="J94" s="12">
        <f>Econ!O94</f>
        <v>1339</v>
      </c>
      <c r="K94" s="13">
        <f>Econ!P94</f>
        <v>0</v>
      </c>
      <c r="L94" s="14">
        <f>Econ!Q94</f>
        <v>636.25</v>
      </c>
      <c r="M94" s="14">
        <f>Econ!R94</f>
        <v>0</v>
      </c>
      <c r="N94" s="13">
        <f>Econ!S94</f>
        <v>334.75</v>
      </c>
      <c r="O94" s="13">
        <f>Econ!T94</f>
        <v>10</v>
      </c>
      <c r="P94" s="7" t="str">
        <f>Econ!A94</f>
        <v>Archer</v>
      </c>
      <c r="Q94" s="10">
        <f>Econ!C94</f>
        <v>13350.78412</v>
      </c>
      <c r="R94" s="10">
        <f>Econ!E94</f>
        <v>30.91617852</v>
      </c>
      <c r="S94" s="10">
        <f>Econ!G94</f>
        <v>8900.522747</v>
      </c>
      <c r="T94" s="10">
        <f>Econ!I94</f>
        <v>61.83235705</v>
      </c>
    </row>
    <row r="95">
      <c r="A95" s="7" t="str">
        <f>Econ!A95&amp;if(Econ!B95&lt;10,"_0"&amp;Econ!B95,"_"&amp;Econ!B95)</f>
        <v>Archer_94</v>
      </c>
      <c r="B95" s="7" t="str">
        <f>"T"&amp;Econ!B95&amp;" "&amp;Econ!A95</f>
        <v>T94 Archer</v>
      </c>
      <c r="C95" s="8">
        <f>Econ!B95</f>
        <v>94</v>
      </c>
      <c r="D95" s="7"/>
      <c r="E95" s="9"/>
      <c r="F95" s="9"/>
      <c r="G95" s="10" t="str">
        <f>Econ!L95</f>
        <v/>
      </c>
      <c r="H95" s="11">
        <f>Econ!M95</f>
        <v>2591</v>
      </c>
      <c r="I95" s="11" t="str">
        <f>Econ!N95</f>
        <v/>
      </c>
      <c r="J95" s="12">
        <f>Econ!O95</f>
        <v>1363</v>
      </c>
      <c r="K95" s="13">
        <f>Econ!P95</f>
        <v>0</v>
      </c>
      <c r="L95" s="14">
        <f>Econ!Q95</f>
        <v>647.75</v>
      </c>
      <c r="M95" s="14">
        <f>Econ!R95</f>
        <v>0</v>
      </c>
      <c r="N95" s="13">
        <f>Econ!S95</f>
        <v>340.75</v>
      </c>
      <c r="O95" s="13">
        <f>Econ!T95</f>
        <v>10</v>
      </c>
      <c r="P95" s="7" t="str">
        <f>Econ!A95</f>
        <v>Archer</v>
      </c>
      <c r="Q95" s="10">
        <f>Econ!C95</f>
        <v>14018.32333</v>
      </c>
      <c r="R95" s="10">
        <f>Econ!E95</f>
        <v>31.53450209</v>
      </c>
      <c r="S95" s="10">
        <f>Econ!G95</f>
        <v>9345.548884</v>
      </c>
      <c r="T95" s="10">
        <f>Econ!I95</f>
        <v>63.06900419</v>
      </c>
    </row>
    <row r="96">
      <c r="A96" s="7" t="str">
        <f>Econ!A96&amp;if(Econ!B96&lt;10,"_0"&amp;Econ!B96,"_"&amp;Econ!B96)</f>
        <v>Archer_95</v>
      </c>
      <c r="B96" s="7" t="str">
        <f>"T"&amp;Econ!B96&amp;" "&amp;Econ!A96</f>
        <v>T95 Archer</v>
      </c>
      <c r="C96" s="8">
        <f>Econ!B96</f>
        <v>95</v>
      </c>
      <c r="D96" s="7"/>
      <c r="E96" s="9"/>
      <c r="F96" s="9"/>
      <c r="G96" s="10" t="str">
        <f>Econ!L96</f>
        <v/>
      </c>
      <c r="H96" s="11">
        <f>Econ!M96</f>
        <v>2637</v>
      </c>
      <c r="I96" s="11" t="str">
        <f>Econ!N96</f>
        <v/>
      </c>
      <c r="J96" s="12">
        <f>Econ!O96</f>
        <v>1387</v>
      </c>
      <c r="K96" s="13">
        <f>Econ!P96</f>
        <v>0</v>
      </c>
      <c r="L96" s="14">
        <f>Econ!Q96</f>
        <v>659.25</v>
      </c>
      <c r="M96" s="14">
        <f>Econ!R96</f>
        <v>0</v>
      </c>
      <c r="N96" s="13">
        <f>Econ!S96</f>
        <v>346.75</v>
      </c>
      <c r="O96" s="13">
        <f>Econ!T96</f>
        <v>11</v>
      </c>
      <c r="P96" s="7" t="str">
        <f>Econ!A96</f>
        <v>Archer</v>
      </c>
      <c r="Q96" s="10">
        <f>Econ!C96</f>
        <v>14719.23949</v>
      </c>
      <c r="R96" s="10">
        <f>Econ!E96</f>
        <v>32.16519214</v>
      </c>
      <c r="S96" s="10">
        <f>Econ!G96</f>
        <v>9812.826328</v>
      </c>
      <c r="T96" s="10">
        <f>Econ!I96</f>
        <v>64.33038427</v>
      </c>
    </row>
    <row r="97">
      <c r="A97" s="7" t="str">
        <f>Econ!A97&amp;if(Econ!B97&lt;10,"_0"&amp;Econ!B97,"_"&amp;Econ!B97)</f>
        <v>Archer_96</v>
      </c>
      <c r="B97" s="7" t="str">
        <f>"T"&amp;Econ!B97&amp;" "&amp;Econ!A97</f>
        <v>T96 Archer</v>
      </c>
      <c r="C97" s="8">
        <f>Econ!B97</f>
        <v>96</v>
      </c>
      <c r="D97" s="7"/>
      <c r="E97" s="9"/>
      <c r="F97" s="9"/>
      <c r="G97" s="10" t="str">
        <f>Econ!L97</f>
        <v/>
      </c>
      <c r="H97" s="11">
        <f>Econ!M97</f>
        <v>2684</v>
      </c>
      <c r="I97" s="11" t="str">
        <f>Econ!N97</f>
        <v/>
      </c>
      <c r="J97" s="12">
        <f>Econ!O97</f>
        <v>1411</v>
      </c>
      <c r="K97" s="13">
        <f>Econ!P97</f>
        <v>0</v>
      </c>
      <c r="L97" s="14">
        <f>Econ!Q97</f>
        <v>671</v>
      </c>
      <c r="M97" s="14">
        <f>Econ!R97</f>
        <v>0</v>
      </c>
      <c r="N97" s="13">
        <f>Econ!S97</f>
        <v>352.75</v>
      </c>
      <c r="O97" s="13">
        <f>Econ!T97</f>
        <v>11</v>
      </c>
      <c r="P97" s="7" t="str">
        <f>Econ!A97</f>
        <v>Archer</v>
      </c>
      <c r="Q97" s="10">
        <f>Econ!C97</f>
        <v>15455.20147</v>
      </c>
      <c r="R97" s="10">
        <f>Econ!E97</f>
        <v>32.80849598</v>
      </c>
      <c r="S97" s="10">
        <f>Econ!G97</f>
        <v>10303.46764</v>
      </c>
      <c r="T97" s="10">
        <f>Econ!I97</f>
        <v>65.61699196</v>
      </c>
    </row>
    <row r="98">
      <c r="A98" s="7" t="str">
        <f>Econ!A98&amp;if(Econ!B98&lt;10,"_0"&amp;Econ!B98,"_"&amp;Econ!B98)</f>
        <v>Archer_97</v>
      </c>
      <c r="B98" s="7" t="str">
        <f>"T"&amp;Econ!B98&amp;" "&amp;Econ!A98</f>
        <v>T97 Archer</v>
      </c>
      <c r="C98" s="8">
        <f>Econ!B98</f>
        <v>97</v>
      </c>
      <c r="D98" s="7"/>
      <c r="E98" s="9"/>
      <c r="F98" s="9"/>
      <c r="G98" s="10" t="str">
        <f>Econ!L98</f>
        <v/>
      </c>
      <c r="H98" s="11">
        <f>Econ!M98</f>
        <v>2731</v>
      </c>
      <c r="I98" s="11" t="str">
        <f>Econ!N98</f>
        <v/>
      </c>
      <c r="J98" s="12">
        <f>Econ!O98</f>
        <v>1435</v>
      </c>
      <c r="K98" s="13">
        <f>Econ!P98</f>
        <v>0</v>
      </c>
      <c r="L98" s="14">
        <f>Econ!Q98</f>
        <v>682.75</v>
      </c>
      <c r="M98" s="14">
        <f>Econ!R98</f>
        <v>0</v>
      </c>
      <c r="N98" s="13">
        <f>Econ!S98</f>
        <v>358.75</v>
      </c>
      <c r="O98" s="13">
        <f>Econ!T98</f>
        <v>11</v>
      </c>
      <c r="P98" s="7" t="str">
        <f>Econ!A98</f>
        <v>Archer</v>
      </c>
      <c r="Q98" s="10">
        <f>Econ!C98</f>
        <v>16227.96154</v>
      </c>
      <c r="R98" s="10">
        <f>Econ!E98</f>
        <v>33.4646659</v>
      </c>
      <c r="S98" s="10">
        <f>Econ!G98</f>
        <v>10818.64103</v>
      </c>
      <c r="T98" s="10">
        <f>Econ!I98</f>
        <v>66.9293318</v>
      </c>
    </row>
    <row r="99">
      <c r="A99" s="7" t="str">
        <f>Econ!A99&amp;if(Econ!B99&lt;10,"_0"&amp;Econ!B99,"_"&amp;Econ!B99)</f>
        <v>Archer_98</v>
      </c>
      <c r="B99" s="7" t="str">
        <f>"T"&amp;Econ!B99&amp;" "&amp;Econ!A99</f>
        <v>T98 Archer</v>
      </c>
      <c r="C99" s="8">
        <f>Econ!B99</f>
        <v>98</v>
      </c>
      <c r="D99" s="7"/>
      <c r="E99" s="9"/>
      <c r="F99" s="9"/>
      <c r="G99" s="10" t="str">
        <f>Econ!L99</f>
        <v/>
      </c>
      <c r="H99" s="11">
        <f>Econ!M99</f>
        <v>2778</v>
      </c>
      <c r="I99" s="11" t="str">
        <f>Econ!N99</f>
        <v/>
      </c>
      <c r="J99" s="12">
        <f>Econ!O99</f>
        <v>1459</v>
      </c>
      <c r="K99" s="13">
        <f>Econ!P99</f>
        <v>0</v>
      </c>
      <c r="L99" s="14">
        <f>Econ!Q99</f>
        <v>694.5</v>
      </c>
      <c r="M99" s="14">
        <f>Econ!R99</f>
        <v>0</v>
      </c>
      <c r="N99" s="13">
        <f>Econ!S99</f>
        <v>364.75</v>
      </c>
      <c r="O99" s="13">
        <f>Econ!T99</f>
        <v>11</v>
      </c>
      <c r="P99" s="7" t="str">
        <f>Econ!A99</f>
        <v>Archer</v>
      </c>
      <c r="Q99" s="10">
        <f>Econ!C99</f>
        <v>17039.35962</v>
      </c>
      <c r="R99" s="10">
        <f>Econ!E99</f>
        <v>34.13395922</v>
      </c>
      <c r="S99" s="10">
        <f>Econ!G99</f>
        <v>11359.57308</v>
      </c>
      <c r="T99" s="10">
        <f>Econ!I99</f>
        <v>68.26791843</v>
      </c>
    </row>
    <row r="100">
      <c r="A100" s="7" t="str">
        <f>Econ!A100&amp;if(Econ!B100&lt;10,"_0"&amp;Econ!B100,"_"&amp;Econ!B100)</f>
        <v>Archer_99</v>
      </c>
      <c r="B100" s="7" t="str">
        <f>"T"&amp;Econ!B100&amp;" "&amp;Econ!A100</f>
        <v>T99 Archer</v>
      </c>
      <c r="C100" s="8">
        <f>Econ!B100</f>
        <v>99</v>
      </c>
      <c r="D100" s="7"/>
      <c r="E100" s="9"/>
      <c r="F100" s="9"/>
      <c r="G100" s="10" t="str">
        <f>Econ!L100</f>
        <v/>
      </c>
      <c r="H100" s="11">
        <f>Econ!M100</f>
        <v>2826</v>
      </c>
      <c r="I100" s="11" t="str">
        <f>Econ!N100</f>
        <v/>
      </c>
      <c r="J100" s="12">
        <f>Econ!O100</f>
        <v>1483</v>
      </c>
      <c r="K100" s="13">
        <f>Econ!P100</f>
        <v>0</v>
      </c>
      <c r="L100" s="14">
        <f>Econ!Q100</f>
        <v>706.5</v>
      </c>
      <c r="M100" s="14">
        <f>Econ!R100</f>
        <v>0</v>
      </c>
      <c r="N100" s="13">
        <f>Econ!S100</f>
        <v>370.75</v>
      </c>
      <c r="O100" s="13">
        <f>Econ!T100</f>
        <v>11</v>
      </c>
      <c r="P100" s="7" t="str">
        <f>Econ!A100</f>
        <v>Archer</v>
      </c>
      <c r="Q100" s="10">
        <f>Econ!C100</f>
        <v>17891.3276</v>
      </c>
      <c r="R100" s="10">
        <f>Econ!E100</f>
        <v>34.8166384</v>
      </c>
      <c r="S100" s="10">
        <f>Econ!G100</f>
        <v>11927.55173</v>
      </c>
      <c r="T100" s="10">
        <f>Econ!I100</f>
        <v>69.6332768</v>
      </c>
    </row>
    <row r="101">
      <c r="A101" s="7" t="str">
        <f>Econ!A101&amp;if(Econ!B101&lt;10,"_0"&amp;Econ!B101,"_"&amp;Econ!B101)</f>
        <v>Archer_100</v>
      </c>
      <c r="B101" s="7" t="str">
        <f>"T"&amp;Econ!B101&amp;" "&amp;Econ!A101</f>
        <v>T100 Archer</v>
      </c>
      <c r="C101" s="8">
        <f>Econ!B101</f>
        <v>100</v>
      </c>
      <c r="D101" s="7"/>
      <c r="E101" s="9"/>
      <c r="F101" s="9"/>
      <c r="G101" s="10" t="str">
        <f>Econ!L101</f>
        <v/>
      </c>
      <c r="H101" s="11">
        <f>Econ!M101</f>
        <v>2874</v>
      </c>
      <c r="I101" s="11" t="str">
        <f>Econ!N101</f>
        <v/>
      </c>
      <c r="J101" s="12">
        <f>Econ!O101</f>
        <v>1508</v>
      </c>
      <c r="K101" s="13">
        <f>Econ!P101</f>
        <v>0</v>
      </c>
      <c r="L101" s="14">
        <f>Econ!Q101</f>
        <v>718.5</v>
      </c>
      <c r="M101" s="14">
        <f>Econ!R101</f>
        <v>0</v>
      </c>
      <c r="N101" s="13">
        <f>Econ!S101</f>
        <v>377</v>
      </c>
      <c r="O101" s="13">
        <f>Econ!T101</f>
        <v>11</v>
      </c>
      <c r="P101" s="7" t="str">
        <f>Econ!A101</f>
        <v>Archer</v>
      </c>
      <c r="Q101" s="10">
        <f>Econ!C101</f>
        <v>18785.89398</v>
      </c>
      <c r="R101" s="10">
        <f>Econ!E101</f>
        <v>35.51297117</v>
      </c>
      <c r="S101" s="10">
        <f>Econ!G101</f>
        <v>12523.92932</v>
      </c>
      <c r="T101" s="10">
        <f>Econ!I101</f>
        <v>71.02594234</v>
      </c>
    </row>
    <row r="102">
      <c r="A102" s="7" t="str">
        <f>Econ!A102&amp;if(Econ!B102&lt;10,"_0"&amp;Econ!B102,"_"&amp;Econ!B102)</f>
        <v>Archer_101</v>
      </c>
      <c r="B102" s="7" t="str">
        <f>"T"&amp;Econ!B102&amp;" "&amp;Econ!A102</f>
        <v>T101 Archer</v>
      </c>
      <c r="C102" s="8">
        <f>Econ!B102</f>
        <v>101</v>
      </c>
      <c r="D102" s="7"/>
      <c r="E102" s="9"/>
      <c r="F102" s="9"/>
      <c r="G102" s="10">
        <f>Econ!L102</f>
        <v>29220</v>
      </c>
      <c r="H102" s="11">
        <f>Econ!M102</f>
        <v>2922</v>
      </c>
      <c r="I102" s="11" t="str">
        <f>Econ!N102</f>
        <v/>
      </c>
      <c r="J102" s="12">
        <f>Econ!O102</f>
        <v>1533</v>
      </c>
      <c r="K102" s="13">
        <f>Econ!P102</f>
        <v>7305</v>
      </c>
      <c r="L102" s="14">
        <f>Econ!Q102</f>
        <v>730.5</v>
      </c>
      <c r="M102" s="14">
        <f>Econ!R102</f>
        <v>0</v>
      </c>
      <c r="N102" s="13">
        <f>Econ!S102</f>
        <v>383.25</v>
      </c>
      <c r="O102" s="13">
        <f>Econ!T102</f>
        <v>11</v>
      </c>
      <c r="P102" s="7" t="str">
        <f>Econ!A102</f>
        <v>Archer</v>
      </c>
      <c r="Q102" s="10">
        <f>Econ!C102</f>
        <v>19725.18868</v>
      </c>
      <c r="R102" s="10">
        <f>Econ!E102</f>
        <v>36.22323059</v>
      </c>
      <c r="S102" s="10">
        <f>Econ!G102</f>
        <v>13150.12578</v>
      </c>
      <c r="T102" s="10">
        <f>Econ!I102</f>
        <v>72.44646118</v>
      </c>
    </row>
    <row r="103">
      <c r="A103" s="7" t="str">
        <f>Econ!A103&amp;if(Econ!B103&lt;10,"_0"&amp;Econ!B103,"_"&amp;Econ!B103)</f>
        <v>Archer_102</v>
      </c>
      <c r="B103" s="7" t="str">
        <f>"T"&amp;Econ!B103&amp;" "&amp;Econ!A103</f>
        <v>T102 Archer</v>
      </c>
      <c r="C103" s="8">
        <f>Econ!B103</f>
        <v>102</v>
      </c>
      <c r="D103" s="7"/>
      <c r="E103" s="9"/>
      <c r="F103" s="9"/>
      <c r="G103" s="10">
        <f>Econ!L103</f>
        <v>29819</v>
      </c>
      <c r="H103" s="11">
        <f>Econ!M103</f>
        <v>2971</v>
      </c>
      <c r="I103" s="11" t="str">
        <f>Econ!N103</f>
        <v/>
      </c>
      <c r="J103" s="12">
        <f>Econ!O103</f>
        <v>1558</v>
      </c>
      <c r="K103" s="13">
        <f>Econ!P103</f>
        <v>7454.75</v>
      </c>
      <c r="L103" s="14">
        <f>Econ!Q103</f>
        <v>742.75</v>
      </c>
      <c r="M103" s="14">
        <f>Econ!R103</f>
        <v>0</v>
      </c>
      <c r="N103" s="13">
        <f>Econ!S103</f>
        <v>389.5</v>
      </c>
      <c r="O103" s="13">
        <f>Econ!T103</f>
        <v>11</v>
      </c>
      <c r="P103" s="7" t="str">
        <f>Econ!A103</f>
        <v>Archer</v>
      </c>
      <c r="Q103" s="10">
        <f>Econ!C103</f>
        <v>20711.44811</v>
      </c>
      <c r="R103" s="10">
        <f>Econ!E103</f>
        <v>36.9476952</v>
      </c>
      <c r="S103" s="10">
        <f>Econ!G103</f>
        <v>13807.63207</v>
      </c>
      <c r="T103" s="10">
        <f>Econ!I103</f>
        <v>73.89539041</v>
      </c>
    </row>
    <row r="104">
      <c r="A104" s="7" t="str">
        <f>Econ!A104&amp;if(Econ!B104&lt;10,"_0"&amp;Econ!B104,"_"&amp;Econ!B104)</f>
        <v>Archer_103</v>
      </c>
      <c r="B104" s="7" t="str">
        <f>"T"&amp;Econ!B104&amp;" "&amp;Econ!A104</f>
        <v>T103 Archer</v>
      </c>
      <c r="C104" s="8">
        <f>Econ!B104</f>
        <v>103</v>
      </c>
      <c r="D104" s="7"/>
      <c r="E104" s="9"/>
      <c r="F104" s="9"/>
      <c r="G104" s="10">
        <f>Econ!L104</f>
        <v>30422</v>
      </c>
      <c r="H104" s="11">
        <f>Econ!M104</f>
        <v>3020</v>
      </c>
      <c r="I104" s="11" t="str">
        <f>Econ!N104</f>
        <v/>
      </c>
      <c r="J104" s="12">
        <f>Econ!O104</f>
        <v>1583</v>
      </c>
      <c r="K104" s="13">
        <f>Econ!P104</f>
        <v>7605.5</v>
      </c>
      <c r="L104" s="14">
        <f>Econ!Q104</f>
        <v>755</v>
      </c>
      <c r="M104" s="14">
        <f>Econ!R104</f>
        <v>0</v>
      </c>
      <c r="N104" s="13">
        <f>Econ!S104</f>
        <v>395.75</v>
      </c>
      <c r="O104" s="13">
        <f>Econ!T104</f>
        <v>11</v>
      </c>
      <c r="P104" s="7" t="str">
        <f>Econ!A104</f>
        <v>Archer</v>
      </c>
      <c r="Q104" s="10">
        <f>Econ!C104</f>
        <v>21747.02052</v>
      </c>
      <c r="R104" s="10">
        <f>Econ!E104</f>
        <v>37.68664911</v>
      </c>
      <c r="S104" s="10">
        <f>Econ!G104</f>
        <v>14498.01368</v>
      </c>
      <c r="T104" s="10">
        <f>Econ!I104</f>
        <v>75.37329821</v>
      </c>
    </row>
    <row r="105">
      <c r="A105" s="7" t="str">
        <f>Econ!A105&amp;if(Econ!B105&lt;10,"_0"&amp;Econ!B105,"_"&amp;Econ!B105)</f>
        <v>Archer_104</v>
      </c>
      <c r="B105" s="7" t="str">
        <f>"T"&amp;Econ!B105&amp;" "&amp;Econ!A105</f>
        <v>T104 Archer</v>
      </c>
      <c r="C105" s="8">
        <f>Econ!B105</f>
        <v>104</v>
      </c>
      <c r="D105" s="7"/>
      <c r="E105" s="9"/>
      <c r="F105" s="9"/>
      <c r="G105" s="10">
        <f>Econ!L105</f>
        <v>31029</v>
      </c>
      <c r="H105" s="11">
        <f>Econ!M105</f>
        <v>3069</v>
      </c>
      <c r="I105" s="11" t="str">
        <f>Econ!N105</f>
        <v/>
      </c>
      <c r="J105" s="12">
        <f>Econ!O105</f>
        <v>1608</v>
      </c>
      <c r="K105" s="13">
        <f>Econ!P105</f>
        <v>7757.25</v>
      </c>
      <c r="L105" s="14">
        <f>Econ!Q105</f>
        <v>767.25</v>
      </c>
      <c r="M105" s="14">
        <f>Econ!R105</f>
        <v>0</v>
      </c>
      <c r="N105" s="13">
        <f>Econ!S105</f>
        <v>402</v>
      </c>
      <c r="O105" s="13">
        <f>Econ!T105</f>
        <v>11</v>
      </c>
      <c r="P105" s="7" t="str">
        <f>Econ!A105</f>
        <v>Archer</v>
      </c>
      <c r="Q105" s="10">
        <f>Econ!C105</f>
        <v>22834.37154</v>
      </c>
      <c r="R105" s="10">
        <f>Econ!E105</f>
        <v>38.44038209</v>
      </c>
      <c r="S105" s="10">
        <f>Econ!G105</f>
        <v>15222.91436</v>
      </c>
      <c r="T105" s="10">
        <f>Econ!I105</f>
        <v>76.88076418</v>
      </c>
    </row>
    <row r="106">
      <c r="A106" s="7" t="str">
        <f>Econ!A106&amp;if(Econ!B106&lt;10,"_0"&amp;Econ!B106,"_"&amp;Econ!B106)</f>
        <v>Archer_105</v>
      </c>
      <c r="B106" s="7" t="str">
        <f>"T"&amp;Econ!B106&amp;" "&amp;Econ!A106</f>
        <v>T105 Archer</v>
      </c>
      <c r="C106" s="8">
        <f>Econ!B106</f>
        <v>105</v>
      </c>
      <c r="D106" s="7"/>
      <c r="E106" s="9"/>
      <c r="F106" s="9"/>
      <c r="G106" s="10">
        <f>Econ!L106</f>
        <v>31640</v>
      </c>
      <c r="H106" s="11">
        <f>Econ!M106</f>
        <v>3119</v>
      </c>
      <c r="I106" s="11" t="str">
        <f>Econ!N106</f>
        <v/>
      </c>
      <c r="J106" s="12">
        <f>Econ!O106</f>
        <v>1633</v>
      </c>
      <c r="K106" s="13">
        <f>Econ!P106</f>
        <v>7910</v>
      </c>
      <c r="L106" s="14">
        <f>Econ!Q106</f>
        <v>779.75</v>
      </c>
      <c r="M106" s="14">
        <f>Econ!R106</f>
        <v>0</v>
      </c>
      <c r="N106" s="13">
        <f>Econ!S106</f>
        <v>408.25</v>
      </c>
      <c r="O106" s="13">
        <f>Econ!T106</f>
        <v>12</v>
      </c>
      <c r="P106" s="7" t="str">
        <f>Econ!A106</f>
        <v>Archer</v>
      </c>
      <c r="Q106" s="10">
        <f>Econ!C106</f>
        <v>23976.09012</v>
      </c>
      <c r="R106" s="10">
        <f>Econ!E106</f>
        <v>39.20918973</v>
      </c>
      <c r="S106" s="10">
        <f>Econ!G106</f>
        <v>15984.06008</v>
      </c>
      <c r="T106" s="10">
        <f>Econ!I106</f>
        <v>78.41837946</v>
      </c>
    </row>
    <row r="107">
      <c r="A107" s="7" t="str">
        <f>Econ!A107&amp;if(Econ!B107&lt;10,"_0"&amp;Econ!B107,"_"&amp;Econ!B107)</f>
        <v>Archer_106</v>
      </c>
      <c r="B107" s="7" t="str">
        <f>"T"&amp;Econ!B107&amp;" "&amp;Econ!A107</f>
        <v>T106 Archer</v>
      </c>
      <c r="C107" s="8">
        <f>Econ!B107</f>
        <v>106</v>
      </c>
      <c r="D107" s="7"/>
      <c r="E107" s="9"/>
      <c r="F107" s="9"/>
      <c r="G107" s="10">
        <f>Econ!L107</f>
        <v>32255</v>
      </c>
      <c r="H107" s="11">
        <f>Econ!M107</f>
        <v>3169</v>
      </c>
      <c r="I107" s="11" t="str">
        <f>Econ!N107</f>
        <v/>
      </c>
      <c r="J107" s="12">
        <f>Econ!O107</f>
        <v>1659</v>
      </c>
      <c r="K107" s="13">
        <f>Econ!P107</f>
        <v>8063.75</v>
      </c>
      <c r="L107" s="14">
        <f>Econ!Q107</f>
        <v>792.25</v>
      </c>
      <c r="M107" s="14">
        <f>Econ!R107</f>
        <v>0</v>
      </c>
      <c r="N107" s="13">
        <f>Econ!S107</f>
        <v>414.75</v>
      </c>
      <c r="O107" s="13">
        <f>Econ!T107</f>
        <v>12</v>
      </c>
      <c r="P107" s="7" t="str">
        <f>Econ!A107</f>
        <v>Archer</v>
      </c>
      <c r="Q107" s="10">
        <f>Econ!C107</f>
        <v>25174.89463</v>
      </c>
      <c r="R107" s="10">
        <f>Econ!E107</f>
        <v>39.99337353</v>
      </c>
      <c r="S107" s="10">
        <f>Econ!G107</f>
        <v>16783.26308</v>
      </c>
      <c r="T107" s="10">
        <f>Econ!I107</f>
        <v>79.98674705</v>
      </c>
    </row>
    <row r="108">
      <c r="A108" s="7" t="str">
        <f>Econ!A108&amp;if(Econ!B108&lt;10,"_0"&amp;Econ!B108,"_"&amp;Econ!B108)</f>
        <v>Archer_107</v>
      </c>
      <c r="B108" s="7" t="str">
        <f>"T"&amp;Econ!B108&amp;" "&amp;Econ!A108</f>
        <v>T107 Archer</v>
      </c>
      <c r="C108" s="8">
        <f>Econ!B108</f>
        <v>107</v>
      </c>
      <c r="D108" s="7"/>
      <c r="E108" s="9"/>
      <c r="F108" s="9"/>
      <c r="G108" s="10">
        <f>Econ!L108</f>
        <v>32874</v>
      </c>
      <c r="H108" s="11">
        <f>Econ!M108</f>
        <v>3219</v>
      </c>
      <c r="I108" s="11" t="str">
        <f>Econ!N108</f>
        <v/>
      </c>
      <c r="J108" s="12">
        <f>Econ!O108</f>
        <v>1685</v>
      </c>
      <c r="K108" s="13">
        <f>Econ!P108</f>
        <v>8218.5</v>
      </c>
      <c r="L108" s="14">
        <f>Econ!Q108</f>
        <v>804.75</v>
      </c>
      <c r="M108" s="14">
        <f>Econ!R108</f>
        <v>0</v>
      </c>
      <c r="N108" s="13">
        <f>Econ!S108</f>
        <v>421.25</v>
      </c>
      <c r="O108" s="13">
        <f>Econ!T108</f>
        <v>12</v>
      </c>
      <c r="P108" s="7" t="str">
        <f>Econ!A108</f>
        <v>Archer</v>
      </c>
      <c r="Q108" s="10">
        <f>Econ!C108</f>
        <v>26433.63936</v>
      </c>
      <c r="R108" s="10">
        <f>Econ!E108</f>
        <v>40.793241</v>
      </c>
      <c r="S108" s="10">
        <f>Econ!G108</f>
        <v>17622.42624</v>
      </c>
      <c r="T108" s="10">
        <f>Econ!I108</f>
        <v>81.58648199</v>
      </c>
    </row>
    <row r="109">
      <c r="A109" s="7" t="str">
        <f>Econ!A109&amp;if(Econ!B109&lt;10,"_0"&amp;Econ!B109,"_"&amp;Econ!B109)</f>
        <v>Archer_108</v>
      </c>
      <c r="B109" s="7" t="str">
        <f>"T"&amp;Econ!B109&amp;" "&amp;Econ!A109</f>
        <v>T108 Archer</v>
      </c>
      <c r="C109" s="8">
        <f>Econ!B109</f>
        <v>108</v>
      </c>
      <c r="D109" s="7"/>
      <c r="E109" s="9"/>
      <c r="F109" s="9"/>
      <c r="G109" s="10">
        <f>Econ!L109</f>
        <v>33497</v>
      </c>
      <c r="H109" s="11">
        <f>Econ!M109</f>
        <v>3270</v>
      </c>
      <c r="I109" s="11" t="str">
        <f>Econ!N109</f>
        <v/>
      </c>
      <c r="J109" s="12">
        <f>Econ!O109</f>
        <v>1711</v>
      </c>
      <c r="K109" s="13">
        <f>Econ!P109</f>
        <v>8374.25</v>
      </c>
      <c r="L109" s="14">
        <f>Econ!Q109</f>
        <v>817.5</v>
      </c>
      <c r="M109" s="14">
        <f>Econ!R109</f>
        <v>0</v>
      </c>
      <c r="N109" s="13">
        <f>Econ!S109</f>
        <v>427.75</v>
      </c>
      <c r="O109" s="13">
        <f>Econ!T109</f>
        <v>12</v>
      </c>
      <c r="P109" s="7" t="str">
        <f>Econ!A109</f>
        <v>Archer</v>
      </c>
      <c r="Q109" s="10">
        <f>Econ!C109</f>
        <v>27755.32132</v>
      </c>
      <c r="R109" s="10">
        <f>Econ!E109</f>
        <v>41.60910582</v>
      </c>
      <c r="S109" s="10">
        <f>Econ!G109</f>
        <v>18503.54755</v>
      </c>
      <c r="T109" s="10">
        <f>Econ!I109</f>
        <v>83.21821163</v>
      </c>
    </row>
    <row r="110">
      <c r="A110" s="7" t="str">
        <f>Econ!A110&amp;if(Econ!B110&lt;10,"_0"&amp;Econ!B110,"_"&amp;Econ!B110)</f>
        <v>Archer_109</v>
      </c>
      <c r="B110" s="7" t="str">
        <f>"T"&amp;Econ!B110&amp;" "&amp;Econ!A110</f>
        <v>T109 Archer</v>
      </c>
      <c r="C110" s="8">
        <f>Econ!B110</f>
        <v>109</v>
      </c>
      <c r="D110" s="7"/>
      <c r="E110" s="9"/>
      <c r="F110" s="9"/>
      <c r="G110" s="10">
        <f>Econ!L110</f>
        <v>34125</v>
      </c>
      <c r="H110" s="11">
        <f>Econ!M110</f>
        <v>3321</v>
      </c>
      <c r="I110" s="11" t="str">
        <f>Econ!N110</f>
        <v/>
      </c>
      <c r="J110" s="12">
        <f>Econ!O110</f>
        <v>1737</v>
      </c>
      <c r="K110" s="13">
        <f>Econ!P110</f>
        <v>8531.25</v>
      </c>
      <c r="L110" s="14">
        <f>Econ!Q110</f>
        <v>830.25</v>
      </c>
      <c r="M110" s="14">
        <f>Econ!R110</f>
        <v>0</v>
      </c>
      <c r="N110" s="13">
        <f>Econ!S110</f>
        <v>434.25</v>
      </c>
      <c r="O110" s="13">
        <f>Econ!T110</f>
        <v>12</v>
      </c>
      <c r="P110" s="7" t="str">
        <f>Econ!A110</f>
        <v>Archer</v>
      </c>
      <c r="Q110" s="10">
        <f>Econ!C110</f>
        <v>29143.08739</v>
      </c>
      <c r="R110" s="10">
        <f>Econ!E110</f>
        <v>42.44128793</v>
      </c>
      <c r="S110" s="10">
        <f>Econ!G110</f>
        <v>19428.72493</v>
      </c>
      <c r="T110" s="10">
        <f>Econ!I110</f>
        <v>84.88257586</v>
      </c>
    </row>
    <row r="111">
      <c r="A111" s="7" t="str">
        <f>Econ!A111&amp;if(Econ!B111&lt;10,"_0"&amp;Econ!B111,"_"&amp;Econ!B111)</f>
        <v>Archer_110</v>
      </c>
      <c r="B111" s="7" t="str">
        <f>"T"&amp;Econ!B111&amp;" "&amp;Econ!A111</f>
        <v>T110 Archer</v>
      </c>
      <c r="C111" s="8">
        <f>Econ!B111</f>
        <v>110</v>
      </c>
      <c r="D111" s="7"/>
      <c r="E111" s="9"/>
      <c r="F111" s="9"/>
      <c r="G111" s="10">
        <f>Econ!L111</f>
        <v>34757</v>
      </c>
      <c r="H111" s="11">
        <f>Econ!M111</f>
        <v>3372</v>
      </c>
      <c r="I111" s="11" t="str">
        <f>Econ!N111</f>
        <v/>
      </c>
      <c r="J111" s="12">
        <f>Econ!O111</f>
        <v>1763</v>
      </c>
      <c r="K111" s="13">
        <f>Econ!P111</f>
        <v>8689.25</v>
      </c>
      <c r="L111" s="14">
        <f>Econ!Q111</f>
        <v>843</v>
      </c>
      <c r="M111" s="14">
        <f>Econ!R111</f>
        <v>0</v>
      </c>
      <c r="N111" s="13">
        <f>Econ!S111</f>
        <v>440.75</v>
      </c>
      <c r="O111" s="13">
        <f>Econ!T111</f>
        <v>12</v>
      </c>
      <c r="P111" s="7" t="str">
        <f>Econ!A111</f>
        <v>Archer</v>
      </c>
      <c r="Q111" s="10">
        <f>Econ!C111</f>
        <v>30600.24176</v>
      </c>
      <c r="R111" s="10">
        <f>Econ!E111</f>
        <v>43.29011369</v>
      </c>
      <c r="S111" s="10">
        <f>Econ!G111</f>
        <v>20400.16117</v>
      </c>
      <c r="T111" s="10">
        <f>Econ!I111</f>
        <v>86.58022738</v>
      </c>
    </row>
    <row r="112">
      <c r="A112" s="7" t="str">
        <f>Econ!A112&amp;if(Econ!B112&lt;10,"_0"&amp;Econ!B112,"_"&amp;Econ!B112)</f>
        <v>Archer_111</v>
      </c>
      <c r="B112" s="7" t="str">
        <f>"T"&amp;Econ!B112&amp;" "&amp;Econ!A112</f>
        <v>T111 Archer</v>
      </c>
      <c r="C112" s="8">
        <f>Econ!B112</f>
        <v>111</v>
      </c>
      <c r="D112" s="7"/>
      <c r="E112" s="9"/>
      <c r="F112" s="9"/>
      <c r="G112" s="10">
        <f>Econ!L112</f>
        <v>35393</v>
      </c>
      <c r="H112" s="11">
        <f>Econ!M112</f>
        <v>3424</v>
      </c>
      <c r="I112" s="11" t="str">
        <f>Econ!N112</f>
        <v/>
      </c>
      <c r="J112" s="12">
        <f>Econ!O112</f>
        <v>1789</v>
      </c>
      <c r="K112" s="13">
        <f>Econ!P112</f>
        <v>8848.25</v>
      </c>
      <c r="L112" s="14">
        <f>Econ!Q112</f>
        <v>856</v>
      </c>
      <c r="M112" s="14">
        <f>Econ!R112</f>
        <v>0</v>
      </c>
      <c r="N112" s="13">
        <f>Econ!S112</f>
        <v>447.25</v>
      </c>
      <c r="O112" s="13">
        <f>Econ!T112</f>
        <v>12</v>
      </c>
      <c r="P112" s="7" t="str">
        <f>Econ!A112</f>
        <v>Archer</v>
      </c>
      <c r="Q112" s="10">
        <f>Econ!C112</f>
        <v>32130.25385</v>
      </c>
      <c r="R112" s="10">
        <f>Econ!E112</f>
        <v>44.15591596</v>
      </c>
      <c r="S112" s="10">
        <f>Econ!G112</f>
        <v>21420.16923</v>
      </c>
      <c r="T112" s="10">
        <f>Econ!I112</f>
        <v>88.31183193</v>
      </c>
    </row>
    <row r="113">
      <c r="A113" s="7" t="str">
        <f>Econ!A113&amp;if(Econ!B113&lt;10,"_0"&amp;Econ!B113,"_"&amp;Econ!B113)</f>
        <v>Archer_112</v>
      </c>
      <c r="B113" s="7" t="str">
        <f>"T"&amp;Econ!B113&amp;" "&amp;Econ!A113</f>
        <v>T112 Archer</v>
      </c>
      <c r="C113" s="8">
        <f>Econ!B113</f>
        <v>112</v>
      </c>
      <c r="D113" s="7"/>
      <c r="E113" s="9"/>
      <c r="F113" s="9"/>
      <c r="G113" s="10">
        <f>Econ!L113</f>
        <v>36033</v>
      </c>
      <c r="H113" s="11">
        <f>Econ!M113</f>
        <v>3476</v>
      </c>
      <c r="I113" s="11" t="str">
        <f>Econ!N113</f>
        <v/>
      </c>
      <c r="J113" s="12">
        <f>Econ!O113</f>
        <v>1816</v>
      </c>
      <c r="K113" s="13">
        <f>Econ!P113</f>
        <v>9008.25</v>
      </c>
      <c r="L113" s="14">
        <f>Econ!Q113</f>
        <v>869</v>
      </c>
      <c r="M113" s="14">
        <f>Econ!R113</f>
        <v>0</v>
      </c>
      <c r="N113" s="13">
        <f>Econ!S113</f>
        <v>454</v>
      </c>
      <c r="O113" s="13">
        <f>Econ!T113</f>
        <v>12</v>
      </c>
      <c r="P113" s="7" t="str">
        <f>Econ!A113</f>
        <v>Archer</v>
      </c>
      <c r="Q113" s="10">
        <f>Econ!C113</f>
        <v>33736.76654</v>
      </c>
      <c r="R113" s="10">
        <f>Econ!E113</f>
        <v>45.03903428</v>
      </c>
      <c r="S113" s="10">
        <f>Econ!G113</f>
        <v>22491.17769</v>
      </c>
      <c r="T113" s="10">
        <f>Econ!I113</f>
        <v>90.07806857</v>
      </c>
    </row>
    <row r="114">
      <c r="A114" s="7" t="str">
        <f>Econ!A114&amp;if(Econ!B114&lt;10,"_0"&amp;Econ!B114,"_"&amp;Econ!B114)</f>
        <v>Archer_113</v>
      </c>
      <c r="B114" s="7" t="str">
        <f>"T"&amp;Econ!B114&amp;" "&amp;Econ!A114</f>
        <v>T113 Archer</v>
      </c>
      <c r="C114" s="8">
        <f>Econ!B114</f>
        <v>113</v>
      </c>
      <c r="D114" s="7"/>
      <c r="E114" s="9"/>
      <c r="F114" s="9"/>
      <c r="G114" s="10">
        <f>Econ!L114</f>
        <v>36677</v>
      </c>
      <c r="H114" s="11">
        <f>Econ!M114</f>
        <v>3528</v>
      </c>
      <c r="I114" s="11" t="str">
        <f>Econ!N114</f>
        <v/>
      </c>
      <c r="J114" s="12">
        <f>Econ!O114</f>
        <v>1843</v>
      </c>
      <c r="K114" s="13">
        <f>Econ!P114</f>
        <v>9169.25</v>
      </c>
      <c r="L114" s="14">
        <f>Econ!Q114</f>
        <v>882</v>
      </c>
      <c r="M114" s="14">
        <f>Econ!R114</f>
        <v>0</v>
      </c>
      <c r="N114" s="13">
        <f>Econ!S114</f>
        <v>460.75</v>
      </c>
      <c r="O114" s="13">
        <f>Econ!T114</f>
        <v>12</v>
      </c>
      <c r="P114" s="7" t="str">
        <f>Econ!A114</f>
        <v>Archer</v>
      </c>
      <c r="Q114" s="10">
        <f>Econ!C114</f>
        <v>35423.60487</v>
      </c>
      <c r="R114" s="10">
        <f>Econ!E114</f>
        <v>45.93981497</v>
      </c>
      <c r="S114" s="10">
        <f>Econ!G114</f>
        <v>23615.73658</v>
      </c>
      <c r="T114" s="10">
        <f>Econ!I114</f>
        <v>91.87962994</v>
      </c>
    </row>
    <row r="115">
      <c r="A115" s="7" t="str">
        <f>Econ!A115&amp;if(Econ!B115&lt;10,"_0"&amp;Econ!B115,"_"&amp;Econ!B115)</f>
        <v>Archer_114</v>
      </c>
      <c r="B115" s="7" t="str">
        <f>"T"&amp;Econ!B115&amp;" "&amp;Econ!A115</f>
        <v>T114 Archer</v>
      </c>
      <c r="C115" s="8">
        <f>Econ!B115</f>
        <v>114</v>
      </c>
      <c r="D115" s="7"/>
      <c r="E115" s="9"/>
      <c r="F115" s="9"/>
      <c r="G115" s="10">
        <f>Econ!L115</f>
        <v>37325</v>
      </c>
      <c r="H115" s="11">
        <f>Econ!M115</f>
        <v>3581</v>
      </c>
      <c r="I115" s="11" t="str">
        <f>Econ!N115</f>
        <v/>
      </c>
      <c r="J115" s="12">
        <f>Econ!O115</f>
        <v>1870</v>
      </c>
      <c r="K115" s="13">
        <f>Econ!P115</f>
        <v>9331.25</v>
      </c>
      <c r="L115" s="14">
        <f>Econ!Q115</f>
        <v>895.25</v>
      </c>
      <c r="M115" s="14">
        <f>Econ!R115</f>
        <v>0</v>
      </c>
      <c r="N115" s="13">
        <f>Econ!S115</f>
        <v>467.5</v>
      </c>
      <c r="O115" s="13">
        <f>Econ!T115</f>
        <v>12</v>
      </c>
      <c r="P115" s="7" t="str">
        <f>Econ!A115</f>
        <v>Archer</v>
      </c>
      <c r="Q115" s="10">
        <f>Econ!C115</f>
        <v>37194.78511</v>
      </c>
      <c r="R115" s="10">
        <f>Econ!E115</f>
        <v>46.85861127</v>
      </c>
      <c r="S115" s="10">
        <f>Econ!G115</f>
        <v>24796.52341</v>
      </c>
      <c r="T115" s="10">
        <f>Econ!I115</f>
        <v>93.71722254</v>
      </c>
    </row>
    <row r="116">
      <c r="A116" s="7" t="str">
        <f>Econ!A116&amp;if(Econ!B116&lt;10,"_0"&amp;Econ!B116,"_"&amp;Econ!B116)</f>
        <v>Archer_115</v>
      </c>
      <c r="B116" s="7" t="str">
        <f>"T"&amp;Econ!B116&amp;" "&amp;Econ!A116</f>
        <v>T115 Archer</v>
      </c>
      <c r="C116" s="8">
        <f>Econ!B116</f>
        <v>115</v>
      </c>
      <c r="D116" s="7"/>
      <c r="E116" s="9"/>
      <c r="F116" s="9"/>
      <c r="G116" s="10">
        <f>Econ!L116</f>
        <v>37977</v>
      </c>
      <c r="H116" s="11">
        <f>Econ!M116</f>
        <v>3634</v>
      </c>
      <c r="I116" s="11" t="str">
        <f>Econ!N116</f>
        <v/>
      </c>
      <c r="J116" s="12">
        <f>Econ!O116</f>
        <v>1897</v>
      </c>
      <c r="K116" s="13">
        <f>Econ!P116</f>
        <v>9494.25</v>
      </c>
      <c r="L116" s="14">
        <f>Econ!Q116</f>
        <v>908.5</v>
      </c>
      <c r="M116" s="14">
        <f>Econ!R116</f>
        <v>0</v>
      </c>
      <c r="N116" s="13">
        <f>Econ!S116</f>
        <v>474.25</v>
      </c>
      <c r="O116" s="13">
        <f>Econ!T116</f>
        <v>13</v>
      </c>
      <c r="P116" s="7" t="str">
        <f>Econ!A116</f>
        <v>Archer</v>
      </c>
      <c r="Q116" s="10">
        <f>Econ!C116</f>
        <v>39054.52437</v>
      </c>
      <c r="R116" s="10">
        <f>Econ!E116</f>
        <v>47.79578349</v>
      </c>
      <c r="S116" s="10">
        <f>Econ!G116</f>
        <v>26036.34958</v>
      </c>
      <c r="T116" s="10">
        <f>Econ!I116</f>
        <v>95.59156699</v>
      </c>
    </row>
    <row r="117">
      <c r="A117" s="7" t="str">
        <f>Econ!A117&amp;if(Econ!B117&lt;10,"_0"&amp;Econ!B117,"_"&amp;Econ!B117)</f>
        <v>Archer_116</v>
      </c>
      <c r="B117" s="7" t="str">
        <f>"T"&amp;Econ!B117&amp;" "&amp;Econ!A117</f>
        <v>T116 Archer</v>
      </c>
      <c r="C117" s="8">
        <f>Econ!B117</f>
        <v>116</v>
      </c>
      <c r="D117" s="7"/>
      <c r="E117" s="9"/>
      <c r="F117" s="9"/>
      <c r="G117" s="10">
        <f>Econ!L117</f>
        <v>38633</v>
      </c>
      <c r="H117" s="11">
        <f>Econ!M117</f>
        <v>3687</v>
      </c>
      <c r="I117" s="11" t="str">
        <f>Econ!N117</f>
        <v/>
      </c>
      <c r="J117" s="12">
        <f>Econ!O117</f>
        <v>1924</v>
      </c>
      <c r="K117" s="13">
        <f>Econ!P117</f>
        <v>9658.25</v>
      </c>
      <c r="L117" s="14">
        <f>Econ!Q117</f>
        <v>921.75</v>
      </c>
      <c r="M117" s="14">
        <f>Econ!R117</f>
        <v>0</v>
      </c>
      <c r="N117" s="13">
        <f>Econ!S117</f>
        <v>481</v>
      </c>
      <c r="O117" s="13">
        <f>Econ!T117</f>
        <v>13</v>
      </c>
      <c r="P117" s="7" t="str">
        <f>Econ!A117</f>
        <v>Archer</v>
      </c>
      <c r="Q117" s="10">
        <f>Econ!C117</f>
        <v>41007.25058</v>
      </c>
      <c r="R117" s="10">
        <f>Econ!E117</f>
        <v>48.75169916</v>
      </c>
      <c r="S117" s="10">
        <f>Econ!G117</f>
        <v>27338.16706</v>
      </c>
      <c r="T117" s="10">
        <f>Econ!I117</f>
        <v>97.50339833</v>
      </c>
    </row>
    <row r="118">
      <c r="A118" s="7" t="str">
        <f>Econ!A118&amp;if(Econ!B118&lt;10,"_0"&amp;Econ!B118,"_"&amp;Econ!B118)</f>
        <v>Archer_117</v>
      </c>
      <c r="B118" s="7" t="str">
        <f>"T"&amp;Econ!B118&amp;" "&amp;Econ!A118</f>
        <v>T117 Archer</v>
      </c>
      <c r="C118" s="8">
        <f>Econ!B118</f>
        <v>117</v>
      </c>
      <c r="D118" s="7"/>
      <c r="E118" s="9"/>
      <c r="F118" s="9"/>
      <c r="G118" s="10">
        <f>Econ!L118</f>
        <v>39293</v>
      </c>
      <c r="H118" s="11">
        <f>Econ!M118</f>
        <v>3741</v>
      </c>
      <c r="I118" s="11" t="str">
        <f>Econ!N118</f>
        <v/>
      </c>
      <c r="J118" s="12">
        <f>Econ!O118</f>
        <v>1951</v>
      </c>
      <c r="K118" s="13">
        <f>Econ!P118</f>
        <v>9823.25</v>
      </c>
      <c r="L118" s="14">
        <f>Econ!Q118</f>
        <v>935.25</v>
      </c>
      <c r="M118" s="14">
        <f>Econ!R118</f>
        <v>0</v>
      </c>
      <c r="N118" s="13">
        <f>Econ!S118</f>
        <v>487.75</v>
      </c>
      <c r="O118" s="13">
        <f>Econ!T118</f>
        <v>13</v>
      </c>
      <c r="P118" s="7" t="str">
        <f>Econ!A118</f>
        <v>Archer</v>
      </c>
      <c r="Q118" s="10">
        <f>Econ!C118</f>
        <v>43057.61311</v>
      </c>
      <c r="R118" s="10">
        <f>Econ!E118</f>
        <v>49.72673315</v>
      </c>
      <c r="S118" s="10">
        <f>Econ!G118</f>
        <v>28705.07541</v>
      </c>
      <c r="T118" s="10">
        <f>Econ!I118</f>
        <v>99.4534663</v>
      </c>
    </row>
    <row r="119">
      <c r="A119" s="7" t="str">
        <f>Econ!A119&amp;if(Econ!B119&lt;10,"_0"&amp;Econ!B119,"_"&amp;Econ!B119)</f>
        <v>Archer_118</v>
      </c>
      <c r="B119" s="7" t="str">
        <f>"T"&amp;Econ!B119&amp;" "&amp;Econ!A119</f>
        <v>T118 Archer</v>
      </c>
      <c r="C119" s="8">
        <f>Econ!B119</f>
        <v>118</v>
      </c>
      <c r="D119" s="7"/>
      <c r="E119" s="9"/>
      <c r="F119" s="9"/>
      <c r="G119" s="10">
        <f>Econ!L119</f>
        <v>39957</v>
      </c>
      <c r="H119" s="11">
        <f>Econ!M119</f>
        <v>3795</v>
      </c>
      <c r="I119" s="11" t="str">
        <f>Econ!N119</f>
        <v/>
      </c>
      <c r="J119" s="12">
        <f>Econ!O119</f>
        <v>1979</v>
      </c>
      <c r="K119" s="13">
        <f>Econ!P119</f>
        <v>9989.25</v>
      </c>
      <c r="L119" s="14">
        <f>Econ!Q119</f>
        <v>948.75</v>
      </c>
      <c r="M119" s="14">
        <f>Econ!R119</f>
        <v>0</v>
      </c>
      <c r="N119" s="13">
        <f>Econ!S119</f>
        <v>494.75</v>
      </c>
      <c r="O119" s="13">
        <f>Econ!T119</f>
        <v>13</v>
      </c>
      <c r="P119" s="7" t="str">
        <f>Econ!A119</f>
        <v>Archer</v>
      </c>
      <c r="Q119" s="10">
        <f>Econ!C119</f>
        <v>45210.49377</v>
      </c>
      <c r="R119" s="10">
        <f>Econ!E119</f>
        <v>50.72126781</v>
      </c>
      <c r="S119" s="10">
        <f>Econ!G119</f>
        <v>30140.32918</v>
      </c>
      <c r="T119" s="10">
        <f>Econ!I119</f>
        <v>101.4425356</v>
      </c>
    </row>
    <row r="120">
      <c r="A120" s="7" t="str">
        <f>Econ!A120&amp;if(Econ!B120&lt;10,"_0"&amp;Econ!B120,"_"&amp;Econ!B120)</f>
        <v>Archer_119</v>
      </c>
      <c r="B120" s="7" t="str">
        <f>"T"&amp;Econ!B120&amp;" "&amp;Econ!A120</f>
        <v>T119 Archer</v>
      </c>
      <c r="C120" s="8">
        <f>Econ!B120</f>
        <v>119</v>
      </c>
      <c r="D120" s="7"/>
      <c r="E120" s="9"/>
      <c r="F120" s="9"/>
      <c r="G120" s="10">
        <f>Econ!L120</f>
        <v>40625</v>
      </c>
      <c r="H120" s="11">
        <f>Econ!M120</f>
        <v>3849</v>
      </c>
      <c r="I120" s="11" t="str">
        <f>Econ!N120</f>
        <v/>
      </c>
      <c r="J120" s="12">
        <f>Econ!O120</f>
        <v>2007</v>
      </c>
      <c r="K120" s="13">
        <f>Econ!P120</f>
        <v>10156.25</v>
      </c>
      <c r="L120" s="14">
        <f>Econ!Q120</f>
        <v>962.25</v>
      </c>
      <c r="M120" s="14">
        <f>Econ!R120</f>
        <v>0</v>
      </c>
      <c r="N120" s="13">
        <f>Econ!S120</f>
        <v>501.75</v>
      </c>
      <c r="O120" s="13">
        <f>Econ!T120</f>
        <v>13</v>
      </c>
      <c r="P120" s="7" t="str">
        <f>Econ!A120</f>
        <v>Archer</v>
      </c>
      <c r="Q120" s="10">
        <f>Econ!C120</f>
        <v>47471.01846</v>
      </c>
      <c r="R120" s="10">
        <f>Econ!E120</f>
        <v>51.73569317</v>
      </c>
      <c r="S120" s="10">
        <f>Econ!G120</f>
        <v>31647.34564</v>
      </c>
      <c r="T120" s="10">
        <f>Econ!I120</f>
        <v>103.4713863</v>
      </c>
    </row>
    <row r="121">
      <c r="A121" s="7" t="str">
        <f>Econ!A121&amp;if(Econ!B121&lt;10,"_0"&amp;Econ!B121,"_"&amp;Econ!B121)</f>
        <v>Archer_120</v>
      </c>
      <c r="B121" s="7" t="str">
        <f>"T"&amp;Econ!B121&amp;" "&amp;Econ!A121</f>
        <v>T120 Archer</v>
      </c>
      <c r="C121" s="8">
        <f>Econ!B121</f>
        <v>120</v>
      </c>
      <c r="D121" s="7"/>
      <c r="E121" s="9"/>
      <c r="F121" s="9"/>
      <c r="G121" s="10">
        <f>Econ!L121</f>
        <v>41297</v>
      </c>
      <c r="H121" s="11">
        <f>Econ!M121</f>
        <v>3904</v>
      </c>
      <c r="I121" s="11" t="str">
        <f>Econ!N121</f>
        <v/>
      </c>
      <c r="J121" s="12">
        <f>Econ!O121</f>
        <v>2035</v>
      </c>
      <c r="K121" s="13">
        <f>Econ!P121</f>
        <v>10324.25</v>
      </c>
      <c r="L121" s="14">
        <f>Econ!Q121</f>
        <v>976</v>
      </c>
      <c r="M121" s="14">
        <f>Econ!R121</f>
        <v>0</v>
      </c>
      <c r="N121" s="13">
        <f>Econ!S121</f>
        <v>508.75</v>
      </c>
      <c r="O121" s="13">
        <f>Econ!T121</f>
        <v>13</v>
      </c>
      <c r="P121" s="7" t="str">
        <f>Econ!A121</f>
        <v>Archer</v>
      </c>
      <c r="Q121" s="10">
        <f>Econ!C121</f>
        <v>49844.56938</v>
      </c>
      <c r="R121" s="10">
        <f>Econ!E121</f>
        <v>52.77040703</v>
      </c>
      <c r="S121" s="10">
        <f>Econ!G121</f>
        <v>33229.71292</v>
      </c>
      <c r="T121" s="10">
        <f>Econ!I121</f>
        <v>105.5408141</v>
      </c>
    </row>
    <row r="122">
      <c r="A122" s="7" t="str">
        <f>Econ!A122&amp;if(Econ!B122&lt;10,"_0"&amp;Econ!B122,"_"&amp;Econ!B122)</f>
        <v>Archer_121</v>
      </c>
      <c r="B122" s="7" t="str">
        <f>"T"&amp;Econ!B122&amp;" "&amp;Econ!A122</f>
        <v>T121 Archer</v>
      </c>
      <c r="C122" s="8">
        <f>Econ!B122</f>
        <v>121</v>
      </c>
      <c r="D122" s="7"/>
      <c r="E122" s="9"/>
      <c r="F122" s="9"/>
      <c r="G122" s="10">
        <f>Econ!L122</f>
        <v>41972</v>
      </c>
      <c r="H122" s="11">
        <f>Econ!M122</f>
        <v>3959</v>
      </c>
      <c r="I122" s="11" t="str">
        <f>Econ!N122</f>
        <v/>
      </c>
      <c r="J122" s="12">
        <f>Econ!O122</f>
        <v>2063</v>
      </c>
      <c r="K122" s="13">
        <f>Econ!P122</f>
        <v>10493</v>
      </c>
      <c r="L122" s="14">
        <f>Econ!Q122</f>
        <v>989.75</v>
      </c>
      <c r="M122" s="14">
        <f>Econ!R122</f>
        <v>0</v>
      </c>
      <c r="N122" s="13">
        <f>Econ!S122</f>
        <v>515.75</v>
      </c>
      <c r="O122" s="13">
        <f>Econ!T122</f>
        <v>13</v>
      </c>
      <c r="P122" s="7" t="str">
        <f>Econ!A122</f>
        <v>Archer</v>
      </c>
      <c r="Q122" s="10">
        <f>Econ!C122</f>
        <v>52336.79785</v>
      </c>
      <c r="R122" s="10">
        <f>Econ!E122</f>
        <v>53.82581517</v>
      </c>
      <c r="S122" s="10">
        <f>Econ!G122</f>
        <v>34891.19857</v>
      </c>
      <c r="T122" s="10">
        <f>Econ!I122</f>
        <v>107.6516303</v>
      </c>
    </row>
    <row r="123">
      <c r="A123" s="7" t="str">
        <f>Econ!A123&amp;if(Econ!B123&lt;10,"_0"&amp;Econ!B123,"_"&amp;Econ!B123)</f>
        <v>Archer_122</v>
      </c>
      <c r="B123" s="7" t="str">
        <f>"T"&amp;Econ!B123&amp;" "&amp;Econ!A123</f>
        <v>T122 Archer</v>
      </c>
      <c r="C123" s="8">
        <f>Econ!B123</f>
        <v>122</v>
      </c>
      <c r="D123" s="7"/>
      <c r="E123" s="9"/>
      <c r="F123" s="9"/>
      <c r="G123" s="10">
        <f>Econ!L123</f>
        <v>42651</v>
      </c>
      <c r="H123" s="11">
        <f>Econ!M123</f>
        <v>4014</v>
      </c>
      <c r="I123" s="11" t="str">
        <f>Econ!N123</f>
        <v/>
      </c>
      <c r="J123" s="12">
        <f>Econ!O123</f>
        <v>2091</v>
      </c>
      <c r="K123" s="13">
        <f>Econ!P123</f>
        <v>10662.75</v>
      </c>
      <c r="L123" s="14">
        <f>Econ!Q123</f>
        <v>1003.5</v>
      </c>
      <c r="M123" s="14">
        <f>Econ!R123</f>
        <v>0</v>
      </c>
      <c r="N123" s="13">
        <f>Econ!S123</f>
        <v>522.75</v>
      </c>
      <c r="O123" s="13">
        <f>Econ!T123</f>
        <v>13</v>
      </c>
      <c r="P123" s="7" t="str">
        <f>Econ!A123</f>
        <v>Archer</v>
      </c>
      <c r="Q123" s="10">
        <f>Econ!C123</f>
        <v>54953.63774</v>
      </c>
      <c r="R123" s="10">
        <f>Econ!E123</f>
        <v>54.90233147</v>
      </c>
      <c r="S123" s="10">
        <f>Econ!G123</f>
        <v>36635.7585</v>
      </c>
      <c r="T123" s="10">
        <f>Econ!I123</f>
        <v>109.8046629</v>
      </c>
    </row>
    <row r="124">
      <c r="A124" s="7" t="str">
        <f>Econ!A124&amp;if(Econ!B124&lt;10,"_0"&amp;Econ!B124,"_"&amp;Econ!B124)</f>
        <v>Archer_123</v>
      </c>
      <c r="B124" s="7" t="str">
        <f>"T"&amp;Econ!B124&amp;" "&amp;Econ!A124</f>
        <v>T123 Archer</v>
      </c>
      <c r="C124" s="8">
        <f>Econ!B124</f>
        <v>123</v>
      </c>
      <c r="D124" s="7"/>
      <c r="E124" s="9"/>
      <c r="F124" s="9"/>
      <c r="G124" s="10">
        <f>Econ!L124</f>
        <v>43334</v>
      </c>
      <c r="H124" s="11">
        <f>Econ!M124</f>
        <v>4070</v>
      </c>
      <c r="I124" s="11" t="str">
        <f>Econ!N124</f>
        <v/>
      </c>
      <c r="J124" s="12">
        <f>Econ!O124</f>
        <v>2119</v>
      </c>
      <c r="K124" s="13">
        <f>Econ!P124</f>
        <v>10833.5</v>
      </c>
      <c r="L124" s="14">
        <f>Econ!Q124</f>
        <v>1017.5</v>
      </c>
      <c r="M124" s="14">
        <f>Econ!R124</f>
        <v>0</v>
      </c>
      <c r="N124" s="13">
        <f>Econ!S124</f>
        <v>529.75</v>
      </c>
      <c r="O124" s="13">
        <f>Econ!T124</f>
        <v>13</v>
      </c>
      <c r="P124" s="7" t="str">
        <f>Econ!A124</f>
        <v>Archer</v>
      </c>
      <c r="Q124" s="10">
        <f>Econ!C124</f>
        <v>57701.31963</v>
      </c>
      <c r="R124" s="10">
        <f>Econ!E124</f>
        <v>56.0003781</v>
      </c>
      <c r="S124" s="10">
        <f>Econ!G124</f>
        <v>38467.54642</v>
      </c>
      <c r="T124" s="10">
        <f>Econ!I124</f>
        <v>112.0007562</v>
      </c>
    </row>
    <row r="125">
      <c r="A125" s="7" t="str">
        <f>Econ!A125&amp;if(Econ!B125&lt;10,"_0"&amp;Econ!B125,"_"&amp;Econ!B125)</f>
        <v>Archer_124</v>
      </c>
      <c r="B125" s="7" t="str">
        <f>"T"&amp;Econ!B125&amp;" "&amp;Econ!A125</f>
        <v>T124 Archer</v>
      </c>
      <c r="C125" s="8">
        <f>Econ!B125</f>
        <v>124</v>
      </c>
      <c r="D125" s="7"/>
      <c r="E125" s="9"/>
      <c r="F125" s="9"/>
      <c r="G125" s="10">
        <f>Econ!L125</f>
        <v>44021</v>
      </c>
      <c r="H125" s="11">
        <f>Econ!M125</f>
        <v>4126</v>
      </c>
      <c r="I125" s="11" t="str">
        <f>Econ!N125</f>
        <v/>
      </c>
      <c r="J125" s="12">
        <f>Econ!O125</f>
        <v>2147</v>
      </c>
      <c r="K125" s="13">
        <f>Econ!P125</f>
        <v>11005.25</v>
      </c>
      <c r="L125" s="14">
        <f>Econ!Q125</f>
        <v>1031.5</v>
      </c>
      <c r="M125" s="14">
        <f>Econ!R125</f>
        <v>0</v>
      </c>
      <c r="N125" s="13">
        <f>Econ!S125</f>
        <v>536.75</v>
      </c>
      <c r="O125" s="13">
        <f>Econ!T125</f>
        <v>13</v>
      </c>
      <c r="P125" s="7" t="str">
        <f>Econ!A125</f>
        <v>Archer</v>
      </c>
      <c r="Q125" s="10">
        <f>Econ!C125</f>
        <v>60586.38561</v>
      </c>
      <c r="R125" s="10">
        <f>Econ!E125</f>
        <v>57.12038567</v>
      </c>
      <c r="S125" s="10">
        <f>Econ!G125</f>
        <v>40390.92374</v>
      </c>
      <c r="T125" s="10">
        <f>Econ!I125</f>
        <v>114.2407713</v>
      </c>
    </row>
    <row r="126">
      <c r="A126" s="7" t="str">
        <f>Econ!A126&amp;if(Econ!B126&lt;10,"_0"&amp;Econ!B126,"_"&amp;Econ!B126)</f>
        <v>Archer_125</v>
      </c>
      <c r="B126" s="7" t="str">
        <f>"T"&amp;Econ!B126&amp;" "&amp;Econ!A126</f>
        <v>T125 Archer</v>
      </c>
      <c r="C126" s="8">
        <f>Econ!B126</f>
        <v>125</v>
      </c>
      <c r="D126" s="7"/>
      <c r="E126" s="9"/>
      <c r="F126" s="9"/>
      <c r="G126" s="10">
        <f>Econ!L126</f>
        <v>44712</v>
      </c>
      <c r="H126" s="11">
        <f>Econ!M126</f>
        <v>4182</v>
      </c>
      <c r="I126" s="11" t="str">
        <f>Econ!N126</f>
        <v/>
      </c>
      <c r="J126" s="12">
        <f>Econ!O126</f>
        <v>2176</v>
      </c>
      <c r="K126" s="13">
        <f>Econ!P126</f>
        <v>11178</v>
      </c>
      <c r="L126" s="14">
        <f>Econ!Q126</f>
        <v>1045.5</v>
      </c>
      <c r="M126" s="14">
        <f>Econ!R126</f>
        <v>0</v>
      </c>
      <c r="N126" s="13">
        <f>Econ!S126</f>
        <v>544</v>
      </c>
      <c r="O126" s="13">
        <f>Econ!T126</f>
        <v>14</v>
      </c>
      <c r="P126" s="7" t="str">
        <f>Econ!A126</f>
        <v>Archer</v>
      </c>
      <c r="Q126" s="10">
        <f>Econ!C126</f>
        <v>63615.70489</v>
      </c>
      <c r="R126" s="10">
        <f>Econ!E126</f>
        <v>58.26279338</v>
      </c>
      <c r="S126" s="10">
        <f>Econ!G126</f>
        <v>42410.46993</v>
      </c>
      <c r="T126" s="10">
        <f>Econ!I126</f>
        <v>116.5255868</v>
      </c>
    </row>
    <row r="127">
      <c r="A127" s="7" t="str">
        <f>Econ!A127&amp;if(Econ!B127&lt;10,"_0"&amp;Econ!B127,"_"&amp;Econ!B127)</f>
        <v>Archer_126</v>
      </c>
      <c r="B127" s="7" t="str">
        <f>"T"&amp;Econ!B127&amp;" "&amp;Econ!A127</f>
        <v>T126 Archer</v>
      </c>
      <c r="C127" s="8">
        <f>Econ!B127</f>
        <v>126</v>
      </c>
      <c r="D127" s="7"/>
      <c r="E127" s="9"/>
      <c r="F127" s="9"/>
      <c r="G127" s="10">
        <f>Econ!L127</f>
        <v>45407</v>
      </c>
      <c r="H127" s="11">
        <f>Econ!M127</f>
        <v>4239</v>
      </c>
      <c r="I127" s="11" t="str">
        <f>Econ!N127</f>
        <v/>
      </c>
      <c r="J127" s="12">
        <f>Econ!O127</f>
        <v>2205</v>
      </c>
      <c r="K127" s="13">
        <f>Econ!P127</f>
        <v>11351.75</v>
      </c>
      <c r="L127" s="14">
        <f>Econ!Q127</f>
        <v>1059.75</v>
      </c>
      <c r="M127" s="14">
        <f>Econ!R127</f>
        <v>0</v>
      </c>
      <c r="N127" s="13">
        <f>Econ!S127</f>
        <v>551.25</v>
      </c>
      <c r="O127" s="13">
        <f>Econ!T127</f>
        <v>14</v>
      </c>
      <c r="P127" s="7" t="str">
        <f>Econ!A127</f>
        <v>Archer</v>
      </c>
      <c r="Q127" s="10">
        <f>Econ!C127</f>
        <v>66796.49014</v>
      </c>
      <c r="R127" s="10">
        <f>Econ!E127</f>
        <v>59.42804925</v>
      </c>
      <c r="S127" s="10">
        <f>Econ!G127</f>
        <v>44530.99342</v>
      </c>
      <c r="T127" s="10">
        <f>Econ!I127</f>
        <v>118.8560985</v>
      </c>
    </row>
    <row r="128">
      <c r="A128" s="7" t="str">
        <f>Econ!A128&amp;if(Econ!B128&lt;10,"_0"&amp;Econ!B128,"_"&amp;Econ!B128)</f>
        <v>Archer_127</v>
      </c>
      <c r="B128" s="7" t="str">
        <f>"T"&amp;Econ!B128&amp;" "&amp;Econ!A128</f>
        <v>T127 Archer</v>
      </c>
      <c r="C128" s="8">
        <f>Econ!B128</f>
        <v>127</v>
      </c>
      <c r="D128" s="7"/>
      <c r="E128" s="9"/>
      <c r="F128" s="9"/>
      <c r="G128" s="10">
        <f>Econ!L128</f>
        <v>46106</v>
      </c>
      <c r="H128" s="11">
        <f>Econ!M128</f>
        <v>4296</v>
      </c>
      <c r="I128" s="11" t="str">
        <f>Econ!N128</f>
        <v/>
      </c>
      <c r="J128" s="12">
        <f>Econ!O128</f>
        <v>2234</v>
      </c>
      <c r="K128" s="13">
        <f>Econ!P128</f>
        <v>11526.5</v>
      </c>
      <c r="L128" s="14">
        <f>Econ!Q128</f>
        <v>1074</v>
      </c>
      <c r="M128" s="14">
        <f>Econ!R128</f>
        <v>0</v>
      </c>
      <c r="N128" s="13">
        <f>Econ!S128</f>
        <v>558.5</v>
      </c>
      <c r="O128" s="13">
        <f>Econ!T128</f>
        <v>14</v>
      </c>
      <c r="P128" s="7" t="str">
        <f>Econ!A128</f>
        <v>Archer</v>
      </c>
      <c r="Q128" s="10">
        <f>Econ!C128</f>
        <v>70136.31464</v>
      </c>
      <c r="R128" s="10">
        <f>Econ!E128</f>
        <v>60.61661023</v>
      </c>
      <c r="S128" s="10">
        <f>Econ!G128</f>
        <v>46757.5431</v>
      </c>
      <c r="T128" s="10">
        <f>Econ!I128</f>
        <v>121.2332205</v>
      </c>
    </row>
    <row r="129">
      <c r="A129" s="7" t="str">
        <f>Econ!A129&amp;if(Econ!B129&lt;10,"_0"&amp;Econ!B129,"_"&amp;Econ!B129)</f>
        <v>Archer_128</v>
      </c>
      <c r="B129" s="7" t="str">
        <f>"T"&amp;Econ!B129&amp;" "&amp;Econ!A129</f>
        <v>T128 Archer</v>
      </c>
      <c r="C129" s="8">
        <f>Econ!B129</f>
        <v>128</v>
      </c>
      <c r="D129" s="7"/>
      <c r="E129" s="9"/>
      <c r="F129" s="9"/>
      <c r="G129" s="10">
        <f>Econ!L129</f>
        <v>46809</v>
      </c>
      <c r="H129" s="11">
        <f>Econ!M129</f>
        <v>4353</v>
      </c>
      <c r="I129" s="11" t="str">
        <f>Econ!N129</f>
        <v/>
      </c>
      <c r="J129" s="12">
        <f>Econ!O129</f>
        <v>2263</v>
      </c>
      <c r="K129" s="13">
        <f>Econ!P129</f>
        <v>11702.25</v>
      </c>
      <c r="L129" s="14">
        <f>Econ!Q129</f>
        <v>1088.25</v>
      </c>
      <c r="M129" s="14">
        <f>Econ!R129</f>
        <v>0</v>
      </c>
      <c r="N129" s="13">
        <f>Econ!S129</f>
        <v>565.75</v>
      </c>
      <c r="O129" s="13">
        <f>Econ!T129</f>
        <v>14</v>
      </c>
      <c r="P129" s="7" t="str">
        <f>Econ!A129</f>
        <v>Archer</v>
      </c>
      <c r="Q129" s="10">
        <f>Econ!C129</f>
        <v>73643.13038</v>
      </c>
      <c r="R129" s="10">
        <f>Econ!E129</f>
        <v>61.82894244</v>
      </c>
      <c r="S129" s="10">
        <f>Econ!G129</f>
        <v>49095.42025</v>
      </c>
      <c r="T129" s="10">
        <f>Econ!I129</f>
        <v>123.6578849</v>
      </c>
    </row>
    <row r="130">
      <c r="A130" s="7" t="str">
        <f>Econ!A130&amp;if(Econ!B130&lt;10,"_0"&amp;Econ!B130,"_"&amp;Econ!B130)</f>
        <v>Archer_129</v>
      </c>
      <c r="B130" s="7" t="str">
        <f>"T"&amp;Econ!B130&amp;" "&amp;Econ!A130</f>
        <v>T129 Archer</v>
      </c>
      <c r="C130" s="8">
        <f>Econ!B130</f>
        <v>129</v>
      </c>
      <c r="D130" s="7"/>
      <c r="E130" s="9"/>
      <c r="F130" s="9"/>
      <c r="G130" s="10">
        <f>Econ!L130</f>
        <v>47516</v>
      </c>
      <c r="H130" s="11">
        <f>Econ!M130</f>
        <v>4410</v>
      </c>
      <c r="I130" s="11" t="str">
        <f>Econ!N130</f>
        <v/>
      </c>
      <c r="J130" s="12">
        <f>Econ!O130</f>
        <v>2292</v>
      </c>
      <c r="K130" s="13">
        <f>Econ!P130</f>
        <v>11879</v>
      </c>
      <c r="L130" s="14">
        <f>Econ!Q130</f>
        <v>1102.5</v>
      </c>
      <c r="M130" s="14">
        <f>Econ!R130</f>
        <v>0</v>
      </c>
      <c r="N130" s="13">
        <f>Econ!S130</f>
        <v>573</v>
      </c>
      <c r="O130" s="13">
        <f>Econ!T130</f>
        <v>14</v>
      </c>
      <c r="P130" s="7" t="str">
        <f>Econ!A130</f>
        <v>Archer</v>
      </c>
      <c r="Q130" s="10">
        <f>Econ!C130</f>
        <v>77325.28689</v>
      </c>
      <c r="R130" s="10">
        <f>Econ!E130</f>
        <v>63.06552129</v>
      </c>
      <c r="S130" s="10">
        <f>Econ!G130</f>
        <v>51550.19126</v>
      </c>
      <c r="T130" s="10">
        <f>Econ!I130</f>
        <v>126.1310426</v>
      </c>
    </row>
    <row r="131">
      <c r="A131" s="7" t="str">
        <f>Econ!A131&amp;if(Econ!B131&lt;10,"_0"&amp;Econ!B131,"_"&amp;Econ!B131)</f>
        <v>Archer_130</v>
      </c>
      <c r="B131" s="7" t="str">
        <f>"T"&amp;Econ!B131&amp;" "&amp;Econ!A131</f>
        <v>T130 Archer</v>
      </c>
      <c r="C131" s="8">
        <f>Econ!B131</f>
        <v>130</v>
      </c>
      <c r="D131" s="7"/>
      <c r="E131" s="9"/>
      <c r="F131" s="9"/>
      <c r="G131" s="10">
        <f>Econ!L131</f>
        <v>48227</v>
      </c>
      <c r="H131" s="11">
        <f>Econ!M131</f>
        <v>4468</v>
      </c>
      <c r="I131" s="11" t="str">
        <f>Econ!N131</f>
        <v/>
      </c>
      <c r="J131" s="12">
        <f>Econ!O131</f>
        <v>2321</v>
      </c>
      <c r="K131" s="13">
        <f>Econ!P131</f>
        <v>12056.75</v>
      </c>
      <c r="L131" s="14">
        <f>Econ!Q131</f>
        <v>1117</v>
      </c>
      <c r="M131" s="14">
        <f>Econ!R131</f>
        <v>0</v>
      </c>
      <c r="N131" s="13">
        <f>Econ!S131</f>
        <v>580.25</v>
      </c>
      <c r="O131" s="13">
        <f>Econ!T131</f>
        <v>14</v>
      </c>
      <c r="P131" s="7" t="str">
        <f>Econ!A131</f>
        <v>Archer</v>
      </c>
      <c r="Q131" s="10">
        <f>Econ!C131</f>
        <v>81191.55124</v>
      </c>
      <c r="R131" s="10">
        <f>Econ!E131</f>
        <v>64.32683171</v>
      </c>
      <c r="S131" s="10">
        <f>Econ!G131</f>
        <v>54127.70083</v>
      </c>
      <c r="T131" s="10">
        <f>Econ!I131</f>
        <v>128.6536634</v>
      </c>
    </row>
    <row r="132">
      <c r="A132" s="7" t="str">
        <f>Econ!A132&amp;if(Econ!B132&lt;10,"_0"&amp;Econ!B132,"_"&amp;Econ!B132)</f>
        <v>Archer_131</v>
      </c>
      <c r="B132" s="7" t="str">
        <f>"T"&amp;Econ!B132&amp;" "&amp;Econ!A132</f>
        <v>T131 Archer</v>
      </c>
      <c r="C132" s="8">
        <f>Econ!B132</f>
        <v>131</v>
      </c>
      <c r="D132" s="7"/>
      <c r="E132" s="9"/>
      <c r="F132" s="9"/>
      <c r="G132" s="10">
        <f>Econ!L132</f>
        <v>48941</v>
      </c>
      <c r="H132" s="11">
        <f>Econ!M132</f>
        <v>4526</v>
      </c>
      <c r="I132" s="11" t="str">
        <f>Econ!N132</f>
        <v/>
      </c>
      <c r="J132" s="12">
        <f>Econ!O132</f>
        <v>2351</v>
      </c>
      <c r="K132" s="13">
        <f>Econ!P132</f>
        <v>12235.25</v>
      </c>
      <c r="L132" s="14">
        <f>Econ!Q132</f>
        <v>1131.5</v>
      </c>
      <c r="M132" s="14">
        <f>Econ!R132</f>
        <v>0</v>
      </c>
      <c r="N132" s="13">
        <f>Econ!S132</f>
        <v>587.75</v>
      </c>
      <c r="O132" s="13">
        <f>Econ!T132</f>
        <v>14</v>
      </c>
      <c r="P132" s="7" t="str">
        <f>Econ!A132</f>
        <v>Archer</v>
      </c>
      <c r="Q132" s="10">
        <f>Econ!C132</f>
        <v>85251.1288</v>
      </c>
      <c r="R132" s="10">
        <f>Econ!E132</f>
        <v>65.61336835</v>
      </c>
      <c r="S132" s="10">
        <f>Econ!G132</f>
        <v>56834.08587</v>
      </c>
      <c r="T132" s="10">
        <f>Econ!I132</f>
        <v>131.2267367</v>
      </c>
    </row>
    <row r="133">
      <c r="A133" s="7" t="str">
        <f>Econ!A133&amp;if(Econ!B133&lt;10,"_0"&amp;Econ!B133,"_"&amp;Econ!B133)</f>
        <v>Archer_132</v>
      </c>
      <c r="B133" s="7" t="str">
        <f>"T"&amp;Econ!B133&amp;" "&amp;Econ!A133</f>
        <v>T132 Archer</v>
      </c>
      <c r="C133" s="8">
        <f>Econ!B133</f>
        <v>132</v>
      </c>
      <c r="D133" s="7"/>
      <c r="E133" s="9"/>
      <c r="F133" s="9"/>
      <c r="G133" s="10">
        <f>Econ!L133</f>
        <v>49659</v>
      </c>
      <c r="H133" s="11">
        <f>Econ!M133</f>
        <v>4584</v>
      </c>
      <c r="I133" s="11" t="str">
        <f>Econ!N133</f>
        <v/>
      </c>
      <c r="J133" s="12">
        <f>Econ!O133</f>
        <v>2381</v>
      </c>
      <c r="K133" s="13">
        <f>Econ!P133</f>
        <v>12414.75</v>
      </c>
      <c r="L133" s="14">
        <f>Econ!Q133</f>
        <v>1146</v>
      </c>
      <c r="M133" s="14">
        <f>Econ!R133</f>
        <v>0</v>
      </c>
      <c r="N133" s="13">
        <f>Econ!S133</f>
        <v>595.25</v>
      </c>
      <c r="O133" s="13">
        <f>Econ!T133</f>
        <v>14</v>
      </c>
      <c r="P133" s="7" t="str">
        <f>Econ!A133</f>
        <v>Archer</v>
      </c>
      <c r="Q133" s="10">
        <f>Econ!C133</f>
        <v>89513.68524</v>
      </c>
      <c r="R133" s="10">
        <f>Econ!E133</f>
        <v>66.92563571</v>
      </c>
      <c r="S133" s="10">
        <f>Econ!G133</f>
        <v>59675.79016</v>
      </c>
      <c r="T133" s="10">
        <f>Econ!I133</f>
        <v>133.8512714</v>
      </c>
    </row>
    <row r="134">
      <c r="A134" s="7" t="str">
        <f>Econ!A134&amp;if(Econ!B134&lt;10,"_0"&amp;Econ!B134,"_"&amp;Econ!B134)</f>
        <v>Archer_133</v>
      </c>
      <c r="B134" s="7" t="str">
        <f>"T"&amp;Econ!B134&amp;" "&amp;Econ!A134</f>
        <v>T133 Archer</v>
      </c>
      <c r="C134" s="8">
        <f>Econ!B134</f>
        <v>133</v>
      </c>
      <c r="D134" s="7"/>
      <c r="E134" s="9"/>
      <c r="F134" s="9"/>
      <c r="G134" s="10">
        <f>Econ!L134</f>
        <v>50381</v>
      </c>
      <c r="H134" s="11">
        <f>Econ!M134</f>
        <v>4643</v>
      </c>
      <c r="I134" s="11" t="str">
        <f>Econ!N134</f>
        <v/>
      </c>
      <c r="J134" s="12">
        <f>Econ!O134</f>
        <v>2411</v>
      </c>
      <c r="K134" s="13">
        <f>Econ!P134</f>
        <v>12595.25</v>
      </c>
      <c r="L134" s="14">
        <f>Econ!Q134</f>
        <v>1160.75</v>
      </c>
      <c r="M134" s="14">
        <f>Econ!R134</f>
        <v>0</v>
      </c>
      <c r="N134" s="13">
        <f>Econ!S134</f>
        <v>602.75</v>
      </c>
      <c r="O134" s="13">
        <f>Econ!T134</f>
        <v>14</v>
      </c>
      <c r="P134" s="7" t="str">
        <f>Econ!A134</f>
        <v>Archer</v>
      </c>
      <c r="Q134" s="10">
        <f>Econ!C134</f>
        <v>93989.3695</v>
      </c>
      <c r="R134" s="10">
        <f>Econ!E134</f>
        <v>68.26414843</v>
      </c>
      <c r="S134" s="10">
        <f>Econ!G134</f>
        <v>62659.57967</v>
      </c>
      <c r="T134" s="10">
        <f>Econ!I134</f>
        <v>136.5282969</v>
      </c>
    </row>
    <row r="135">
      <c r="A135" s="7" t="str">
        <f>Econ!A135&amp;if(Econ!B135&lt;10,"_0"&amp;Econ!B135,"_"&amp;Econ!B135)</f>
        <v>Archer_134</v>
      </c>
      <c r="B135" s="7" t="str">
        <f>"T"&amp;Econ!B135&amp;" "&amp;Econ!A135</f>
        <v>T134 Archer</v>
      </c>
      <c r="C135" s="8">
        <f>Econ!B135</f>
        <v>134</v>
      </c>
      <c r="D135" s="7"/>
      <c r="E135" s="9"/>
      <c r="F135" s="9"/>
      <c r="G135" s="10">
        <f>Econ!L135</f>
        <v>51107</v>
      </c>
      <c r="H135" s="11">
        <f>Econ!M135</f>
        <v>4702</v>
      </c>
      <c r="I135" s="11" t="str">
        <f>Econ!N135</f>
        <v/>
      </c>
      <c r="J135" s="12">
        <f>Econ!O135</f>
        <v>2441</v>
      </c>
      <c r="K135" s="13">
        <f>Econ!P135</f>
        <v>12776.75</v>
      </c>
      <c r="L135" s="14">
        <f>Econ!Q135</f>
        <v>1175.5</v>
      </c>
      <c r="M135" s="14">
        <f>Econ!R135</f>
        <v>0</v>
      </c>
      <c r="N135" s="13">
        <f>Econ!S135</f>
        <v>610.25</v>
      </c>
      <c r="O135" s="13">
        <f>Econ!T135</f>
        <v>14</v>
      </c>
      <c r="P135" s="7" t="str">
        <f>Econ!A135</f>
        <v>Archer</v>
      </c>
      <c r="Q135" s="10">
        <f>Econ!C135</f>
        <v>98688.83798</v>
      </c>
      <c r="R135" s="10">
        <f>Econ!E135</f>
        <v>69.62943139</v>
      </c>
      <c r="S135" s="10">
        <f>Econ!G135</f>
        <v>65792.55865</v>
      </c>
      <c r="T135" s="10">
        <f>Econ!I135</f>
        <v>139.2588628</v>
      </c>
    </row>
    <row r="136">
      <c r="A136" s="7" t="str">
        <f>Econ!A136&amp;if(Econ!B136&lt;10,"_0"&amp;Econ!B136,"_"&amp;Econ!B136)</f>
        <v>Archer_135</v>
      </c>
      <c r="B136" s="7" t="str">
        <f>"T"&amp;Econ!B136&amp;" "&amp;Econ!A136</f>
        <v>T135 Archer</v>
      </c>
      <c r="C136" s="8">
        <f>Econ!B136</f>
        <v>135</v>
      </c>
      <c r="D136" s="7"/>
      <c r="E136" s="9"/>
      <c r="F136" s="9"/>
      <c r="G136" s="10">
        <f>Econ!L136</f>
        <v>51837</v>
      </c>
      <c r="H136" s="11">
        <f>Econ!M136</f>
        <v>4761</v>
      </c>
      <c r="I136" s="11" t="str">
        <f>Econ!N136</f>
        <v/>
      </c>
      <c r="J136" s="12">
        <f>Econ!O136</f>
        <v>2471</v>
      </c>
      <c r="K136" s="13">
        <f>Econ!P136</f>
        <v>12959.25</v>
      </c>
      <c r="L136" s="14">
        <f>Econ!Q136</f>
        <v>1190.25</v>
      </c>
      <c r="M136" s="14">
        <f>Econ!R136</f>
        <v>0</v>
      </c>
      <c r="N136" s="13">
        <f>Econ!S136</f>
        <v>617.75</v>
      </c>
      <c r="O136" s="13">
        <f>Econ!T136</f>
        <v>15</v>
      </c>
      <c r="P136" s="7" t="str">
        <f>Econ!A136</f>
        <v>Archer</v>
      </c>
      <c r="Q136" s="10">
        <f>Econ!C136</f>
        <v>103623.2799</v>
      </c>
      <c r="R136" s="10">
        <f>Econ!E136</f>
        <v>71.02202002</v>
      </c>
      <c r="S136" s="10">
        <f>Econ!G136</f>
        <v>69082.18658</v>
      </c>
      <c r="T136" s="10">
        <f>Econ!I136</f>
        <v>142.04404</v>
      </c>
    </row>
    <row r="137">
      <c r="A137" s="7" t="str">
        <f>Econ!A137&amp;if(Econ!B137&lt;10,"_0"&amp;Econ!B137,"_"&amp;Econ!B137)</f>
        <v>Archer_136</v>
      </c>
      <c r="B137" s="7" t="str">
        <f>"T"&amp;Econ!B137&amp;" "&amp;Econ!A137</f>
        <v>T136 Archer</v>
      </c>
      <c r="C137" s="8">
        <f>Econ!B137</f>
        <v>136</v>
      </c>
      <c r="D137" s="7"/>
      <c r="E137" s="9"/>
      <c r="F137" s="9"/>
      <c r="G137" s="10">
        <f>Econ!L137</f>
        <v>52570</v>
      </c>
      <c r="H137" s="11">
        <f>Econ!M137</f>
        <v>4821</v>
      </c>
      <c r="I137" s="11" t="str">
        <f>Econ!N137</f>
        <v/>
      </c>
      <c r="J137" s="12">
        <f>Econ!O137</f>
        <v>2501</v>
      </c>
      <c r="K137" s="13">
        <f>Econ!P137</f>
        <v>13142.5</v>
      </c>
      <c r="L137" s="14">
        <f>Econ!Q137</f>
        <v>1205.25</v>
      </c>
      <c r="M137" s="14">
        <f>Econ!R137</f>
        <v>0</v>
      </c>
      <c r="N137" s="13">
        <f>Econ!S137</f>
        <v>625.25</v>
      </c>
      <c r="O137" s="13">
        <f>Econ!T137</f>
        <v>15</v>
      </c>
      <c r="P137" s="7" t="str">
        <f>Econ!A137</f>
        <v>Archer</v>
      </c>
      <c r="Q137" s="10">
        <f>Econ!C137</f>
        <v>108804.4439</v>
      </c>
      <c r="R137" s="10">
        <f>Econ!E137</f>
        <v>72.44246042</v>
      </c>
      <c r="S137" s="10">
        <f>Econ!G137</f>
        <v>72536.29591</v>
      </c>
      <c r="T137" s="10">
        <f>Econ!I137</f>
        <v>144.8849208</v>
      </c>
    </row>
    <row r="138">
      <c r="A138" s="7" t="str">
        <f>Econ!A138&amp;if(Econ!B138&lt;10,"_0"&amp;Econ!B138,"_"&amp;Econ!B138)</f>
        <v>Archer_137</v>
      </c>
      <c r="B138" s="7" t="str">
        <f>"T"&amp;Econ!B138&amp;" "&amp;Econ!A138</f>
        <v>T137 Archer</v>
      </c>
      <c r="C138" s="8">
        <f>Econ!B138</f>
        <v>137</v>
      </c>
      <c r="D138" s="7"/>
      <c r="E138" s="9"/>
      <c r="F138" s="9"/>
      <c r="G138" s="10">
        <f>Econ!L138</f>
        <v>53307</v>
      </c>
      <c r="H138" s="11">
        <f>Econ!M138</f>
        <v>4881</v>
      </c>
      <c r="I138" s="11" t="str">
        <f>Econ!N138</f>
        <v/>
      </c>
      <c r="J138" s="12">
        <f>Econ!O138</f>
        <v>2531</v>
      </c>
      <c r="K138" s="13">
        <f>Econ!P138</f>
        <v>13326.75</v>
      </c>
      <c r="L138" s="14">
        <f>Econ!Q138</f>
        <v>1220.25</v>
      </c>
      <c r="M138" s="14">
        <f>Econ!R138</f>
        <v>0</v>
      </c>
      <c r="N138" s="13">
        <f>Econ!S138</f>
        <v>632.75</v>
      </c>
      <c r="O138" s="13">
        <f>Econ!T138</f>
        <v>15</v>
      </c>
      <c r="P138" s="7" t="str">
        <f>Econ!A138</f>
        <v>Archer</v>
      </c>
      <c r="Q138" s="10">
        <f>Econ!C138</f>
        <v>114244.6661</v>
      </c>
      <c r="R138" s="10">
        <f>Econ!E138</f>
        <v>73.89130963</v>
      </c>
      <c r="S138" s="10">
        <f>Econ!G138</f>
        <v>76163.11071</v>
      </c>
      <c r="T138" s="10">
        <f>Econ!I138</f>
        <v>147.7826193</v>
      </c>
    </row>
    <row r="139">
      <c r="A139" s="7" t="str">
        <f>Econ!A139&amp;if(Econ!B139&lt;10,"_0"&amp;Econ!B139,"_"&amp;Econ!B139)</f>
        <v>Archer_138</v>
      </c>
      <c r="B139" s="7" t="str">
        <f>"T"&amp;Econ!B139&amp;" "&amp;Econ!A139</f>
        <v>T138 Archer</v>
      </c>
      <c r="C139" s="8">
        <f>Econ!B139</f>
        <v>138</v>
      </c>
      <c r="D139" s="7"/>
      <c r="E139" s="9"/>
      <c r="F139" s="9"/>
      <c r="G139" s="10">
        <f>Econ!L139</f>
        <v>54048</v>
      </c>
      <c r="H139" s="11">
        <f>Econ!M139</f>
        <v>4941</v>
      </c>
      <c r="I139" s="11" t="str">
        <f>Econ!N139</f>
        <v/>
      </c>
      <c r="J139" s="12">
        <f>Econ!O139</f>
        <v>2562</v>
      </c>
      <c r="K139" s="13">
        <f>Econ!P139</f>
        <v>13512</v>
      </c>
      <c r="L139" s="14">
        <f>Econ!Q139</f>
        <v>1235.25</v>
      </c>
      <c r="M139" s="14">
        <f>Econ!R139</f>
        <v>0</v>
      </c>
      <c r="N139" s="13">
        <f>Econ!S139</f>
        <v>640.5</v>
      </c>
      <c r="O139" s="13">
        <f>Econ!T139</f>
        <v>15</v>
      </c>
      <c r="P139" s="7" t="str">
        <f>Econ!A139</f>
        <v>Archer</v>
      </c>
      <c r="Q139" s="10">
        <f>Econ!C139</f>
        <v>119956.8994</v>
      </c>
      <c r="R139" s="10">
        <f>Econ!E139</f>
        <v>75.36913582</v>
      </c>
      <c r="S139" s="10">
        <f>Econ!G139</f>
        <v>79971.26624</v>
      </c>
      <c r="T139" s="10">
        <f>Econ!I139</f>
        <v>150.7382716</v>
      </c>
    </row>
    <row r="140">
      <c r="A140" s="7" t="str">
        <f>Econ!A140&amp;if(Econ!B140&lt;10,"_0"&amp;Econ!B140,"_"&amp;Econ!B140)</f>
        <v>Archer_139</v>
      </c>
      <c r="B140" s="7" t="str">
        <f>"T"&amp;Econ!B140&amp;" "&amp;Econ!A140</f>
        <v>T139 Archer</v>
      </c>
      <c r="C140" s="8">
        <f>Econ!B140</f>
        <v>139</v>
      </c>
      <c r="D140" s="7"/>
      <c r="E140" s="9"/>
      <c r="F140" s="9"/>
      <c r="G140" s="10">
        <f>Econ!L140</f>
        <v>54793</v>
      </c>
      <c r="H140" s="11">
        <f>Econ!M140</f>
        <v>5002</v>
      </c>
      <c r="I140" s="11" t="str">
        <f>Econ!N140</f>
        <v/>
      </c>
      <c r="J140" s="12">
        <f>Econ!O140</f>
        <v>2593</v>
      </c>
      <c r="K140" s="13">
        <f>Econ!P140</f>
        <v>13698.25</v>
      </c>
      <c r="L140" s="14">
        <f>Econ!Q140</f>
        <v>1250.5</v>
      </c>
      <c r="M140" s="14">
        <f>Econ!R140</f>
        <v>0</v>
      </c>
      <c r="N140" s="13">
        <f>Econ!S140</f>
        <v>648.25</v>
      </c>
      <c r="O140" s="13">
        <f>Econ!T140</f>
        <v>15</v>
      </c>
      <c r="P140" s="7" t="str">
        <f>Econ!A140</f>
        <v>Archer</v>
      </c>
      <c r="Q140" s="10">
        <f>Econ!C140</f>
        <v>125954.7443</v>
      </c>
      <c r="R140" s="10">
        <f>Econ!E140</f>
        <v>76.87651854</v>
      </c>
      <c r="S140" s="10">
        <f>Econ!G140</f>
        <v>83969.82956</v>
      </c>
      <c r="T140" s="10">
        <f>Econ!I140</f>
        <v>153.7530371</v>
      </c>
    </row>
    <row r="141">
      <c r="A141" s="7" t="str">
        <f>Econ!A141&amp;if(Econ!B141&lt;10,"_0"&amp;Econ!B141,"_"&amp;Econ!B141)</f>
        <v>Archer_140</v>
      </c>
      <c r="B141" s="7" t="str">
        <f>"T"&amp;Econ!B141&amp;" "&amp;Econ!A141</f>
        <v>T140 Archer</v>
      </c>
      <c r="C141" s="8">
        <f>Econ!B141</f>
        <v>140</v>
      </c>
      <c r="D141" s="7"/>
      <c r="E141" s="9"/>
      <c r="F141" s="9"/>
      <c r="G141" s="10">
        <f>Econ!L141</f>
        <v>55542</v>
      </c>
      <c r="H141" s="11">
        <f>Econ!M141</f>
        <v>5063</v>
      </c>
      <c r="I141" s="11" t="str">
        <f>Econ!N141</f>
        <v/>
      </c>
      <c r="J141" s="12">
        <f>Econ!O141</f>
        <v>2624</v>
      </c>
      <c r="K141" s="13">
        <f>Econ!P141</f>
        <v>13885.5</v>
      </c>
      <c r="L141" s="14">
        <f>Econ!Q141</f>
        <v>1265.75</v>
      </c>
      <c r="M141" s="14">
        <f>Econ!R141</f>
        <v>0</v>
      </c>
      <c r="N141" s="13">
        <f>Econ!S141</f>
        <v>656</v>
      </c>
      <c r="O141" s="13">
        <f>Econ!T141</f>
        <v>15</v>
      </c>
      <c r="P141" s="7" t="str">
        <f>Econ!A141</f>
        <v>Archer</v>
      </c>
      <c r="Q141" s="10">
        <f>Econ!C141</f>
        <v>132252.4816</v>
      </c>
      <c r="R141" s="10">
        <f>Econ!E141</f>
        <v>78.41404891</v>
      </c>
      <c r="S141" s="10">
        <f>Econ!G141</f>
        <v>88168.32104</v>
      </c>
      <c r="T141" s="10">
        <f>Econ!I141</f>
        <v>156.8280978</v>
      </c>
    </row>
    <row r="142">
      <c r="A142" s="7" t="str">
        <f>Econ!A142&amp;if(Econ!B142&lt;10,"_0"&amp;Econ!B142,"_"&amp;Econ!B142)</f>
        <v>Archer_141</v>
      </c>
      <c r="B142" s="7" t="str">
        <f>"T"&amp;Econ!B142&amp;" "&amp;Econ!A142</f>
        <v>T141 Archer</v>
      </c>
      <c r="C142" s="8">
        <f>Econ!B142</f>
        <v>141</v>
      </c>
      <c r="D142" s="7"/>
      <c r="E142" s="9"/>
      <c r="F142" s="9"/>
      <c r="G142" s="10">
        <f>Econ!L142</f>
        <v>56294</v>
      </c>
      <c r="H142" s="11">
        <f>Econ!M142</f>
        <v>5124</v>
      </c>
      <c r="I142" s="11" t="str">
        <f>Econ!N142</f>
        <v/>
      </c>
      <c r="J142" s="12">
        <f>Econ!O142</f>
        <v>2655</v>
      </c>
      <c r="K142" s="13">
        <f>Econ!P142</f>
        <v>14073.5</v>
      </c>
      <c r="L142" s="14">
        <f>Econ!Q142</f>
        <v>1281</v>
      </c>
      <c r="M142" s="14">
        <f>Econ!R142</f>
        <v>0</v>
      </c>
      <c r="N142" s="13">
        <f>Econ!S142</f>
        <v>663.75</v>
      </c>
      <c r="O142" s="13">
        <f>Econ!T142</f>
        <v>15</v>
      </c>
      <c r="P142" s="7" t="str">
        <f>Econ!A142</f>
        <v>Archer</v>
      </c>
      <c r="Q142" s="10">
        <f>Econ!C142</f>
        <v>138865.1056</v>
      </c>
      <c r="R142" s="10">
        <f>Econ!E142</f>
        <v>79.98232989</v>
      </c>
      <c r="S142" s="10">
        <f>Econ!G142</f>
        <v>92576.73709</v>
      </c>
      <c r="T142" s="10">
        <f>Econ!I142</f>
        <v>159.9646598</v>
      </c>
    </row>
    <row r="143">
      <c r="A143" s="7" t="str">
        <f>Econ!A143&amp;if(Econ!B143&lt;10,"_0"&amp;Econ!B143,"_"&amp;Econ!B143)</f>
        <v>Archer_142</v>
      </c>
      <c r="B143" s="7" t="str">
        <f>"T"&amp;Econ!B143&amp;" "&amp;Econ!A143</f>
        <v>T142 Archer</v>
      </c>
      <c r="C143" s="8">
        <f>Econ!B143</f>
        <v>142</v>
      </c>
      <c r="D143" s="7"/>
      <c r="E143" s="9"/>
      <c r="F143" s="9"/>
      <c r="G143" s="10">
        <f>Econ!L143</f>
        <v>57050</v>
      </c>
      <c r="H143" s="11">
        <f>Econ!M143</f>
        <v>5185</v>
      </c>
      <c r="I143" s="11" t="str">
        <f>Econ!N143</f>
        <v/>
      </c>
      <c r="J143" s="12">
        <f>Econ!O143</f>
        <v>2686</v>
      </c>
      <c r="K143" s="13">
        <f>Econ!P143</f>
        <v>14262.5</v>
      </c>
      <c r="L143" s="14">
        <f>Econ!Q143</f>
        <v>1296.25</v>
      </c>
      <c r="M143" s="14">
        <f>Econ!R143</f>
        <v>0</v>
      </c>
      <c r="N143" s="13">
        <f>Econ!S143</f>
        <v>671.5</v>
      </c>
      <c r="O143" s="13">
        <f>Econ!T143</f>
        <v>15</v>
      </c>
      <c r="P143" s="7" t="str">
        <f>Econ!A143</f>
        <v>Archer</v>
      </c>
      <c r="Q143" s="10">
        <f>Econ!C143</f>
        <v>145808.3609</v>
      </c>
      <c r="R143" s="10">
        <f>Econ!E143</f>
        <v>81.58197649</v>
      </c>
      <c r="S143" s="10">
        <f>Econ!G143</f>
        <v>97205.57394</v>
      </c>
      <c r="T143" s="10">
        <f>Econ!I143</f>
        <v>163.163953</v>
      </c>
    </row>
    <row r="144">
      <c r="A144" s="7" t="str">
        <f>Econ!A144&amp;if(Econ!B144&lt;10,"_0"&amp;Econ!B144,"_"&amp;Econ!B144)</f>
        <v>Archer_143</v>
      </c>
      <c r="B144" s="7" t="str">
        <f>"T"&amp;Econ!B144&amp;" "&amp;Econ!A144</f>
        <v>T143 Archer</v>
      </c>
      <c r="C144" s="8">
        <f>Econ!B144</f>
        <v>143</v>
      </c>
      <c r="D144" s="7"/>
      <c r="E144" s="9"/>
      <c r="F144" s="9"/>
      <c r="G144" s="10">
        <f>Econ!L144</f>
        <v>57810</v>
      </c>
      <c r="H144" s="11">
        <f>Econ!M144</f>
        <v>5247</v>
      </c>
      <c r="I144" s="11" t="str">
        <f>Econ!N144</f>
        <v/>
      </c>
      <c r="J144" s="12">
        <f>Econ!O144</f>
        <v>2717</v>
      </c>
      <c r="K144" s="13">
        <f>Econ!P144</f>
        <v>14452.5</v>
      </c>
      <c r="L144" s="14">
        <f>Econ!Q144</f>
        <v>1311.75</v>
      </c>
      <c r="M144" s="14">
        <f>Econ!R144</f>
        <v>0</v>
      </c>
      <c r="N144" s="13">
        <f>Econ!S144</f>
        <v>679.25</v>
      </c>
      <c r="O144" s="13">
        <f>Econ!T144</f>
        <v>15</v>
      </c>
      <c r="P144" s="7" t="str">
        <f>Econ!A144</f>
        <v>Archer</v>
      </c>
      <c r="Q144" s="10">
        <f>Econ!C144</f>
        <v>153098.779</v>
      </c>
      <c r="R144" s="10">
        <f>Econ!E144</f>
        <v>83.21361602</v>
      </c>
      <c r="S144" s="10">
        <f>Econ!G144</f>
        <v>102065.8526</v>
      </c>
      <c r="T144" s="10">
        <f>Econ!I144</f>
        <v>166.427232</v>
      </c>
    </row>
    <row r="145">
      <c r="A145" s="7" t="str">
        <f>Econ!A145&amp;if(Econ!B145&lt;10,"_0"&amp;Econ!B145,"_"&amp;Econ!B145)</f>
        <v>Archer_144</v>
      </c>
      <c r="B145" s="7" t="str">
        <f>"T"&amp;Econ!B145&amp;" "&amp;Econ!A145</f>
        <v>T144 Archer</v>
      </c>
      <c r="C145" s="8">
        <f>Econ!B145</f>
        <v>144</v>
      </c>
      <c r="D145" s="7"/>
      <c r="E145" s="9"/>
      <c r="F145" s="9"/>
      <c r="G145" s="10">
        <f>Econ!L145</f>
        <v>58574</v>
      </c>
      <c r="H145" s="11">
        <f>Econ!M145</f>
        <v>5309</v>
      </c>
      <c r="I145" s="11" t="str">
        <f>Econ!N145</f>
        <v/>
      </c>
      <c r="J145" s="12">
        <f>Econ!O145</f>
        <v>2749</v>
      </c>
      <c r="K145" s="13">
        <f>Econ!P145</f>
        <v>14643.5</v>
      </c>
      <c r="L145" s="14">
        <f>Econ!Q145</f>
        <v>1327.25</v>
      </c>
      <c r="M145" s="14">
        <f>Econ!R145</f>
        <v>0</v>
      </c>
      <c r="N145" s="13">
        <f>Econ!S145</f>
        <v>687.25</v>
      </c>
      <c r="O145" s="13">
        <f>Econ!T145</f>
        <v>15</v>
      </c>
      <c r="P145" s="7" t="str">
        <f>Econ!A145</f>
        <v>Archer</v>
      </c>
      <c r="Q145" s="10">
        <f>Econ!C145</f>
        <v>160753.7179</v>
      </c>
      <c r="R145" s="10">
        <f>Econ!E145</f>
        <v>84.87788834</v>
      </c>
      <c r="S145" s="10">
        <f>Econ!G145</f>
        <v>107169.1453</v>
      </c>
      <c r="T145" s="10">
        <f>Econ!I145</f>
        <v>169.7557767</v>
      </c>
    </row>
    <row r="146">
      <c r="A146" s="7" t="str">
        <f>Econ!A146&amp;if(Econ!B146&lt;10,"_0"&amp;Econ!B146,"_"&amp;Econ!B146)</f>
        <v>Archer_145</v>
      </c>
      <c r="B146" s="7" t="str">
        <f>"T"&amp;Econ!B146&amp;" "&amp;Econ!A146</f>
        <v>T145 Archer</v>
      </c>
      <c r="C146" s="8">
        <f>Econ!B146</f>
        <v>145</v>
      </c>
      <c r="D146" s="7"/>
      <c r="E146" s="9"/>
      <c r="F146" s="9"/>
      <c r="G146" s="10">
        <f>Econ!L146</f>
        <v>59341</v>
      </c>
      <c r="H146" s="11">
        <f>Econ!M146</f>
        <v>5371</v>
      </c>
      <c r="I146" s="11" t="str">
        <f>Econ!N146</f>
        <v/>
      </c>
      <c r="J146" s="12">
        <f>Econ!O146</f>
        <v>2781</v>
      </c>
      <c r="K146" s="13">
        <f>Econ!P146</f>
        <v>14835.25</v>
      </c>
      <c r="L146" s="14">
        <f>Econ!Q146</f>
        <v>1342.75</v>
      </c>
      <c r="M146" s="14">
        <f>Econ!R146</f>
        <v>0</v>
      </c>
      <c r="N146" s="13">
        <f>Econ!S146</f>
        <v>695.25</v>
      </c>
      <c r="O146" s="13">
        <f>Econ!T146</f>
        <v>16</v>
      </c>
      <c r="P146" s="7" t="str">
        <f>Econ!A146</f>
        <v>Archer</v>
      </c>
      <c r="Q146" s="10">
        <f>Econ!C146</f>
        <v>168791.4038</v>
      </c>
      <c r="R146" s="10">
        <f>Econ!E146</f>
        <v>86.5754461</v>
      </c>
      <c r="S146" s="10">
        <f>Econ!G146</f>
        <v>112527.6025</v>
      </c>
      <c r="T146" s="10">
        <f>Econ!I146</f>
        <v>173.1508922</v>
      </c>
    </row>
    <row r="147">
      <c r="A147" s="7" t="str">
        <f>Econ!A147&amp;if(Econ!B147&lt;10,"_0"&amp;Econ!B147,"_"&amp;Econ!B147)</f>
        <v>Archer_146</v>
      </c>
      <c r="B147" s="7" t="str">
        <f>"T"&amp;Econ!B147&amp;" "&amp;Econ!A147</f>
        <v>T146 Archer</v>
      </c>
      <c r="C147" s="8">
        <f>Econ!B147</f>
        <v>146</v>
      </c>
      <c r="D147" s="7"/>
      <c r="E147" s="9"/>
      <c r="F147" s="9"/>
      <c r="G147" s="10">
        <f>Econ!L147</f>
        <v>60112</v>
      </c>
      <c r="H147" s="11">
        <f>Econ!M147</f>
        <v>5434</v>
      </c>
      <c r="I147" s="11" t="str">
        <f>Econ!N147</f>
        <v/>
      </c>
      <c r="J147" s="12">
        <f>Econ!O147</f>
        <v>2813</v>
      </c>
      <c r="K147" s="13">
        <f>Econ!P147</f>
        <v>15028</v>
      </c>
      <c r="L147" s="14">
        <f>Econ!Q147</f>
        <v>1358.5</v>
      </c>
      <c r="M147" s="14">
        <f>Econ!R147</f>
        <v>0</v>
      </c>
      <c r="N147" s="13">
        <f>Econ!S147</f>
        <v>703.25</v>
      </c>
      <c r="O147" s="13">
        <f>Econ!T147</f>
        <v>16</v>
      </c>
      <c r="P147" s="7" t="str">
        <f>Econ!A147</f>
        <v>Archer</v>
      </c>
      <c r="Q147" s="10">
        <f>Econ!C147</f>
        <v>177230.974</v>
      </c>
      <c r="R147" s="10">
        <f>Econ!E147</f>
        <v>88.30695503</v>
      </c>
      <c r="S147" s="10">
        <f>Econ!G147</f>
        <v>118153.9827</v>
      </c>
      <c r="T147" s="10">
        <f>Econ!I147</f>
        <v>176.6139101</v>
      </c>
    </row>
    <row r="148">
      <c r="A148" s="7" t="str">
        <f>Econ!A148&amp;if(Econ!B148&lt;10,"_0"&amp;Econ!B148,"_"&amp;Econ!B148)</f>
        <v>Archer_147</v>
      </c>
      <c r="B148" s="7" t="str">
        <f>"T"&amp;Econ!B148&amp;" "&amp;Econ!A148</f>
        <v>T147 Archer</v>
      </c>
      <c r="C148" s="8">
        <f>Econ!B148</f>
        <v>147</v>
      </c>
      <c r="D148" s="7"/>
      <c r="E148" s="9"/>
      <c r="F148" s="9"/>
      <c r="G148" s="10">
        <f>Econ!L148</f>
        <v>60887</v>
      </c>
      <c r="H148" s="11">
        <f>Econ!M148</f>
        <v>5497</v>
      </c>
      <c r="I148" s="11" t="str">
        <f>Econ!N148</f>
        <v/>
      </c>
      <c r="J148" s="12">
        <f>Econ!O148</f>
        <v>2845</v>
      </c>
      <c r="K148" s="13">
        <f>Econ!P148</f>
        <v>15221.75</v>
      </c>
      <c r="L148" s="14">
        <f>Econ!Q148</f>
        <v>1374.25</v>
      </c>
      <c r="M148" s="14">
        <f>Econ!R148</f>
        <v>0</v>
      </c>
      <c r="N148" s="13">
        <f>Econ!S148</f>
        <v>711.25</v>
      </c>
      <c r="O148" s="13">
        <f>Econ!T148</f>
        <v>16</v>
      </c>
      <c r="P148" s="7" t="str">
        <f>Econ!A148</f>
        <v>Archer</v>
      </c>
      <c r="Q148" s="10">
        <f>Econ!C148</f>
        <v>186092.5227</v>
      </c>
      <c r="R148" s="10">
        <f>Econ!E148</f>
        <v>90.07309413</v>
      </c>
      <c r="S148" s="10">
        <f>Econ!G148</f>
        <v>124061.6818</v>
      </c>
      <c r="T148" s="10">
        <f>Econ!I148</f>
        <v>180.1461883</v>
      </c>
    </row>
    <row r="149">
      <c r="A149" s="7" t="str">
        <f>Econ!A149&amp;if(Econ!B149&lt;10,"_0"&amp;Econ!B149,"_"&amp;Econ!B149)</f>
        <v>Archer_148</v>
      </c>
      <c r="B149" s="7" t="str">
        <f>"T"&amp;Econ!B149&amp;" "&amp;Econ!A149</f>
        <v>T148 Archer</v>
      </c>
      <c r="C149" s="8">
        <f>Econ!B149</f>
        <v>148</v>
      </c>
      <c r="D149" s="7"/>
      <c r="E149" s="9"/>
      <c r="F149" s="9"/>
      <c r="G149" s="10">
        <f>Econ!L149</f>
        <v>61665</v>
      </c>
      <c r="H149" s="11">
        <f>Econ!M149</f>
        <v>5560</v>
      </c>
      <c r="I149" s="11" t="str">
        <f>Econ!N149</f>
        <v/>
      </c>
      <c r="J149" s="12">
        <f>Econ!O149</f>
        <v>2877</v>
      </c>
      <c r="K149" s="13">
        <f>Econ!P149</f>
        <v>15416.25</v>
      </c>
      <c r="L149" s="14">
        <f>Econ!Q149</f>
        <v>1390</v>
      </c>
      <c r="M149" s="14">
        <f>Econ!R149</f>
        <v>0</v>
      </c>
      <c r="N149" s="13">
        <f>Econ!S149</f>
        <v>719.25</v>
      </c>
      <c r="O149" s="13">
        <f>Econ!T149</f>
        <v>16</v>
      </c>
      <c r="P149" s="7" t="str">
        <f>Econ!A149</f>
        <v>Archer</v>
      </c>
      <c r="Q149" s="10">
        <f>Econ!C149</f>
        <v>195397.1488</v>
      </c>
      <c r="R149" s="10">
        <f>Econ!E149</f>
        <v>91.87455601</v>
      </c>
      <c r="S149" s="10">
        <f>Econ!G149</f>
        <v>130264.7659</v>
      </c>
      <c r="T149" s="10">
        <f>Econ!I149</f>
        <v>183.749112</v>
      </c>
    </row>
    <row r="150">
      <c r="A150" s="7" t="str">
        <f>Econ!A150&amp;if(Econ!B150&lt;10,"_0"&amp;Econ!B150,"_"&amp;Econ!B150)</f>
        <v>Archer_149</v>
      </c>
      <c r="B150" s="7" t="str">
        <f>"T"&amp;Econ!B150&amp;" "&amp;Econ!A150</f>
        <v>T149 Archer</v>
      </c>
      <c r="C150" s="8">
        <f>Econ!B150</f>
        <v>149</v>
      </c>
      <c r="D150" s="7"/>
      <c r="E150" s="9"/>
      <c r="F150" s="9"/>
      <c r="G150" s="10">
        <f>Econ!L150</f>
        <v>62447</v>
      </c>
      <c r="H150" s="11">
        <f>Econ!M150</f>
        <v>5623</v>
      </c>
      <c r="I150" s="11" t="str">
        <f>Econ!N150</f>
        <v/>
      </c>
      <c r="J150" s="12">
        <f>Econ!O150</f>
        <v>2909</v>
      </c>
      <c r="K150" s="13">
        <f>Econ!P150</f>
        <v>15611.75</v>
      </c>
      <c r="L150" s="14">
        <f>Econ!Q150</f>
        <v>1405.75</v>
      </c>
      <c r="M150" s="14">
        <f>Econ!R150</f>
        <v>0</v>
      </c>
      <c r="N150" s="13">
        <f>Econ!S150</f>
        <v>727.25</v>
      </c>
      <c r="O150" s="13">
        <f>Econ!T150</f>
        <v>16</v>
      </c>
      <c r="P150" s="7" t="str">
        <f>Econ!A150</f>
        <v>Archer</v>
      </c>
      <c r="Q150" s="10">
        <f>Econ!C150</f>
        <v>205167.0063</v>
      </c>
      <c r="R150" s="10">
        <f>Econ!E150</f>
        <v>93.71204713</v>
      </c>
      <c r="S150" s="10">
        <f>Econ!G150</f>
        <v>136778.0042</v>
      </c>
      <c r="T150" s="10">
        <f>Econ!I150</f>
        <v>187.4240943</v>
      </c>
    </row>
    <row r="151">
      <c r="A151" s="7" t="str">
        <f>Econ!A151&amp;if(Econ!B151&lt;10,"_0"&amp;Econ!B151,"_"&amp;Econ!B151)</f>
        <v>Archer_150</v>
      </c>
      <c r="B151" s="7" t="str">
        <f>"T"&amp;Econ!B151&amp;" "&amp;Econ!A151</f>
        <v>T150 Archer</v>
      </c>
      <c r="C151" s="8">
        <f>Econ!B151</f>
        <v>150</v>
      </c>
      <c r="D151" s="7"/>
      <c r="E151" s="9"/>
      <c r="F151" s="9"/>
      <c r="G151" s="10">
        <f>Econ!L151</f>
        <v>63233</v>
      </c>
      <c r="H151" s="11">
        <f>Econ!M151</f>
        <v>5687</v>
      </c>
      <c r="I151" s="11" t="str">
        <f>Econ!N151</f>
        <v/>
      </c>
      <c r="J151" s="12">
        <f>Econ!O151</f>
        <v>2941</v>
      </c>
      <c r="K151" s="13">
        <f>Econ!P151</f>
        <v>15808.25</v>
      </c>
      <c r="L151" s="14">
        <f>Econ!Q151</f>
        <v>1421.75</v>
      </c>
      <c r="M151" s="14">
        <f>Econ!R151</f>
        <v>0</v>
      </c>
      <c r="N151" s="13">
        <f>Econ!S151</f>
        <v>735.25</v>
      </c>
      <c r="O151" s="13">
        <f>Econ!T151</f>
        <v>16</v>
      </c>
      <c r="P151" s="7" t="str">
        <f>Econ!A151</f>
        <v>Archer</v>
      </c>
      <c r="Q151" s="10">
        <f>Econ!C151</f>
        <v>215425.3566</v>
      </c>
      <c r="R151" s="10">
        <f>Econ!E151</f>
        <v>95.58628807</v>
      </c>
      <c r="S151" s="10">
        <f>Econ!G151</f>
        <v>143616.9044</v>
      </c>
      <c r="T151" s="10">
        <f>Econ!I151</f>
        <v>191.1725761</v>
      </c>
    </row>
    <row r="152">
      <c r="A152" s="7" t="str">
        <f>Econ!A152&amp;if(Econ!B152&lt;10,"_0"&amp;Econ!B152,"_"&amp;Econ!B152)</f>
        <v>Archer_151</v>
      </c>
      <c r="B152" s="7" t="str">
        <f>"T"&amp;Econ!B152&amp;" "&amp;Econ!A152</f>
        <v>T151 Archer</v>
      </c>
      <c r="C152" s="8">
        <f>Econ!B152</f>
        <v>151</v>
      </c>
      <c r="D152" s="7"/>
      <c r="E152" s="9"/>
      <c r="F152" s="9"/>
      <c r="G152" s="10">
        <f>Econ!L152</f>
        <v>64023</v>
      </c>
      <c r="H152" s="11">
        <f>Econ!M152</f>
        <v>5751</v>
      </c>
      <c r="I152" s="11" t="str">
        <f>Econ!N152</f>
        <v/>
      </c>
      <c r="J152" s="12">
        <f>Econ!O152</f>
        <v>2974</v>
      </c>
      <c r="K152" s="13">
        <f>Econ!P152</f>
        <v>16005.75</v>
      </c>
      <c r="L152" s="14">
        <f>Econ!Q152</f>
        <v>1437.75</v>
      </c>
      <c r="M152" s="14">
        <f>Econ!R152</f>
        <v>0</v>
      </c>
      <c r="N152" s="13">
        <f>Econ!S152</f>
        <v>743.5</v>
      </c>
      <c r="O152" s="13">
        <f>Econ!T152</f>
        <v>16</v>
      </c>
      <c r="P152" s="7" t="str">
        <f>Econ!A152</f>
        <v>Archer</v>
      </c>
      <c r="Q152" s="10">
        <f>Econ!C152</f>
        <v>226196.6244</v>
      </c>
      <c r="R152" s="10">
        <f>Econ!E152</f>
        <v>97.49801383</v>
      </c>
      <c r="S152" s="10">
        <f>Econ!G152</f>
        <v>150797.7496</v>
      </c>
      <c r="T152" s="10">
        <f>Econ!I152</f>
        <v>194.9960277</v>
      </c>
    </row>
    <row r="153">
      <c r="A153" s="7" t="str">
        <f>Econ!A153&amp;if(Econ!B153&lt;10,"_0"&amp;Econ!B153,"_"&amp;Econ!B153)</f>
        <v>Archer_152</v>
      </c>
      <c r="B153" s="7" t="str">
        <f>"T"&amp;Econ!B153&amp;" "&amp;Econ!A153</f>
        <v>T152 Archer</v>
      </c>
      <c r="C153" s="8">
        <f>Econ!B153</f>
        <v>152</v>
      </c>
      <c r="D153" s="7"/>
      <c r="E153" s="9"/>
      <c r="F153" s="9"/>
      <c r="G153" s="10">
        <f>Econ!L153</f>
        <v>64816</v>
      </c>
      <c r="H153" s="11">
        <f>Econ!M153</f>
        <v>5815</v>
      </c>
      <c r="I153" s="11" t="str">
        <f>Econ!N153</f>
        <v/>
      </c>
      <c r="J153" s="12">
        <f>Econ!O153</f>
        <v>3007</v>
      </c>
      <c r="K153" s="13">
        <f>Econ!P153</f>
        <v>16204</v>
      </c>
      <c r="L153" s="14">
        <f>Econ!Q153</f>
        <v>1453.75</v>
      </c>
      <c r="M153" s="14">
        <f>Econ!R153</f>
        <v>0</v>
      </c>
      <c r="N153" s="13">
        <f>Econ!S153</f>
        <v>751.75</v>
      </c>
      <c r="O153" s="13">
        <f>Econ!T153</f>
        <v>16</v>
      </c>
      <c r="P153" s="7" t="str">
        <f>Econ!A153</f>
        <v>Archer</v>
      </c>
      <c r="Q153" s="10">
        <f>Econ!C153</f>
        <v>237506.4556</v>
      </c>
      <c r="R153" s="10">
        <f>Econ!E153</f>
        <v>99.44797411</v>
      </c>
      <c r="S153" s="10">
        <f>Econ!G153</f>
        <v>158337.6371</v>
      </c>
      <c r="T153" s="10">
        <f>Econ!I153</f>
        <v>198.8959482</v>
      </c>
    </row>
    <row r="154">
      <c r="A154" s="7" t="str">
        <f>Econ!A154&amp;if(Econ!B154&lt;10,"_0"&amp;Econ!B154,"_"&amp;Econ!B154)</f>
        <v>Archer_153</v>
      </c>
      <c r="B154" s="7" t="str">
        <f>"T"&amp;Econ!B154&amp;" "&amp;Econ!A154</f>
        <v>T153 Archer</v>
      </c>
      <c r="C154" s="8">
        <f>Econ!B154</f>
        <v>153</v>
      </c>
      <c r="D154" s="7"/>
      <c r="E154" s="9"/>
      <c r="F154" s="9"/>
      <c r="G154" s="10">
        <f>Econ!L154</f>
        <v>65613</v>
      </c>
      <c r="H154" s="11">
        <f>Econ!M154</f>
        <v>5880</v>
      </c>
      <c r="I154" s="11" t="str">
        <f>Econ!N154</f>
        <v/>
      </c>
      <c r="J154" s="12">
        <f>Econ!O154</f>
        <v>3040</v>
      </c>
      <c r="K154" s="13">
        <f>Econ!P154</f>
        <v>16403.25</v>
      </c>
      <c r="L154" s="14">
        <f>Econ!Q154</f>
        <v>1470</v>
      </c>
      <c r="M154" s="14">
        <f>Econ!R154</f>
        <v>0</v>
      </c>
      <c r="N154" s="13">
        <f>Econ!S154</f>
        <v>760</v>
      </c>
      <c r="O154" s="13">
        <f>Econ!T154</f>
        <v>16</v>
      </c>
      <c r="P154" s="7" t="str">
        <f>Econ!A154</f>
        <v>Archer</v>
      </c>
      <c r="Q154" s="10">
        <f>Econ!C154</f>
        <v>249381.7784</v>
      </c>
      <c r="R154" s="10">
        <f>Econ!E154</f>
        <v>101.4369336</v>
      </c>
      <c r="S154" s="10">
        <f>Econ!G154</f>
        <v>166254.5189</v>
      </c>
      <c r="T154" s="10">
        <f>Econ!I154</f>
        <v>202.8738672</v>
      </c>
    </row>
    <row r="155">
      <c r="A155" s="7" t="str">
        <f>Econ!A155&amp;if(Econ!B155&lt;10,"_0"&amp;Econ!B155,"_"&amp;Econ!B155)</f>
        <v>Archer_154</v>
      </c>
      <c r="B155" s="7" t="str">
        <f>"T"&amp;Econ!B155&amp;" "&amp;Econ!A155</f>
        <v>T154 Archer</v>
      </c>
      <c r="C155" s="8">
        <f>Econ!B155</f>
        <v>154</v>
      </c>
      <c r="D155" s="7"/>
      <c r="E155" s="9"/>
      <c r="F155" s="9"/>
      <c r="G155" s="10">
        <f>Econ!L155</f>
        <v>66414</v>
      </c>
      <c r="H155" s="11">
        <f>Econ!M155</f>
        <v>5945</v>
      </c>
      <c r="I155" s="11" t="str">
        <f>Econ!N155</f>
        <v/>
      </c>
      <c r="J155" s="12">
        <f>Econ!O155</f>
        <v>3073</v>
      </c>
      <c r="K155" s="13">
        <f>Econ!P155</f>
        <v>16603.5</v>
      </c>
      <c r="L155" s="14">
        <f>Econ!Q155</f>
        <v>1486.25</v>
      </c>
      <c r="M155" s="14">
        <f>Econ!R155</f>
        <v>0</v>
      </c>
      <c r="N155" s="13">
        <f>Econ!S155</f>
        <v>768.25</v>
      </c>
      <c r="O155" s="13">
        <f>Econ!T155</f>
        <v>16</v>
      </c>
      <c r="P155" s="7" t="str">
        <f>Econ!A155</f>
        <v>Archer</v>
      </c>
      <c r="Q155" s="10">
        <f>Econ!C155</f>
        <v>261850.8673</v>
      </c>
      <c r="R155" s="10">
        <f>Econ!E155</f>
        <v>103.4656723</v>
      </c>
      <c r="S155" s="10">
        <f>Econ!G155</f>
        <v>174567.2449</v>
      </c>
      <c r="T155" s="10">
        <f>Econ!I155</f>
        <v>206.9313445</v>
      </c>
    </row>
    <row r="156">
      <c r="A156" s="7" t="str">
        <f>Econ!A156&amp;if(Econ!B156&lt;10,"_0"&amp;Econ!B156,"_"&amp;Econ!B156)</f>
        <v>Archer_155</v>
      </c>
      <c r="B156" s="7" t="str">
        <f>"T"&amp;Econ!B156&amp;" "&amp;Econ!A156</f>
        <v>T155 Archer</v>
      </c>
      <c r="C156" s="8">
        <f>Econ!B156</f>
        <v>155</v>
      </c>
      <c r="D156" s="7"/>
      <c r="E156" s="9"/>
      <c r="F156" s="9"/>
      <c r="G156" s="10">
        <f>Econ!L156</f>
        <v>67218</v>
      </c>
      <c r="H156" s="11">
        <f>Econ!M156</f>
        <v>6010</v>
      </c>
      <c r="I156" s="11" t="str">
        <f>Econ!N156</f>
        <v/>
      </c>
      <c r="J156" s="12">
        <f>Econ!O156</f>
        <v>3106</v>
      </c>
      <c r="K156" s="13">
        <f>Econ!P156</f>
        <v>16804.5</v>
      </c>
      <c r="L156" s="14">
        <f>Econ!Q156</f>
        <v>1502.5</v>
      </c>
      <c r="M156" s="14">
        <f>Econ!R156</f>
        <v>0</v>
      </c>
      <c r="N156" s="13">
        <f>Econ!S156</f>
        <v>776.5</v>
      </c>
      <c r="O156" s="13">
        <f>Econ!T156</f>
        <v>17</v>
      </c>
      <c r="P156" s="7" t="str">
        <f>Econ!A156</f>
        <v>Archer</v>
      </c>
      <c r="Q156" s="10">
        <f>Econ!C156</f>
        <v>274943.4107</v>
      </c>
      <c r="R156" s="10">
        <f>Econ!E156</f>
        <v>105.5349857</v>
      </c>
      <c r="S156" s="10">
        <f>Econ!G156</f>
        <v>183295.6071</v>
      </c>
      <c r="T156" s="10">
        <f>Econ!I156</f>
        <v>211.0699714</v>
      </c>
    </row>
    <row r="157">
      <c r="A157" s="7" t="str">
        <f>Econ!A157&amp;if(Econ!B157&lt;10,"_0"&amp;Econ!B157,"_"&amp;Econ!B157)</f>
        <v>Archer_156</v>
      </c>
      <c r="B157" s="7" t="str">
        <f>"T"&amp;Econ!B157&amp;" "&amp;Econ!A157</f>
        <v>T156 Archer</v>
      </c>
      <c r="C157" s="8">
        <f>Econ!B157</f>
        <v>156</v>
      </c>
      <c r="D157" s="7"/>
      <c r="E157" s="9"/>
      <c r="F157" s="9"/>
      <c r="G157" s="10">
        <f>Econ!L157</f>
        <v>68026</v>
      </c>
      <c r="H157" s="11">
        <f>Econ!M157</f>
        <v>6076</v>
      </c>
      <c r="I157" s="11" t="str">
        <f>Econ!N157</f>
        <v/>
      </c>
      <c r="J157" s="12">
        <f>Econ!O157</f>
        <v>3139</v>
      </c>
      <c r="K157" s="13">
        <f>Econ!P157</f>
        <v>17006.5</v>
      </c>
      <c r="L157" s="14">
        <f>Econ!Q157</f>
        <v>1519</v>
      </c>
      <c r="M157" s="14">
        <f>Econ!R157</f>
        <v>0</v>
      </c>
      <c r="N157" s="13">
        <f>Econ!S157</f>
        <v>784.75</v>
      </c>
      <c r="O157" s="13">
        <f>Econ!T157</f>
        <v>17</v>
      </c>
      <c r="P157" s="7" t="str">
        <f>Econ!A157</f>
        <v>Archer</v>
      </c>
      <c r="Q157" s="10">
        <f>Econ!C157</f>
        <v>288690.5812</v>
      </c>
      <c r="R157" s="10">
        <f>Econ!E157</f>
        <v>107.6456854</v>
      </c>
      <c r="S157" s="10">
        <f>Econ!G157</f>
        <v>192460.3875</v>
      </c>
      <c r="T157" s="10">
        <f>Econ!I157</f>
        <v>215.2913708</v>
      </c>
    </row>
    <row r="158">
      <c r="A158" s="7" t="str">
        <f>Econ!A158&amp;if(Econ!B158&lt;10,"_0"&amp;Econ!B158,"_"&amp;Econ!B158)</f>
        <v>Archer_157</v>
      </c>
      <c r="B158" s="7" t="str">
        <f>"T"&amp;Econ!B158&amp;" "&amp;Econ!A158</f>
        <v>T157 Archer</v>
      </c>
      <c r="C158" s="8">
        <f>Econ!B158</f>
        <v>157</v>
      </c>
      <c r="D158" s="7"/>
      <c r="E158" s="9"/>
      <c r="F158" s="9"/>
      <c r="G158" s="10">
        <f>Econ!L158</f>
        <v>68837</v>
      </c>
      <c r="H158" s="11">
        <f>Econ!M158</f>
        <v>6142</v>
      </c>
      <c r="I158" s="11" t="str">
        <f>Econ!N158</f>
        <v/>
      </c>
      <c r="J158" s="12">
        <f>Econ!O158</f>
        <v>3172</v>
      </c>
      <c r="K158" s="13">
        <f>Econ!P158</f>
        <v>17209.25</v>
      </c>
      <c r="L158" s="14">
        <f>Econ!Q158</f>
        <v>1535.5</v>
      </c>
      <c r="M158" s="14">
        <f>Econ!R158</f>
        <v>0</v>
      </c>
      <c r="N158" s="13">
        <f>Econ!S158</f>
        <v>793</v>
      </c>
      <c r="O158" s="13">
        <f>Econ!T158</f>
        <v>17</v>
      </c>
      <c r="P158" s="7" t="str">
        <f>Econ!A158</f>
        <v>Archer</v>
      </c>
      <c r="Q158" s="10">
        <f>Econ!C158</f>
        <v>303125.1103</v>
      </c>
      <c r="R158" s="10">
        <f>Econ!E158</f>
        <v>109.7985991</v>
      </c>
      <c r="S158" s="10">
        <f>Econ!G158</f>
        <v>202083.4069</v>
      </c>
      <c r="T158" s="10">
        <f>Econ!I158</f>
        <v>219.5971983</v>
      </c>
    </row>
    <row r="159">
      <c r="A159" s="7" t="str">
        <f>Econ!A159&amp;if(Econ!B159&lt;10,"_0"&amp;Econ!B159,"_"&amp;Econ!B159)</f>
        <v>Archer_158</v>
      </c>
      <c r="B159" s="7" t="str">
        <f>"T"&amp;Econ!B159&amp;" "&amp;Econ!A159</f>
        <v>T158 Archer</v>
      </c>
      <c r="C159" s="8">
        <f>Econ!B159</f>
        <v>158</v>
      </c>
      <c r="D159" s="7"/>
      <c r="E159" s="9"/>
      <c r="F159" s="9"/>
      <c r="G159" s="10">
        <f>Econ!L159</f>
        <v>69652</v>
      </c>
      <c r="H159" s="11">
        <f>Econ!M159</f>
        <v>6208</v>
      </c>
      <c r="I159" s="11" t="str">
        <f>Econ!N159</f>
        <v/>
      </c>
      <c r="J159" s="12">
        <f>Econ!O159</f>
        <v>3206</v>
      </c>
      <c r="K159" s="13">
        <f>Econ!P159</f>
        <v>17413</v>
      </c>
      <c r="L159" s="14">
        <f>Econ!Q159</f>
        <v>1552</v>
      </c>
      <c r="M159" s="14">
        <f>Econ!R159</f>
        <v>0</v>
      </c>
      <c r="N159" s="13">
        <f>Econ!S159</f>
        <v>801.5</v>
      </c>
      <c r="O159" s="13">
        <f>Econ!T159</f>
        <v>17</v>
      </c>
      <c r="P159" s="7" t="str">
        <f>Econ!A159</f>
        <v>Archer</v>
      </c>
      <c r="Q159" s="10">
        <f>Econ!C159</f>
        <v>318281.3658</v>
      </c>
      <c r="R159" s="10">
        <f>Econ!E159</f>
        <v>111.9945711</v>
      </c>
      <c r="S159" s="10">
        <f>Econ!G159</f>
        <v>212187.5772</v>
      </c>
      <c r="T159" s="10">
        <f>Econ!I159</f>
        <v>223.9891422</v>
      </c>
    </row>
    <row r="160">
      <c r="A160" s="7" t="str">
        <f>Econ!A160&amp;if(Econ!B160&lt;10,"_0"&amp;Econ!B160,"_"&amp;Econ!B160)</f>
        <v>Archer_159</v>
      </c>
      <c r="B160" s="7" t="str">
        <f>"T"&amp;Econ!B160&amp;" "&amp;Econ!A160</f>
        <v>T159 Archer</v>
      </c>
      <c r="C160" s="8">
        <f>Econ!B160</f>
        <v>159</v>
      </c>
      <c r="D160" s="7"/>
      <c r="E160" s="9"/>
      <c r="F160" s="9"/>
      <c r="G160" s="10">
        <f>Econ!L160</f>
        <v>70471</v>
      </c>
      <c r="H160" s="11">
        <f>Econ!M160</f>
        <v>6274</v>
      </c>
      <c r="I160" s="11" t="str">
        <f>Econ!N160</f>
        <v/>
      </c>
      <c r="J160" s="12">
        <f>Econ!O160</f>
        <v>3240</v>
      </c>
      <c r="K160" s="13">
        <f>Econ!P160</f>
        <v>17617.75</v>
      </c>
      <c r="L160" s="14">
        <f>Econ!Q160</f>
        <v>1568.5</v>
      </c>
      <c r="M160" s="14">
        <f>Econ!R160</f>
        <v>0</v>
      </c>
      <c r="N160" s="13">
        <f>Econ!S160</f>
        <v>810</v>
      </c>
      <c r="O160" s="13">
        <f>Econ!T160</f>
        <v>17</v>
      </c>
      <c r="P160" s="7" t="str">
        <f>Econ!A160</f>
        <v>Archer</v>
      </c>
      <c r="Q160" s="10">
        <f>Econ!C160</f>
        <v>334195.4341</v>
      </c>
      <c r="R160" s="10">
        <f>Econ!E160</f>
        <v>114.2344625</v>
      </c>
      <c r="S160" s="10">
        <f>Econ!G160</f>
        <v>222796.9561</v>
      </c>
      <c r="T160" s="10">
        <f>Econ!I160</f>
        <v>228.4689251</v>
      </c>
    </row>
    <row r="161">
      <c r="A161" s="7" t="str">
        <f>Econ!A161&amp;if(Econ!B161&lt;10,"_0"&amp;Econ!B161,"_"&amp;Econ!B161)</f>
        <v>Archer_160</v>
      </c>
      <c r="B161" s="7" t="str">
        <f>"T"&amp;Econ!B161&amp;" "&amp;Econ!A161</f>
        <v>T160 Archer</v>
      </c>
      <c r="C161" s="8">
        <f>Econ!B161</f>
        <v>160</v>
      </c>
      <c r="D161" s="7"/>
      <c r="E161" s="9"/>
      <c r="F161" s="9"/>
      <c r="G161" s="10">
        <f>Econ!L161</f>
        <v>71293</v>
      </c>
      <c r="H161" s="11">
        <f>Econ!M161</f>
        <v>6341</v>
      </c>
      <c r="I161" s="11" t="str">
        <f>Econ!N161</f>
        <v/>
      </c>
      <c r="J161" s="12">
        <f>Econ!O161</f>
        <v>3274</v>
      </c>
      <c r="K161" s="13">
        <f>Econ!P161</f>
        <v>17823.25</v>
      </c>
      <c r="L161" s="14">
        <f>Econ!Q161</f>
        <v>1585.25</v>
      </c>
      <c r="M161" s="14">
        <f>Econ!R161</f>
        <v>0</v>
      </c>
      <c r="N161" s="13">
        <f>Econ!S161</f>
        <v>818.5</v>
      </c>
      <c r="O161" s="13">
        <f>Econ!T161</f>
        <v>17</v>
      </c>
      <c r="P161" s="7" t="str">
        <f>Econ!A161</f>
        <v>Archer</v>
      </c>
      <c r="Q161" s="10">
        <f>Econ!C161</f>
        <v>350905.2058</v>
      </c>
      <c r="R161" s="10">
        <f>Econ!E161</f>
        <v>116.5191518</v>
      </c>
      <c r="S161" s="10">
        <f>Econ!G161</f>
        <v>233936.8039</v>
      </c>
      <c r="T161" s="10">
        <f>Econ!I161</f>
        <v>233.0383036</v>
      </c>
    </row>
    <row r="162">
      <c r="A162" s="7" t="str">
        <f>Econ!A162&amp;if(Econ!B162&lt;10,"_0"&amp;Econ!B162,"_"&amp;Econ!B162)</f>
        <v>Archer_161</v>
      </c>
      <c r="B162" s="7" t="str">
        <f>"T"&amp;Econ!B162&amp;" "&amp;Econ!A162</f>
        <v>T161 Archer</v>
      </c>
      <c r="C162" s="8">
        <f>Econ!B162</f>
        <v>161</v>
      </c>
      <c r="D162" s="7"/>
      <c r="E162" s="9"/>
      <c r="F162" s="9"/>
      <c r="G162" s="10">
        <f>Econ!L162</f>
        <v>72119</v>
      </c>
      <c r="H162" s="11">
        <f>Econ!M162</f>
        <v>6408</v>
      </c>
      <c r="I162" s="11" t="str">
        <f>Econ!N162</f>
        <v/>
      </c>
      <c r="J162" s="12">
        <f>Econ!O162</f>
        <v>3308</v>
      </c>
      <c r="K162" s="13">
        <f>Econ!P162</f>
        <v>18029.75</v>
      </c>
      <c r="L162" s="14">
        <f>Econ!Q162</f>
        <v>1602</v>
      </c>
      <c r="M162" s="14">
        <f>Econ!R162</f>
        <v>0</v>
      </c>
      <c r="N162" s="13">
        <f>Econ!S162</f>
        <v>827</v>
      </c>
      <c r="O162" s="13">
        <f>Econ!T162</f>
        <v>17</v>
      </c>
      <c r="P162" s="7" t="str">
        <f>Econ!A162</f>
        <v>Archer</v>
      </c>
      <c r="Q162" s="10">
        <f>Econ!C162</f>
        <v>368450.4661</v>
      </c>
      <c r="R162" s="10">
        <f>Econ!E162</f>
        <v>118.8495348</v>
      </c>
      <c r="S162" s="10">
        <f>Econ!G162</f>
        <v>245633.6441</v>
      </c>
      <c r="T162" s="10">
        <f>Econ!I162</f>
        <v>237.6990696</v>
      </c>
    </row>
    <row r="163">
      <c r="A163" s="7" t="str">
        <f>Econ!A163&amp;if(Econ!B163&lt;10,"_0"&amp;Econ!B163,"_"&amp;Econ!B163)</f>
        <v>Archer_162</v>
      </c>
      <c r="B163" s="7" t="str">
        <f>"T"&amp;Econ!B163&amp;" "&amp;Econ!A163</f>
        <v>T162 Archer</v>
      </c>
      <c r="C163" s="8">
        <f>Econ!B163</f>
        <v>162</v>
      </c>
      <c r="D163" s="7"/>
      <c r="E163" s="9"/>
      <c r="F163" s="9"/>
      <c r="G163" s="10">
        <f>Econ!L163</f>
        <v>72949</v>
      </c>
      <c r="H163" s="11">
        <f>Econ!M163</f>
        <v>6475</v>
      </c>
      <c r="I163" s="11" t="str">
        <f>Econ!N163</f>
        <v/>
      </c>
      <c r="J163" s="12">
        <f>Econ!O163</f>
        <v>3342</v>
      </c>
      <c r="K163" s="13">
        <f>Econ!P163</f>
        <v>18237.25</v>
      </c>
      <c r="L163" s="14">
        <f>Econ!Q163</f>
        <v>1618.75</v>
      </c>
      <c r="M163" s="14">
        <f>Econ!R163</f>
        <v>0</v>
      </c>
      <c r="N163" s="13">
        <f>Econ!S163</f>
        <v>835.5</v>
      </c>
      <c r="O163" s="13">
        <f>Econ!T163</f>
        <v>17</v>
      </c>
      <c r="P163" s="7" t="str">
        <f>Econ!A163</f>
        <v>Archer</v>
      </c>
      <c r="Q163" s="10">
        <f>Econ!C163</f>
        <v>386872.9894</v>
      </c>
      <c r="R163" s="10">
        <f>Econ!E163</f>
        <v>121.2265255</v>
      </c>
      <c r="S163" s="10">
        <f>Econ!G163</f>
        <v>257915.3263</v>
      </c>
      <c r="T163" s="10">
        <f>Econ!I163</f>
        <v>242.453051</v>
      </c>
    </row>
    <row r="164">
      <c r="A164" s="7" t="str">
        <f>Econ!A164&amp;if(Econ!B164&lt;10,"_0"&amp;Econ!B164,"_"&amp;Econ!B164)</f>
        <v>Archer_163</v>
      </c>
      <c r="B164" s="7" t="str">
        <f>"T"&amp;Econ!B164&amp;" "&amp;Econ!A164</f>
        <v>T163 Archer</v>
      </c>
      <c r="C164" s="8">
        <f>Econ!B164</f>
        <v>163</v>
      </c>
      <c r="D164" s="7"/>
      <c r="E164" s="9"/>
      <c r="F164" s="9"/>
      <c r="G164" s="10">
        <f>Econ!L164</f>
        <v>73782</v>
      </c>
      <c r="H164" s="11">
        <f>Econ!M164</f>
        <v>6543</v>
      </c>
      <c r="I164" s="11" t="str">
        <f>Econ!N164</f>
        <v/>
      </c>
      <c r="J164" s="12">
        <f>Econ!O164</f>
        <v>3376</v>
      </c>
      <c r="K164" s="13">
        <f>Econ!P164</f>
        <v>18445.5</v>
      </c>
      <c r="L164" s="14">
        <f>Econ!Q164</f>
        <v>1635.75</v>
      </c>
      <c r="M164" s="14">
        <f>Econ!R164</f>
        <v>0</v>
      </c>
      <c r="N164" s="13">
        <f>Econ!S164</f>
        <v>844</v>
      </c>
      <c r="O164" s="13">
        <f>Econ!T164</f>
        <v>17</v>
      </c>
      <c r="P164" s="7" t="str">
        <f>Econ!A164</f>
        <v>Archer</v>
      </c>
      <c r="Q164" s="10">
        <f>Econ!C164</f>
        <v>406216.6389</v>
      </c>
      <c r="R164" s="10">
        <f>Econ!E164</f>
        <v>123.651056</v>
      </c>
      <c r="S164" s="10">
        <f>Econ!G164</f>
        <v>270811.0926</v>
      </c>
      <c r="T164" s="10">
        <f>Econ!I164</f>
        <v>247.3021121</v>
      </c>
    </row>
    <row r="165">
      <c r="A165" s="7" t="str">
        <f>Econ!A165&amp;if(Econ!B165&lt;10,"_0"&amp;Econ!B165,"_"&amp;Econ!B165)</f>
        <v>Archer_164</v>
      </c>
      <c r="B165" s="7" t="str">
        <f>"T"&amp;Econ!B165&amp;" "&amp;Econ!A165</f>
        <v>T164 Archer</v>
      </c>
      <c r="C165" s="8">
        <f>Econ!B165</f>
        <v>164</v>
      </c>
      <c r="D165" s="7"/>
      <c r="E165" s="9"/>
      <c r="F165" s="9"/>
      <c r="G165" s="10">
        <f>Econ!L165</f>
        <v>74619</v>
      </c>
      <c r="H165" s="11">
        <f>Econ!M165</f>
        <v>6611</v>
      </c>
      <c r="I165" s="11" t="str">
        <f>Econ!N165</f>
        <v/>
      </c>
      <c r="J165" s="12">
        <f>Econ!O165</f>
        <v>3410</v>
      </c>
      <c r="K165" s="13">
        <f>Econ!P165</f>
        <v>18654.75</v>
      </c>
      <c r="L165" s="14">
        <f>Econ!Q165</f>
        <v>1652.75</v>
      </c>
      <c r="M165" s="14">
        <f>Econ!R165</f>
        <v>0</v>
      </c>
      <c r="N165" s="13">
        <f>Econ!S165</f>
        <v>852.5</v>
      </c>
      <c r="O165" s="13">
        <f>Econ!T165</f>
        <v>17</v>
      </c>
      <c r="P165" s="7" t="str">
        <f>Econ!A165</f>
        <v>Archer</v>
      </c>
      <c r="Q165" s="10">
        <f>Econ!C165</f>
        <v>426527.4708</v>
      </c>
      <c r="R165" s="10">
        <f>Econ!E165</f>
        <v>126.1240772</v>
      </c>
      <c r="S165" s="10">
        <f>Econ!G165</f>
        <v>284351.6472</v>
      </c>
      <c r="T165" s="10">
        <f>Econ!I165</f>
        <v>252.2481543</v>
      </c>
    </row>
    <row r="166">
      <c r="A166" s="7" t="str">
        <f>Econ!A166&amp;if(Econ!B166&lt;10,"_0"&amp;Econ!B166,"_"&amp;Econ!B166)</f>
        <v>Archer_165</v>
      </c>
      <c r="B166" s="7" t="str">
        <f>"T"&amp;Econ!B166&amp;" "&amp;Econ!A166</f>
        <v>T165 Archer</v>
      </c>
      <c r="C166" s="8">
        <f>Econ!B166</f>
        <v>165</v>
      </c>
      <c r="D166" s="7"/>
      <c r="E166" s="9"/>
      <c r="F166" s="9"/>
      <c r="G166" s="10">
        <f>Econ!L166</f>
        <v>75459</v>
      </c>
      <c r="H166" s="11">
        <f>Econ!M166</f>
        <v>6679</v>
      </c>
      <c r="I166" s="11" t="str">
        <f>Econ!N166</f>
        <v/>
      </c>
      <c r="J166" s="12">
        <f>Econ!O166</f>
        <v>3445</v>
      </c>
      <c r="K166" s="13">
        <f>Econ!P166</f>
        <v>18864.75</v>
      </c>
      <c r="L166" s="14">
        <f>Econ!Q166</f>
        <v>1669.75</v>
      </c>
      <c r="M166" s="14">
        <f>Econ!R166</f>
        <v>0</v>
      </c>
      <c r="N166" s="13">
        <f>Econ!S166</f>
        <v>861.25</v>
      </c>
      <c r="O166" s="13">
        <f>Econ!T166</f>
        <v>18</v>
      </c>
      <c r="P166" s="7" t="str">
        <f>Econ!A166</f>
        <v>Archer</v>
      </c>
      <c r="Q166" s="10">
        <f>Econ!C166</f>
        <v>447853.8444</v>
      </c>
      <c r="R166" s="10">
        <f>Econ!E166</f>
        <v>128.6465587</v>
      </c>
      <c r="S166" s="10">
        <f>Econ!G166</f>
        <v>298569.2296</v>
      </c>
      <c r="T166" s="10">
        <f>Econ!I166</f>
        <v>257.2931174</v>
      </c>
    </row>
    <row r="167">
      <c r="A167" s="7" t="str">
        <f>Econ!A167&amp;if(Econ!B167&lt;10,"_0"&amp;Econ!B167,"_"&amp;Econ!B167)</f>
        <v>Archer_166</v>
      </c>
      <c r="B167" s="7" t="str">
        <f>"T"&amp;Econ!B167&amp;" "&amp;Econ!A167</f>
        <v>T166 Archer</v>
      </c>
      <c r="C167" s="8">
        <f>Econ!B167</f>
        <v>166</v>
      </c>
      <c r="D167" s="7"/>
      <c r="E167" s="9"/>
      <c r="F167" s="9"/>
      <c r="G167" s="10">
        <f>Econ!L167</f>
        <v>76303</v>
      </c>
      <c r="H167" s="11">
        <f>Econ!M167</f>
        <v>6747</v>
      </c>
      <c r="I167" s="11" t="str">
        <f>Econ!N167</f>
        <v/>
      </c>
      <c r="J167" s="12">
        <f>Econ!O167</f>
        <v>3480</v>
      </c>
      <c r="K167" s="13">
        <f>Econ!P167</f>
        <v>19075.75</v>
      </c>
      <c r="L167" s="14">
        <f>Econ!Q167</f>
        <v>1686.75</v>
      </c>
      <c r="M167" s="14">
        <f>Econ!R167</f>
        <v>0</v>
      </c>
      <c r="N167" s="13">
        <f>Econ!S167</f>
        <v>870</v>
      </c>
      <c r="O167" s="13">
        <f>Econ!T167</f>
        <v>18</v>
      </c>
      <c r="P167" s="7" t="str">
        <f>Econ!A167</f>
        <v>Archer</v>
      </c>
      <c r="Q167" s="10">
        <f>Econ!C167</f>
        <v>470246.5366</v>
      </c>
      <c r="R167" s="10">
        <f>Econ!E167</f>
        <v>131.2194899</v>
      </c>
      <c r="S167" s="10">
        <f>Econ!G167</f>
        <v>313497.691</v>
      </c>
      <c r="T167" s="10">
        <f>Econ!I167</f>
        <v>262.4389797</v>
      </c>
    </row>
    <row r="168">
      <c r="A168" s="7" t="str">
        <f>Econ!A168&amp;if(Econ!B168&lt;10,"_0"&amp;Econ!B168,"_"&amp;Econ!B168)</f>
        <v>Archer_167</v>
      </c>
      <c r="B168" s="7" t="str">
        <f>"T"&amp;Econ!B168&amp;" "&amp;Econ!A168</f>
        <v>T167 Archer</v>
      </c>
      <c r="C168" s="8">
        <f>Econ!B168</f>
        <v>167</v>
      </c>
      <c r="D168" s="7"/>
      <c r="E168" s="9"/>
      <c r="F168" s="9"/>
      <c r="G168" s="10">
        <f>Econ!L168</f>
        <v>77150</v>
      </c>
      <c r="H168" s="11">
        <f>Econ!M168</f>
        <v>6816</v>
      </c>
      <c r="I168" s="11" t="str">
        <f>Econ!N168</f>
        <v/>
      </c>
      <c r="J168" s="12">
        <f>Econ!O168</f>
        <v>3515</v>
      </c>
      <c r="K168" s="13">
        <f>Econ!P168</f>
        <v>19287.5</v>
      </c>
      <c r="L168" s="14">
        <f>Econ!Q168</f>
        <v>1704</v>
      </c>
      <c r="M168" s="14">
        <f>Econ!R168</f>
        <v>0</v>
      </c>
      <c r="N168" s="13">
        <f>Econ!S168</f>
        <v>878.75</v>
      </c>
      <c r="O168" s="13">
        <f>Econ!T168</f>
        <v>18</v>
      </c>
      <c r="P168" s="7" t="str">
        <f>Econ!A168</f>
        <v>Archer</v>
      </c>
      <c r="Q168" s="10">
        <f>Econ!C168</f>
        <v>493758.8634</v>
      </c>
      <c r="R168" s="10">
        <f>Econ!E168</f>
        <v>133.8438797</v>
      </c>
      <c r="S168" s="10">
        <f>Econ!G168</f>
        <v>329172.5756</v>
      </c>
      <c r="T168" s="10">
        <f>Econ!I168</f>
        <v>267.6877593</v>
      </c>
    </row>
    <row r="169">
      <c r="A169" s="7" t="str">
        <f>Econ!A169&amp;if(Econ!B169&lt;10,"_0"&amp;Econ!B169,"_"&amp;Econ!B169)</f>
        <v>Archer_168</v>
      </c>
      <c r="B169" s="7" t="str">
        <f>"T"&amp;Econ!B169&amp;" "&amp;Econ!A169</f>
        <v>T168 Archer</v>
      </c>
      <c r="C169" s="8">
        <f>Econ!B169</f>
        <v>168</v>
      </c>
      <c r="D169" s="7"/>
      <c r="E169" s="9"/>
      <c r="F169" s="9"/>
      <c r="G169" s="10">
        <f>Econ!L169</f>
        <v>78001</v>
      </c>
      <c r="H169" s="11">
        <f>Econ!M169</f>
        <v>6885</v>
      </c>
      <c r="I169" s="11" t="str">
        <f>Econ!N169</f>
        <v/>
      </c>
      <c r="J169" s="12">
        <f>Econ!O169</f>
        <v>3550</v>
      </c>
      <c r="K169" s="13">
        <f>Econ!P169</f>
        <v>19500.25</v>
      </c>
      <c r="L169" s="14">
        <f>Econ!Q169</f>
        <v>1721.25</v>
      </c>
      <c r="M169" s="14">
        <f>Econ!R169</f>
        <v>0</v>
      </c>
      <c r="N169" s="13">
        <f>Econ!S169</f>
        <v>887.5</v>
      </c>
      <c r="O169" s="13">
        <f>Econ!T169</f>
        <v>18</v>
      </c>
      <c r="P169" s="7" t="str">
        <f>Econ!A169</f>
        <v>Archer</v>
      </c>
      <c r="Q169" s="10">
        <f>Econ!C169</f>
        <v>518446.8066</v>
      </c>
      <c r="R169" s="10">
        <f>Econ!E169</f>
        <v>136.5207573</v>
      </c>
      <c r="S169" s="10">
        <f>Econ!G169</f>
        <v>345631.2044</v>
      </c>
      <c r="T169" s="10">
        <f>Econ!I169</f>
        <v>273.0415145</v>
      </c>
    </row>
    <row r="170">
      <c r="A170" s="7" t="str">
        <f>Econ!A170&amp;if(Econ!B170&lt;10,"_0"&amp;Econ!B170,"_"&amp;Econ!B170)</f>
        <v>Archer_169</v>
      </c>
      <c r="B170" s="7" t="str">
        <f>"T"&amp;Econ!B170&amp;" "&amp;Econ!A170</f>
        <v>T169 Archer</v>
      </c>
      <c r="C170" s="8">
        <f>Econ!B170</f>
        <v>169</v>
      </c>
      <c r="D170" s="7"/>
      <c r="E170" s="9"/>
      <c r="F170" s="9"/>
      <c r="G170" s="10">
        <f>Econ!L170</f>
        <v>78856</v>
      </c>
      <c r="H170" s="11">
        <f>Econ!M170</f>
        <v>6954</v>
      </c>
      <c r="I170" s="11" t="str">
        <f>Econ!N170</f>
        <v/>
      </c>
      <c r="J170" s="12">
        <f>Econ!O170</f>
        <v>3585</v>
      </c>
      <c r="K170" s="13">
        <f>Econ!P170</f>
        <v>19714</v>
      </c>
      <c r="L170" s="14">
        <f>Econ!Q170</f>
        <v>1738.5</v>
      </c>
      <c r="M170" s="14">
        <f>Econ!R170</f>
        <v>0</v>
      </c>
      <c r="N170" s="13">
        <f>Econ!S170</f>
        <v>896.25</v>
      </c>
      <c r="O170" s="13">
        <f>Econ!T170</f>
        <v>18</v>
      </c>
      <c r="P170" s="7" t="str">
        <f>Econ!A170</f>
        <v>Archer</v>
      </c>
      <c r="Q170" s="10">
        <f>Econ!C170</f>
        <v>544369.1469</v>
      </c>
      <c r="R170" s="10">
        <f>Econ!E170</f>
        <v>139.2511724</v>
      </c>
      <c r="S170" s="10">
        <f>Econ!G170</f>
        <v>362912.7646</v>
      </c>
      <c r="T170" s="10">
        <f>Econ!I170</f>
        <v>278.5023448</v>
      </c>
    </row>
    <row r="171">
      <c r="A171" s="7" t="str">
        <f>Econ!A171&amp;if(Econ!B171&lt;10,"_0"&amp;Econ!B171,"_"&amp;Econ!B171)</f>
        <v>Archer_170</v>
      </c>
      <c r="B171" s="7" t="str">
        <f>"T"&amp;Econ!B171&amp;" "&amp;Econ!A171</f>
        <v>T170 Archer</v>
      </c>
      <c r="C171" s="8">
        <f>Econ!B171</f>
        <v>170</v>
      </c>
      <c r="D171" s="7"/>
      <c r="E171" s="9"/>
      <c r="F171" s="9"/>
      <c r="G171" s="10">
        <f>Econ!L171</f>
        <v>79714</v>
      </c>
      <c r="H171" s="11">
        <f>Econ!M171</f>
        <v>7024</v>
      </c>
      <c r="I171" s="11" t="str">
        <f>Econ!N171</f>
        <v/>
      </c>
      <c r="J171" s="12">
        <f>Econ!O171</f>
        <v>3620</v>
      </c>
      <c r="K171" s="13">
        <f>Econ!P171</f>
        <v>19928.5</v>
      </c>
      <c r="L171" s="14">
        <f>Econ!Q171</f>
        <v>1756</v>
      </c>
      <c r="M171" s="14">
        <f>Econ!R171</f>
        <v>0</v>
      </c>
      <c r="N171" s="13">
        <f>Econ!S171</f>
        <v>905</v>
      </c>
      <c r="O171" s="13">
        <f>Econ!T171</f>
        <v>18</v>
      </c>
      <c r="P171" s="7" t="str">
        <f>Econ!A171</f>
        <v>Archer</v>
      </c>
      <c r="Q171" s="10">
        <f>Econ!C171</f>
        <v>571587.6042</v>
      </c>
      <c r="R171" s="10">
        <f>Econ!E171</f>
        <v>142.0361959</v>
      </c>
      <c r="S171" s="10">
        <f>Econ!G171</f>
        <v>381058.4028</v>
      </c>
      <c r="T171" s="10">
        <f>Econ!I171</f>
        <v>284.0723917</v>
      </c>
    </row>
    <row r="172">
      <c r="A172" s="7" t="str">
        <f>Econ!A172&amp;if(Econ!B172&lt;10,"_0"&amp;Econ!B172,"_"&amp;Econ!B172)</f>
        <v>Archer_171</v>
      </c>
      <c r="B172" s="7" t="str">
        <f>"T"&amp;Econ!B172&amp;" "&amp;Econ!A172</f>
        <v>T171 Archer</v>
      </c>
      <c r="C172" s="8">
        <f>Econ!B172</f>
        <v>171</v>
      </c>
      <c r="D172" s="7"/>
      <c r="E172" s="9"/>
      <c r="F172" s="9"/>
      <c r="G172" s="10">
        <f>Econ!L172</f>
        <v>80576</v>
      </c>
      <c r="H172" s="11">
        <f>Econ!M172</f>
        <v>7094</v>
      </c>
      <c r="I172" s="11" t="str">
        <f>Econ!N172</f>
        <v/>
      </c>
      <c r="J172" s="12">
        <f>Econ!O172</f>
        <v>3655</v>
      </c>
      <c r="K172" s="13">
        <f>Econ!P172</f>
        <v>20144</v>
      </c>
      <c r="L172" s="14">
        <f>Econ!Q172</f>
        <v>1773.5</v>
      </c>
      <c r="M172" s="14">
        <f>Econ!R172</f>
        <v>0</v>
      </c>
      <c r="N172" s="13">
        <f>Econ!S172</f>
        <v>913.75</v>
      </c>
      <c r="O172" s="13">
        <f>Econ!T172</f>
        <v>18</v>
      </c>
      <c r="P172" s="7" t="str">
        <f>Econ!A172</f>
        <v>Archer</v>
      </c>
      <c r="Q172" s="10">
        <f>Econ!C172</f>
        <v>600166.9845</v>
      </c>
      <c r="R172" s="10">
        <f>Econ!E172</f>
        <v>144.8769198</v>
      </c>
      <c r="S172" s="10">
        <f>Econ!G172</f>
        <v>400111.323</v>
      </c>
      <c r="T172" s="10">
        <f>Econ!I172</f>
        <v>289.7538395</v>
      </c>
    </row>
    <row r="173">
      <c r="A173" s="7" t="str">
        <f>Econ!A173&amp;if(Econ!B173&lt;10,"_0"&amp;Econ!B173,"_"&amp;Econ!B173)</f>
        <v>Archer_172</v>
      </c>
      <c r="B173" s="7" t="str">
        <f>"T"&amp;Econ!B173&amp;" "&amp;Econ!A173</f>
        <v>T172 Archer</v>
      </c>
      <c r="C173" s="8">
        <f>Econ!B173</f>
        <v>172</v>
      </c>
      <c r="D173" s="7"/>
      <c r="E173" s="9"/>
      <c r="F173" s="9"/>
      <c r="G173" s="10">
        <f>Econ!L173</f>
        <v>81441</v>
      </c>
      <c r="H173" s="11">
        <f>Econ!M173</f>
        <v>7164</v>
      </c>
      <c r="I173" s="11" t="str">
        <f>Econ!N173</f>
        <v/>
      </c>
      <c r="J173" s="12">
        <f>Econ!O173</f>
        <v>3691</v>
      </c>
      <c r="K173" s="13">
        <f>Econ!P173</f>
        <v>20360.25</v>
      </c>
      <c r="L173" s="14">
        <f>Econ!Q173</f>
        <v>1791</v>
      </c>
      <c r="M173" s="14">
        <f>Econ!R173</f>
        <v>0</v>
      </c>
      <c r="N173" s="13">
        <f>Econ!S173</f>
        <v>922.75</v>
      </c>
      <c r="O173" s="13">
        <f>Econ!T173</f>
        <v>18</v>
      </c>
      <c r="P173" s="7" t="str">
        <f>Econ!A173</f>
        <v>Archer</v>
      </c>
      <c r="Q173" s="10">
        <f>Econ!C173</f>
        <v>630175.3337</v>
      </c>
      <c r="R173" s="10">
        <f>Econ!E173</f>
        <v>147.7744582</v>
      </c>
      <c r="S173" s="10">
        <f>Econ!G173</f>
        <v>420116.8891</v>
      </c>
      <c r="T173" s="10">
        <f>Econ!I173</f>
        <v>295.5489163</v>
      </c>
    </row>
    <row r="174">
      <c r="A174" s="7" t="str">
        <f>Econ!A174&amp;if(Econ!B174&lt;10,"_0"&amp;Econ!B174,"_"&amp;Econ!B174)</f>
        <v>Archer_173</v>
      </c>
      <c r="B174" s="7" t="str">
        <f>"T"&amp;Econ!B174&amp;" "&amp;Econ!A174</f>
        <v>T173 Archer</v>
      </c>
      <c r="C174" s="8">
        <f>Econ!B174</f>
        <v>173</v>
      </c>
      <c r="D174" s="7"/>
      <c r="E174" s="9"/>
      <c r="F174" s="9"/>
      <c r="G174" s="10">
        <f>Econ!L174</f>
        <v>82310</v>
      </c>
      <c r="H174" s="11">
        <f>Econ!M174</f>
        <v>7234</v>
      </c>
      <c r="I174" s="11" t="str">
        <f>Econ!N174</f>
        <v/>
      </c>
      <c r="J174" s="12">
        <f>Econ!O174</f>
        <v>3727</v>
      </c>
      <c r="K174" s="13">
        <f>Econ!P174</f>
        <v>20577.5</v>
      </c>
      <c r="L174" s="14">
        <f>Econ!Q174</f>
        <v>1808.5</v>
      </c>
      <c r="M174" s="14">
        <f>Econ!R174</f>
        <v>0</v>
      </c>
      <c r="N174" s="13">
        <f>Econ!S174</f>
        <v>931.75</v>
      </c>
      <c r="O174" s="13">
        <f>Econ!T174</f>
        <v>18</v>
      </c>
      <c r="P174" s="7" t="str">
        <f>Econ!A174</f>
        <v>Archer</v>
      </c>
      <c r="Q174" s="10">
        <f>Econ!C174</f>
        <v>661684.1004</v>
      </c>
      <c r="R174" s="10">
        <f>Econ!E174</f>
        <v>150.7299473</v>
      </c>
      <c r="S174" s="10">
        <f>Econ!G174</f>
        <v>441122.7336</v>
      </c>
      <c r="T174" s="10">
        <f>Econ!I174</f>
        <v>301.4598947</v>
      </c>
    </row>
    <row r="175">
      <c r="A175" s="7" t="str">
        <f>Econ!A175&amp;if(Econ!B175&lt;10,"_0"&amp;Econ!B175,"_"&amp;Econ!B175)</f>
        <v>Archer_174</v>
      </c>
      <c r="B175" s="7" t="str">
        <f>"T"&amp;Econ!B175&amp;" "&amp;Econ!A175</f>
        <v>T174 Archer</v>
      </c>
      <c r="C175" s="8">
        <f>Econ!B175</f>
        <v>174</v>
      </c>
      <c r="D175" s="7"/>
      <c r="E175" s="9"/>
      <c r="F175" s="9"/>
      <c r="G175" s="10">
        <f>Econ!L175</f>
        <v>83182</v>
      </c>
      <c r="H175" s="11">
        <f>Econ!M175</f>
        <v>7305</v>
      </c>
      <c r="I175" s="11" t="str">
        <f>Econ!N175</f>
        <v/>
      </c>
      <c r="J175" s="12">
        <f>Econ!O175</f>
        <v>3763</v>
      </c>
      <c r="K175" s="13">
        <f>Econ!P175</f>
        <v>20795.5</v>
      </c>
      <c r="L175" s="14">
        <f>Econ!Q175</f>
        <v>1826.25</v>
      </c>
      <c r="M175" s="14">
        <f>Econ!R175</f>
        <v>0</v>
      </c>
      <c r="N175" s="13">
        <f>Econ!S175</f>
        <v>940.75</v>
      </c>
      <c r="O175" s="13">
        <f>Econ!T175</f>
        <v>18</v>
      </c>
      <c r="P175" s="7" t="str">
        <f>Econ!A175</f>
        <v>Archer</v>
      </c>
      <c r="Q175" s="10">
        <f>Econ!C175</f>
        <v>694768.3054</v>
      </c>
      <c r="R175" s="10">
        <f>Econ!E175</f>
        <v>153.7445463</v>
      </c>
      <c r="S175" s="10">
        <f>Econ!G175</f>
        <v>463178.8703</v>
      </c>
      <c r="T175" s="10">
        <f>Econ!I175</f>
        <v>307.4890925</v>
      </c>
    </row>
    <row r="176">
      <c r="A176" s="7" t="str">
        <f>Econ!A176&amp;if(Econ!B176&lt;10,"_0"&amp;Econ!B176,"_"&amp;Econ!B176)</f>
        <v>Archer_175</v>
      </c>
      <c r="B176" s="7" t="str">
        <f>"T"&amp;Econ!B176&amp;" "&amp;Econ!A176</f>
        <v>T175 Archer</v>
      </c>
      <c r="C176" s="8">
        <f>Econ!B176</f>
        <v>175</v>
      </c>
      <c r="D176" s="7"/>
      <c r="E176" s="9"/>
      <c r="F176" s="9"/>
      <c r="G176" s="10">
        <f>Econ!L176</f>
        <v>84058</v>
      </c>
      <c r="H176" s="11">
        <f>Econ!M176</f>
        <v>7376</v>
      </c>
      <c r="I176" s="11" t="str">
        <f>Econ!N176</f>
        <v/>
      </c>
      <c r="J176" s="12">
        <f>Econ!O176</f>
        <v>3799</v>
      </c>
      <c r="K176" s="13">
        <f>Econ!P176</f>
        <v>21014.5</v>
      </c>
      <c r="L176" s="14">
        <f>Econ!Q176</f>
        <v>1844</v>
      </c>
      <c r="M176" s="14">
        <f>Econ!R176</f>
        <v>0</v>
      </c>
      <c r="N176" s="13">
        <f>Econ!S176</f>
        <v>949.75</v>
      </c>
      <c r="O176" s="13">
        <f>Econ!T176</f>
        <v>19</v>
      </c>
      <c r="P176" s="7" t="str">
        <f>Econ!A176</f>
        <v>Archer</v>
      </c>
      <c r="Q176" s="10">
        <f>Econ!C176</f>
        <v>729506.7206</v>
      </c>
      <c r="R176" s="10">
        <f>Econ!E176</f>
        <v>156.8194372</v>
      </c>
      <c r="S176" s="10">
        <f>Econ!G176</f>
        <v>486337.8138</v>
      </c>
      <c r="T176" s="10">
        <f>Econ!I176</f>
        <v>313.6388744</v>
      </c>
    </row>
    <row r="177">
      <c r="A177" s="7" t="str">
        <f>Econ!A177&amp;if(Econ!B177&lt;10,"_0"&amp;Econ!B177,"_"&amp;Econ!B177)</f>
        <v>Archer_176</v>
      </c>
      <c r="B177" s="7" t="str">
        <f>"T"&amp;Econ!B177&amp;" "&amp;Econ!A177</f>
        <v>T176 Archer</v>
      </c>
      <c r="C177" s="8">
        <f>Econ!B177</f>
        <v>176</v>
      </c>
      <c r="D177" s="7"/>
      <c r="E177" s="9"/>
      <c r="F177" s="9"/>
      <c r="G177" s="10">
        <f>Econ!L177</f>
        <v>84937</v>
      </c>
      <c r="H177" s="11">
        <f>Econ!M177</f>
        <v>7447</v>
      </c>
      <c r="I177" s="11" t="str">
        <f>Econ!N177</f>
        <v/>
      </c>
      <c r="J177" s="12">
        <f>Econ!O177</f>
        <v>3835</v>
      </c>
      <c r="K177" s="13">
        <f>Econ!P177</f>
        <v>21234.25</v>
      </c>
      <c r="L177" s="14">
        <f>Econ!Q177</f>
        <v>1861.75</v>
      </c>
      <c r="M177" s="14">
        <f>Econ!R177</f>
        <v>0</v>
      </c>
      <c r="N177" s="13">
        <f>Econ!S177</f>
        <v>958.75</v>
      </c>
      <c r="O177" s="13">
        <f>Econ!T177</f>
        <v>19</v>
      </c>
      <c r="P177" s="7" t="str">
        <f>Econ!A177</f>
        <v>Archer</v>
      </c>
      <c r="Q177" s="10">
        <f>Econ!C177</f>
        <v>765982.0567</v>
      </c>
      <c r="R177" s="10">
        <f>Econ!E177</f>
        <v>159.9558259</v>
      </c>
      <c r="S177" s="10">
        <f>Econ!G177</f>
        <v>510654.7045</v>
      </c>
      <c r="T177" s="10">
        <f>Econ!I177</f>
        <v>319.9116519</v>
      </c>
    </row>
    <row r="178">
      <c r="A178" s="7" t="str">
        <f>Econ!A178&amp;if(Econ!B178&lt;10,"_0"&amp;Econ!B178,"_"&amp;Econ!B178)</f>
        <v>Archer_177</v>
      </c>
      <c r="B178" s="7" t="str">
        <f>"T"&amp;Econ!B178&amp;" "&amp;Econ!A178</f>
        <v>T177 Archer</v>
      </c>
      <c r="C178" s="8">
        <f>Econ!B178</f>
        <v>177</v>
      </c>
      <c r="D178" s="7"/>
      <c r="E178" s="9"/>
      <c r="F178" s="9"/>
      <c r="G178" s="10">
        <f>Econ!L178</f>
        <v>85820</v>
      </c>
      <c r="H178" s="11">
        <f>Econ!M178</f>
        <v>7519</v>
      </c>
      <c r="I178" s="11" t="str">
        <f>Econ!N178</f>
        <v/>
      </c>
      <c r="J178" s="12">
        <f>Econ!O178</f>
        <v>3871</v>
      </c>
      <c r="K178" s="13">
        <f>Econ!P178</f>
        <v>21455</v>
      </c>
      <c r="L178" s="14">
        <f>Econ!Q178</f>
        <v>1879.75</v>
      </c>
      <c r="M178" s="14">
        <f>Econ!R178</f>
        <v>0</v>
      </c>
      <c r="N178" s="13">
        <f>Econ!S178</f>
        <v>967.75</v>
      </c>
      <c r="O178" s="13">
        <f>Econ!T178</f>
        <v>19</v>
      </c>
      <c r="P178" s="7" t="str">
        <f>Econ!A178</f>
        <v>Archer</v>
      </c>
      <c r="Q178" s="10">
        <f>Econ!C178</f>
        <v>804281.1595</v>
      </c>
      <c r="R178" s="10">
        <f>Econ!E178</f>
        <v>163.1549425</v>
      </c>
      <c r="S178" s="10">
        <f>Econ!G178</f>
        <v>536187.4397</v>
      </c>
      <c r="T178" s="10">
        <f>Econ!I178</f>
        <v>326.3098849</v>
      </c>
    </row>
    <row r="179">
      <c r="A179" s="7" t="str">
        <f>Econ!A179&amp;if(Econ!B179&lt;10,"_0"&amp;Econ!B179,"_"&amp;Econ!B179)</f>
        <v>Archer_178</v>
      </c>
      <c r="B179" s="7" t="str">
        <f>"T"&amp;Econ!B179&amp;" "&amp;Econ!A179</f>
        <v>T178 Archer</v>
      </c>
      <c r="C179" s="8">
        <f>Econ!B179</f>
        <v>178</v>
      </c>
      <c r="D179" s="7"/>
      <c r="E179" s="9"/>
      <c r="F179" s="9"/>
      <c r="G179" s="10">
        <f>Econ!L179</f>
        <v>86706</v>
      </c>
      <c r="H179" s="11">
        <f>Econ!M179</f>
        <v>7591</v>
      </c>
      <c r="I179" s="11" t="str">
        <f>Econ!N179</f>
        <v/>
      </c>
      <c r="J179" s="12">
        <f>Econ!O179</f>
        <v>3907</v>
      </c>
      <c r="K179" s="13">
        <f>Econ!P179</f>
        <v>21676.5</v>
      </c>
      <c r="L179" s="14">
        <f>Econ!Q179</f>
        <v>1897.75</v>
      </c>
      <c r="M179" s="14">
        <f>Econ!R179</f>
        <v>0</v>
      </c>
      <c r="N179" s="13">
        <f>Econ!S179</f>
        <v>976.75</v>
      </c>
      <c r="O179" s="13">
        <f>Econ!T179</f>
        <v>19</v>
      </c>
      <c r="P179" s="7" t="str">
        <f>Econ!A179</f>
        <v>Archer</v>
      </c>
      <c r="Q179" s="10">
        <f>Econ!C179</f>
        <v>844495.2175</v>
      </c>
      <c r="R179" s="10">
        <f>Econ!E179</f>
        <v>166.4180413</v>
      </c>
      <c r="S179" s="10">
        <f>Econ!G179</f>
        <v>562996.8117</v>
      </c>
      <c r="T179" s="10">
        <f>Econ!I179</f>
        <v>332.8360826</v>
      </c>
    </row>
    <row r="180">
      <c r="A180" s="7" t="str">
        <f>Econ!A180&amp;if(Econ!B180&lt;10,"_0"&amp;Econ!B180,"_"&amp;Econ!B180)</f>
        <v>Archer_179</v>
      </c>
      <c r="B180" s="7" t="str">
        <f>"T"&amp;Econ!B180&amp;" "&amp;Econ!A180</f>
        <v>T179 Archer</v>
      </c>
      <c r="C180" s="8">
        <f>Econ!B180</f>
        <v>179</v>
      </c>
      <c r="D180" s="7"/>
      <c r="E180" s="9"/>
      <c r="F180" s="9"/>
      <c r="G180" s="10">
        <f>Econ!L180</f>
        <v>87596</v>
      </c>
      <c r="H180" s="11">
        <f>Econ!M180</f>
        <v>7663</v>
      </c>
      <c r="I180" s="11" t="str">
        <f>Econ!N180</f>
        <v/>
      </c>
      <c r="J180" s="12">
        <f>Econ!O180</f>
        <v>3944</v>
      </c>
      <c r="K180" s="13">
        <f>Econ!P180</f>
        <v>21899</v>
      </c>
      <c r="L180" s="14">
        <f>Econ!Q180</f>
        <v>1915.75</v>
      </c>
      <c r="M180" s="14">
        <f>Econ!R180</f>
        <v>0</v>
      </c>
      <c r="N180" s="13">
        <f>Econ!S180</f>
        <v>986</v>
      </c>
      <c r="O180" s="13">
        <f>Econ!T180</f>
        <v>19</v>
      </c>
      <c r="P180" s="7" t="str">
        <f>Econ!A180</f>
        <v>Archer</v>
      </c>
      <c r="Q180" s="10">
        <f>Econ!C180</f>
        <v>886719.9784</v>
      </c>
      <c r="R180" s="10">
        <f>Econ!E180</f>
        <v>169.7464021</v>
      </c>
      <c r="S180" s="10">
        <f>Econ!G180</f>
        <v>591146.6522</v>
      </c>
      <c r="T180" s="10">
        <f>Econ!I180</f>
        <v>339.4928043</v>
      </c>
    </row>
    <row r="181">
      <c r="A181" s="7" t="str">
        <f>Econ!A181&amp;if(Econ!B181&lt;10,"_0"&amp;Econ!B181,"_"&amp;Econ!B181)</f>
        <v>Archer_180</v>
      </c>
      <c r="B181" s="7" t="str">
        <f>"T"&amp;Econ!B181&amp;" "&amp;Econ!A181</f>
        <v>T180 Archer</v>
      </c>
      <c r="C181" s="8">
        <f>Econ!B181</f>
        <v>180</v>
      </c>
      <c r="D181" s="7"/>
      <c r="E181" s="9"/>
      <c r="F181" s="9"/>
      <c r="G181" s="10">
        <f>Econ!L181</f>
        <v>88489</v>
      </c>
      <c r="H181" s="11">
        <f>Econ!M181</f>
        <v>7735</v>
      </c>
      <c r="I181" s="11" t="str">
        <f>Econ!N181</f>
        <v/>
      </c>
      <c r="J181" s="12">
        <f>Econ!O181</f>
        <v>3981</v>
      </c>
      <c r="K181" s="13">
        <f>Econ!P181</f>
        <v>22122.25</v>
      </c>
      <c r="L181" s="14">
        <f>Econ!Q181</f>
        <v>1933.75</v>
      </c>
      <c r="M181" s="14">
        <f>Econ!R181</f>
        <v>0</v>
      </c>
      <c r="N181" s="13">
        <f>Econ!S181</f>
        <v>995.25</v>
      </c>
      <c r="O181" s="13">
        <f>Econ!T181</f>
        <v>19</v>
      </c>
      <c r="P181" s="7" t="str">
        <f>Econ!A181</f>
        <v>Archer</v>
      </c>
      <c r="Q181" s="10">
        <f>Econ!C181</f>
        <v>931055.9773</v>
      </c>
      <c r="R181" s="10">
        <f>Econ!E181</f>
        <v>173.1413302</v>
      </c>
      <c r="S181" s="10">
        <f>Econ!G181</f>
        <v>620703.9849</v>
      </c>
      <c r="T181" s="10">
        <f>Econ!I181</f>
        <v>346.2826604</v>
      </c>
    </row>
    <row r="182">
      <c r="A182" s="7" t="str">
        <f>Econ!A182&amp;if(Econ!B182&lt;10,"_0"&amp;Econ!B182,"_"&amp;Econ!B182)</f>
        <v>Archer_181</v>
      </c>
      <c r="B182" s="7" t="str">
        <f>"T"&amp;Econ!B182&amp;" "&amp;Econ!A182</f>
        <v>T181 Archer</v>
      </c>
      <c r="C182" s="8">
        <f>Econ!B182</f>
        <v>181</v>
      </c>
      <c r="D182" s="7"/>
      <c r="E182" s="9"/>
      <c r="F182" s="9"/>
      <c r="G182" s="10">
        <f>Econ!L182</f>
        <v>89386</v>
      </c>
      <c r="H182" s="11">
        <f>Econ!M182</f>
        <v>7808</v>
      </c>
      <c r="I182" s="11" t="str">
        <f>Econ!N182</f>
        <v/>
      </c>
      <c r="J182" s="12">
        <f>Econ!O182</f>
        <v>4018</v>
      </c>
      <c r="K182" s="13">
        <f>Econ!P182</f>
        <v>22346.5</v>
      </c>
      <c r="L182" s="14">
        <f>Econ!Q182</f>
        <v>1952</v>
      </c>
      <c r="M182" s="14">
        <f>Econ!R182</f>
        <v>0</v>
      </c>
      <c r="N182" s="13">
        <f>Econ!S182</f>
        <v>1004.5</v>
      </c>
      <c r="O182" s="13">
        <f>Econ!T182</f>
        <v>19</v>
      </c>
      <c r="P182" s="7" t="str">
        <f>Econ!A182</f>
        <v>Archer</v>
      </c>
      <c r="Q182" s="10">
        <f>Econ!C182</f>
        <v>977608.7761</v>
      </c>
      <c r="R182" s="10">
        <f>Econ!E182</f>
        <v>176.6041568</v>
      </c>
      <c r="S182" s="10">
        <f>Econ!G182</f>
        <v>651739.1841</v>
      </c>
      <c r="T182" s="10">
        <f>Econ!I182</f>
        <v>353.2083136</v>
      </c>
    </row>
    <row r="183">
      <c r="A183" s="7" t="str">
        <f>Econ!A183&amp;if(Econ!B183&lt;10,"_0"&amp;Econ!B183,"_"&amp;Econ!B183)</f>
        <v>Archer_182</v>
      </c>
      <c r="B183" s="7" t="str">
        <f>"T"&amp;Econ!B183&amp;" "&amp;Econ!A183</f>
        <v>T182 Archer</v>
      </c>
      <c r="C183" s="8">
        <f>Econ!B183</f>
        <v>182</v>
      </c>
      <c r="D183" s="7"/>
      <c r="E183" s="9"/>
      <c r="F183" s="9"/>
      <c r="G183" s="10">
        <f>Econ!L183</f>
        <v>90286</v>
      </c>
      <c r="H183" s="11">
        <f>Econ!M183</f>
        <v>7881</v>
      </c>
      <c r="I183" s="11" t="str">
        <f>Econ!N183</f>
        <v/>
      </c>
      <c r="J183" s="12">
        <f>Econ!O183</f>
        <v>4055</v>
      </c>
      <c r="K183" s="13">
        <f>Econ!P183</f>
        <v>22571.5</v>
      </c>
      <c r="L183" s="14">
        <f>Econ!Q183</f>
        <v>1970.25</v>
      </c>
      <c r="M183" s="14">
        <f>Econ!R183</f>
        <v>0</v>
      </c>
      <c r="N183" s="13">
        <f>Econ!S183</f>
        <v>1013.75</v>
      </c>
      <c r="O183" s="13">
        <f>Econ!T183</f>
        <v>19</v>
      </c>
      <c r="P183" s="7" t="str">
        <f>Econ!A183</f>
        <v>Archer</v>
      </c>
      <c r="Q183" s="10">
        <f>Econ!C183</f>
        <v>1026489.215</v>
      </c>
      <c r="R183" s="10">
        <f>Econ!E183</f>
        <v>180.1362399</v>
      </c>
      <c r="S183" s="10">
        <f>Econ!G183</f>
        <v>684326.1433</v>
      </c>
      <c r="T183" s="10">
        <f>Econ!I183</f>
        <v>360.2724798</v>
      </c>
    </row>
    <row r="184">
      <c r="A184" s="7" t="str">
        <f>Econ!A184&amp;if(Econ!B184&lt;10,"_0"&amp;Econ!B184,"_"&amp;Econ!B184)</f>
        <v>Archer_183</v>
      </c>
      <c r="B184" s="7" t="str">
        <f>"T"&amp;Econ!B184&amp;" "&amp;Econ!A184</f>
        <v>T183 Archer</v>
      </c>
      <c r="C184" s="8">
        <f>Econ!B184</f>
        <v>183</v>
      </c>
      <c r="D184" s="7"/>
      <c r="E184" s="9"/>
      <c r="F184" s="9"/>
      <c r="G184" s="10">
        <f>Econ!L184</f>
        <v>91190</v>
      </c>
      <c r="H184" s="11">
        <f>Econ!M184</f>
        <v>7954</v>
      </c>
      <c r="I184" s="11" t="str">
        <f>Econ!N184</f>
        <v/>
      </c>
      <c r="J184" s="12">
        <f>Econ!O184</f>
        <v>4092</v>
      </c>
      <c r="K184" s="13">
        <f>Econ!P184</f>
        <v>22797.5</v>
      </c>
      <c r="L184" s="14">
        <f>Econ!Q184</f>
        <v>1988.5</v>
      </c>
      <c r="M184" s="14">
        <f>Econ!R184</f>
        <v>0</v>
      </c>
      <c r="N184" s="13">
        <f>Econ!S184</f>
        <v>1023</v>
      </c>
      <c r="O184" s="13">
        <f>Econ!T184</f>
        <v>19</v>
      </c>
      <c r="P184" s="7" t="str">
        <f>Econ!A184</f>
        <v>Archer</v>
      </c>
      <c r="Q184" s="10">
        <f>Econ!C184</f>
        <v>1077813.676</v>
      </c>
      <c r="R184" s="10">
        <f>Econ!E184</f>
        <v>183.7389647</v>
      </c>
      <c r="S184" s="10">
        <f>Econ!G184</f>
        <v>718542.4505</v>
      </c>
      <c r="T184" s="10">
        <f>Econ!I184</f>
        <v>367.4779294</v>
      </c>
    </row>
    <row r="185">
      <c r="A185" s="7" t="str">
        <f>Econ!A185&amp;if(Econ!B185&lt;10,"_0"&amp;Econ!B185,"_"&amp;Econ!B185)</f>
        <v>Archer_184</v>
      </c>
      <c r="B185" s="7" t="str">
        <f>"T"&amp;Econ!B185&amp;" "&amp;Econ!A185</f>
        <v>T184 Archer</v>
      </c>
      <c r="C185" s="8">
        <f>Econ!B185</f>
        <v>184</v>
      </c>
      <c r="D185" s="7"/>
      <c r="E185" s="9"/>
      <c r="F185" s="9"/>
      <c r="G185" s="10">
        <f>Econ!L185</f>
        <v>92097</v>
      </c>
      <c r="H185" s="11">
        <f>Econ!M185</f>
        <v>8028</v>
      </c>
      <c r="I185" s="11" t="str">
        <f>Econ!N185</f>
        <v/>
      </c>
      <c r="J185" s="12">
        <f>Econ!O185</f>
        <v>4129</v>
      </c>
      <c r="K185" s="13">
        <f>Econ!P185</f>
        <v>23024.25</v>
      </c>
      <c r="L185" s="14">
        <f>Econ!Q185</f>
        <v>2007</v>
      </c>
      <c r="M185" s="14">
        <f>Econ!R185</f>
        <v>0</v>
      </c>
      <c r="N185" s="13">
        <f>Econ!S185</f>
        <v>1032.25</v>
      </c>
      <c r="O185" s="13">
        <f>Econ!T185</f>
        <v>19</v>
      </c>
      <c r="P185" s="7" t="str">
        <f>Econ!A185</f>
        <v>Archer</v>
      </c>
      <c r="Q185" s="10">
        <f>Econ!C185</f>
        <v>1131704.359</v>
      </c>
      <c r="R185" s="10">
        <f>Econ!E185</f>
        <v>187.413744</v>
      </c>
      <c r="S185" s="10">
        <f>Econ!G185</f>
        <v>754469.573</v>
      </c>
      <c r="T185" s="10">
        <f>Econ!I185</f>
        <v>374.827488</v>
      </c>
    </row>
    <row r="186">
      <c r="A186" s="7" t="str">
        <f>Econ!A186&amp;if(Econ!B186&lt;10,"_0"&amp;Econ!B186,"_"&amp;Econ!B186)</f>
        <v>Archer_185</v>
      </c>
      <c r="B186" s="7" t="str">
        <f>"T"&amp;Econ!B186&amp;" "&amp;Econ!A186</f>
        <v>T185 Archer</v>
      </c>
      <c r="C186" s="8">
        <f>Econ!B186</f>
        <v>185</v>
      </c>
      <c r="D186" s="7"/>
      <c r="E186" s="9"/>
      <c r="F186" s="9"/>
      <c r="G186" s="10">
        <f>Econ!L186</f>
        <v>93008</v>
      </c>
      <c r="H186" s="11">
        <f>Econ!M186</f>
        <v>8102</v>
      </c>
      <c r="I186" s="11" t="str">
        <f>Econ!N186</f>
        <v/>
      </c>
      <c r="J186" s="12">
        <f>Econ!O186</f>
        <v>4166</v>
      </c>
      <c r="K186" s="13">
        <f>Econ!P186</f>
        <v>23252</v>
      </c>
      <c r="L186" s="14">
        <f>Econ!Q186</f>
        <v>2025.5</v>
      </c>
      <c r="M186" s="14">
        <f>Econ!R186</f>
        <v>0</v>
      </c>
      <c r="N186" s="13">
        <f>Econ!S186</f>
        <v>1041.5</v>
      </c>
      <c r="O186" s="13">
        <f>Econ!T186</f>
        <v>20</v>
      </c>
      <c r="P186" s="7" t="str">
        <f>Econ!A186</f>
        <v>Archer</v>
      </c>
      <c r="Q186" s="10">
        <f>Econ!C186</f>
        <v>1188289.577</v>
      </c>
      <c r="R186" s="10">
        <f>Econ!E186</f>
        <v>191.1620189</v>
      </c>
      <c r="S186" s="10">
        <f>Econ!G186</f>
        <v>792193.0516</v>
      </c>
      <c r="T186" s="10">
        <f>Econ!I186</f>
        <v>382.3240378</v>
      </c>
    </row>
    <row r="187">
      <c r="A187" s="7" t="str">
        <f>Econ!A187&amp;if(Econ!B187&lt;10,"_0"&amp;Econ!B187,"_"&amp;Econ!B187)</f>
        <v>Archer_186</v>
      </c>
      <c r="B187" s="7" t="str">
        <f>"T"&amp;Econ!B187&amp;" "&amp;Econ!A187</f>
        <v>T186 Archer</v>
      </c>
      <c r="C187" s="8">
        <f>Econ!B187</f>
        <v>186</v>
      </c>
      <c r="D187" s="7"/>
      <c r="E187" s="9"/>
      <c r="F187" s="9"/>
      <c r="G187" s="10">
        <f>Econ!L187</f>
        <v>93922</v>
      </c>
      <c r="H187" s="11">
        <f>Econ!M187</f>
        <v>8176</v>
      </c>
      <c r="I187" s="11" t="str">
        <f>Econ!N187</f>
        <v/>
      </c>
      <c r="J187" s="12">
        <f>Econ!O187</f>
        <v>4204</v>
      </c>
      <c r="K187" s="13">
        <f>Econ!P187</f>
        <v>23480.5</v>
      </c>
      <c r="L187" s="14">
        <f>Econ!Q187</f>
        <v>2044</v>
      </c>
      <c r="M187" s="14">
        <f>Econ!R187</f>
        <v>0</v>
      </c>
      <c r="N187" s="13">
        <f>Econ!S187</f>
        <v>1051</v>
      </c>
      <c r="O187" s="13">
        <f>Econ!T187</f>
        <v>20</v>
      </c>
      <c r="P187" s="7" t="str">
        <f>Econ!A187</f>
        <v>Archer</v>
      </c>
      <c r="Q187" s="10">
        <f>Econ!C187</f>
        <v>1247704.056</v>
      </c>
      <c r="R187" s="10">
        <f>Econ!E187</f>
        <v>194.9852593</v>
      </c>
      <c r="S187" s="10">
        <f>Econ!G187</f>
        <v>831802.7042</v>
      </c>
      <c r="T187" s="10">
        <f>Econ!I187</f>
        <v>389.9705185</v>
      </c>
    </row>
    <row r="188">
      <c r="A188" s="7" t="str">
        <f>Econ!A188&amp;if(Econ!B188&lt;10,"_0"&amp;Econ!B188,"_"&amp;Econ!B188)</f>
        <v>Archer_187</v>
      </c>
      <c r="B188" s="7" t="str">
        <f>"T"&amp;Econ!B188&amp;" "&amp;Econ!A188</f>
        <v>T187 Archer</v>
      </c>
      <c r="C188" s="8">
        <f>Econ!B188</f>
        <v>187</v>
      </c>
      <c r="D188" s="7"/>
      <c r="E188" s="9"/>
      <c r="F188" s="9"/>
      <c r="G188" s="10">
        <f>Econ!L188</f>
        <v>94840</v>
      </c>
      <c r="H188" s="11">
        <f>Econ!M188</f>
        <v>8250</v>
      </c>
      <c r="I188" s="11" t="str">
        <f>Econ!N188</f>
        <v/>
      </c>
      <c r="J188" s="12">
        <f>Econ!O188</f>
        <v>4242</v>
      </c>
      <c r="K188" s="13">
        <f>Econ!P188</f>
        <v>23710</v>
      </c>
      <c r="L188" s="14">
        <f>Econ!Q188</f>
        <v>2062.5</v>
      </c>
      <c r="M188" s="14">
        <f>Econ!R188</f>
        <v>0</v>
      </c>
      <c r="N188" s="13">
        <f>Econ!S188</f>
        <v>1060.5</v>
      </c>
      <c r="O188" s="13">
        <f>Econ!T188</f>
        <v>20</v>
      </c>
      <c r="P188" s="7" t="str">
        <f>Econ!A188</f>
        <v>Archer</v>
      </c>
      <c r="Q188" s="10">
        <f>Econ!C188</f>
        <v>1310089.259</v>
      </c>
      <c r="R188" s="10">
        <f>Econ!E188</f>
        <v>198.8849645</v>
      </c>
      <c r="S188" s="10">
        <f>Econ!G188</f>
        <v>873392.8394</v>
      </c>
      <c r="T188" s="10">
        <f>Econ!I188</f>
        <v>397.7699289</v>
      </c>
    </row>
    <row r="189">
      <c r="A189" s="7" t="str">
        <f>Econ!A189&amp;if(Econ!B189&lt;10,"_0"&amp;Econ!B189,"_"&amp;Econ!B189)</f>
        <v>Archer_188</v>
      </c>
      <c r="B189" s="7" t="str">
        <f>"T"&amp;Econ!B189&amp;" "&amp;Econ!A189</f>
        <v>T188 Archer</v>
      </c>
      <c r="C189" s="8">
        <f>Econ!B189</f>
        <v>188</v>
      </c>
      <c r="D189" s="7"/>
      <c r="E189" s="9"/>
      <c r="F189" s="9"/>
      <c r="G189" s="10">
        <f>Econ!L189</f>
        <v>95761</v>
      </c>
      <c r="H189" s="11">
        <f>Econ!M189</f>
        <v>8325</v>
      </c>
      <c r="I189" s="11" t="str">
        <f>Econ!N189</f>
        <v/>
      </c>
      <c r="J189" s="12">
        <f>Econ!O189</f>
        <v>4280</v>
      </c>
      <c r="K189" s="13">
        <f>Econ!P189</f>
        <v>23940.25</v>
      </c>
      <c r="L189" s="14">
        <f>Econ!Q189</f>
        <v>2081.25</v>
      </c>
      <c r="M189" s="14">
        <f>Econ!R189</f>
        <v>0</v>
      </c>
      <c r="N189" s="13">
        <f>Econ!S189</f>
        <v>1070</v>
      </c>
      <c r="O189" s="13">
        <f>Econ!T189</f>
        <v>20</v>
      </c>
      <c r="P189" s="7" t="str">
        <f>Econ!A189</f>
        <v>Archer</v>
      </c>
      <c r="Q189" s="10">
        <f>Econ!C189</f>
        <v>1375593.722</v>
      </c>
      <c r="R189" s="10">
        <f>Econ!E189</f>
        <v>202.8626637</v>
      </c>
      <c r="S189" s="10">
        <f>Econ!G189</f>
        <v>917062.4814</v>
      </c>
      <c r="T189" s="10">
        <f>Econ!I189</f>
        <v>405.7253275</v>
      </c>
    </row>
    <row r="190">
      <c r="A190" s="7" t="str">
        <f>Econ!A190&amp;if(Econ!B190&lt;10,"_0"&amp;Econ!B190,"_"&amp;Econ!B190)</f>
        <v>Archer_189</v>
      </c>
      <c r="B190" s="7" t="str">
        <f>"T"&amp;Econ!B190&amp;" "&amp;Econ!A190</f>
        <v>T189 Archer</v>
      </c>
      <c r="C190" s="8">
        <f>Econ!B190</f>
        <v>189</v>
      </c>
      <c r="D190" s="7"/>
      <c r="E190" s="9"/>
      <c r="F190" s="9"/>
      <c r="G190" s="10">
        <f>Econ!L190</f>
        <v>96686</v>
      </c>
      <c r="H190" s="11">
        <f>Econ!M190</f>
        <v>8400</v>
      </c>
      <c r="I190" s="11" t="str">
        <f>Econ!N190</f>
        <v/>
      </c>
      <c r="J190" s="12">
        <f>Econ!O190</f>
        <v>4318</v>
      </c>
      <c r="K190" s="13">
        <f>Econ!P190</f>
        <v>24171.5</v>
      </c>
      <c r="L190" s="14">
        <f>Econ!Q190</f>
        <v>2100</v>
      </c>
      <c r="M190" s="14">
        <f>Econ!R190</f>
        <v>0</v>
      </c>
      <c r="N190" s="13">
        <f>Econ!S190</f>
        <v>1079.5</v>
      </c>
      <c r="O190" s="13">
        <f>Econ!T190</f>
        <v>20</v>
      </c>
      <c r="P190" s="7" t="str">
        <f>Econ!A190</f>
        <v>Archer</v>
      </c>
      <c r="Q190" s="10">
        <f>Econ!C190</f>
        <v>1444373.408</v>
      </c>
      <c r="R190" s="10">
        <f>Econ!E190</f>
        <v>206.919917</v>
      </c>
      <c r="S190" s="10">
        <f>Econ!G190</f>
        <v>962915.6055</v>
      </c>
      <c r="T190" s="10">
        <f>Econ!I190</f>
        <v>413.839834</v>
      </c>
    </row>
    <row r="191">
      <c r="A191" s="7" t="str">
        <f>Econ!A191&amp;if(Econ!B191&lt;10,"_0"&amp;Econ!B191,"_"&amp;Econ!B191)</f>
        <v>Archer_190</v>
      </c>
      <c r="B191" s="7" t="str">
        <f>"T"&amp;Econ!B191&amp;" "&amp;Econ!A191</f>
        <v>T190 Archer</v>
      </c>
      <c r="C191" s="8">
        <f>Econ!B191</f>
        <v>190</v>
      </c>
      <c r="D191" s="7"/>
      <c r="E191" s="9"/>
      <c r="F191" s="9"/>
      <c r="G191" s="10">
        <f>Econ!L191</f>
        <v>97614</v>
      </c>
      <c r="H191" s="11">
        <f>Econ!M191</f>
        <v>8475</v>
      </c>
      <c r="I191" s="11" t="str">
        <f>Econ!N191</f>
        <v/>
      </c>
      <c r="J191" s="12">
        <f>Econ!O191</f>
        <v>4356</v>
      </c>
      <c r="K191" s="13">
        <f>Econ!P191</f>
        <v>24403.5</v>
      </c>
      <c r="L191" s="14">
        <f>Econ!Q191</f>
        <v>2118.75</v>
      </c>
      <c r="M191" s="14">
        <f>Econ!R191</f>
        <v>0</v>
      </c>
      <c r="N191" s="13">
        <f>Econ!S191</f>
        <v>1089</v>
      </c>
      <c r="O191" s="13">
        <f>Econ!T191</f>
        <v>20</v>
      </c>
      <c r="P191" s="7" t="str">
        <f>Econ!A191</f>
        <v>Archer</v>
      </c>
      <c r="Q191" s="10">
        <f>Econ!C191</f>
        <v>1516592.079</v>
      </c>
      <c r="R191" s="10">
        <f>Econ!E191</f>
        <v>211.0583154</v>
      </c>
      <c r="S191" s="10">
        <f>Econ!G191</f>
        <v>1011061.386</v>
      </c>
      <c r="T191" s="10">
        <f>Econ!I191</f>
        <v>422.1166307</v>
      </c>
    </row>
    <row r="192">
      <c r="A192" s="7" t="str">
        <f>Econ!A192&amp;if(Econ!B192&lt;10,"_0"&amp;Econ!B192,"_"&amp;Econ!B192)</f>
        <v>Archer_191</v>
      </c>
      <c r="B192" s="7" t="str">
        <f>"T"&amp;Econ!B192&amp;" "&amp;Econ!A192</f>
        <v>T191 Archer</v>
      </c>
      <c r="C192" s="8">
        <f>Econ!B192</f>
        <v>191</v>
      </c>
      <c r="D192" s="7"/>
      <c r="E192" s="9"/>
      <c r="F192" s="9"/>
      <c r="G192" s="10">
        <f>Econ!L192</f>
        <v>98545</v>
      </c>
      <c r="H192" s="11">
        <f>Econ!M192</f>
        <v>8550</v>
      </c>
      <c r="I192" s="11" t="str">
        <f>Econ!N192</f>
        <v/>
      </c>
      <c r="J192" s="12">
        <f>Econ!O192</f>
        <v>4394</v>
      </c>
      <c r="K192" s="13">
        <f>Econ!P192</f>
        <v>24636.25</v>
      </c>
      <c r="L192" s="14">
        <f>Econ!Q192</f>
        <v>2137.5</v>
      </c>
      <c r="M192" s="14">
        <f>Econ!R192</f>
        <v>0</v>
      </c>
      <c r="N192" s="13">
        <f>Econ!S192</f>
        <v>1098.5</v>
      </c>
      <c r="O192" s="13">
        <f>Econ!T192</f>
        <v>20</v>
      </c>
      <c r="P192" s="7" t="str">
        <f>Econ!A192</f>
        <v>Archer</v>
      </c>
      <c r="Q192" s="10">
        <f>Econ!C192</f>
        <v>1592421.683</v>
      </c>
      <c r="R192" s="10">
        <f>Econ!E192</f>
        <v>215.2794817</v>
      </c>
      <c r="S192" s="10">
        <f>Econ!G192</f>
        <v>1061614.455</v>
      </c>
      <c r="T192" s="10">
        <f>Econ!I192</f>
        <v>430.5589633</v>
      </c>
    </row>
    <row r="193">
      <c r="A193" s="7" t="str">
        <f>Econ!A193&amp;if(Econ!B193&lt;10,"_0"&amp;Econ!B193,"_"&amp;Econ!B193)</f>
        <v>Archer_192</v>
      </c>
      <c r="B193" s="7" t="str">
        <f>"T"&amp;Econ!B193&amp;" "&amp;Econ!A193</f>
        <v>T192 Archer</v>
      </c>
      <c r="C193" s="8">
        <f>Econ!B193</f>
        <v>192</v>
      </c>
      <c r="D193" s="7"/>
      <c r="E193" s="9"/>
      <c r="F193" s="9"/>
      <c r="G193" s="10">
        <f>Econ!L193</f>
        <v>99480</v>
      </c>
      <c r="H193" s="11">
        <f>Econ!M193</f>
        <v>8626</v>
      </c>
      <c r="I193" s="11" t="str">
        <f>Econ!N193</f>
        <v/>
      </c>
      <c r="J193" s="12">
        <f>Econ!O193</f>
        <v>4432</v>
      </c>
      <c r="K193" s="13">
        <f>Econ!P193</f>
        <v>24870</v>
      </c>
      <c r="L193" s="14">
        <f>Econ!Q193</f>
        <v>2156.5</v>
      </c>
      <c r="M193" s="14">
        <f>Econ!R193</f>
        <v>0</v>
      </c>
      <c r="N193" s="13">
        <f>Econ!S193</f>
        <v>1108</v>
      </c>
      <c r="O193" s="13">
        <f>Econ!T193</f>
        <v>20</v>
      </c>
      <c r="P193" s="7" t="str">
        <f>Econ!A193</f>
        <v>Archer</v>
      </c>
      <c r="Q193" s="10">
        <f>Econ!C193</f>
        <v>1672042.767</v>
      </c>
      <c r="R193" s="10">
        <f>Econ!E193</f>
        <v>219.5850713</v>
      </c>
      <c r="S193" s="10">
        <f>Econ!G193</f>
        <v>1114695.178</v>
      </c>
      <c r="T193" s="10">
        <f>Econ!I193</f>
        <v>439.1701426</v>
      </c>
    </row>
    <row r="194">
      <c r="A194" s="7" t="str">
        <f>Econ!A194&amp;if(Econ!B194&lt;10,"_0"&amp;Econ!B194,"_"&amp;Econ!B194)</f>
        <v>Archer_193</v>
      </c>
      <c r="B194" s="7" t="str">
        <f>"T"&amp;Econ!B194&amp;" "&amp;Econ!A194</f>
        <v>T193 Archer</v>
      </c>
      <c r="C194" s="8">
        <f>Econ!B194</f>
        <v>193</v>
      </c>
      <c r="D194" s="7"/>
      <c r="E194" s="9"/>
      <c r="F194" s="9"/>
      <c r="G194" s="10">
        <f>Econ!L194</f>
        <v>100418</v>
      </c>
      <c r="H194" s="11">
        <f>Econ!M194</f>
        <v>8702</v>
      </c>
      <c r="I194" s="11" t="str">
        <f>Econ!N194</f>
        <v/>
      </c>
      <c r="J194" s="12">
        <f>Econ!O194</f>
        <v>4470</v>
      </c>
      <c r="K194" s="13">
        <f>Econ!P194</f>
        <v>25104.5</v>
      </c>
      <c r="L194" s="14">
        <f>Econ!Q194</f>
        <v>2175.5</v>
      </c>
      <c r="M194" s="14">
        <f>Econ!R194</f>
        <v>0</v>
      </c>
      <c r="N194" s="13">
        <f>Econ!S194</f>
        <v>1117.5</v>
      </c>
      <c r="O194" s="13">
        <f>Econ!T194</f>
        <v>20</v>
      </c>
      <c r="P194" s="7" t="str">
        <f>Econ!A194</f>
        <v>Archer</v>
      </c>
      <c r="Q194" s="10">
        <f>Econ!C194</f>
        <v>1755644.905</v>
      </c>
      <c r="R194" s="10">
        <f>Econ!E194</f>
        <v>223.9767727</v>
      </c>
      <c r="S194" s="10">
        <f>Econ!G194</f>
        <v>1170429.937</v>
      </c>
      <c r="T194" s="10">
        <f>Econ!I194</f>
        <v>447.9535455</v>
      </c>
    </row>
    <row r="195">
      <c r="A195" s="7" t="str">
        <f>Econ!A195&amp;if(Econ!B195&lt;10,"_0"&amp;Econ!B195,"_"&amp;Econ!B195)</f>
        <v>Archer_194</v>
      </c>
      <c r="B195" s="7" t="str">
        <f>"T"&amp;Econ!B195&amp;" "&amp;Econ!A195</f>
        <v>T194 Archer</v>
      </c>
      <c r="C195" s="8">
        <f>Econ!B195</f>
        <v>194</v>
      </c>
      <c r="D195" s="7"/>
      <c r="E195" s="9"/>
      <c r="F195" s="9"/>
      <c r="G195" s="10">
        <f>Econ!L195</f>
        <v>101360</v>
      </c>
      <c r="H195" s="11">
        <f>Econ!M195</f>
        <v>8778</v>
      </c>
      <c r="I195" s="11" t="str">
        <f>Econ!N195</f>
        <v/>
      </c>
      <c r="J195" s="12">
        <f>Econ!O195</f>
        <v>4509</v>
      </c>
      <c r="K195" s="13">
        <f>Econ!P195</f>
        <v>25340</v>
      </c>
      <c r="L195" s="14">
        <f>Econ!Q195</f>
        <v>2194.5</v>
      </c>
      <c r="M195" s="14">
        <f>Econ!R195</f>
        <v>0</v>
      </c>
      <c r="N195" s="13">
        <f>Econ!S195</f>
        <v>1127.25</v>
      </c>
      <c r="O195" s="13">
        <f>Econ!T195</f>
        <v>20</v>
      </c>
      <c r="P195" s="7" t="str">
        <f>Econ!A195</f>
        <v>Archer</v>
      </c>
      <c r="Q195" s="10">
        <f>Econ!C195</f>
        <v>1843427.15</v>
      </c>
      <c r="R195" s="10">
        <f>Econ!E195</f>
        <v>228.4563082</v>
      </c>
      <c r="S195" s="10">
        <f>Econ!G195</f>
        <v>1228951.434</v>
      </c>
      <c r="T195" s="10">
        <f>Econ!I195</f>
        <v>456.9126164</v>
      </c>
    </row>
    <row r="196">
      <c r="A196" s="7" t="str">
        <f>Econ!A196&amp;if(Econ!B196&lt;10,"_0"&amp;Econ!B196,"_"&amp;Econ!B196)</f>
        <v>Archer_195</v>
      </c>
      <c r="B196" s="7" t="str">
        <f>"T"&amp;Econ!B196&amp;" "&amp;Econ!A196</f>
        <v>T195 Archer</v>
      </c>
      <c r="C196" s="8">
        <f>Econ!B196</f>
        <v>195</v>
      </c>
      <c r="D196" s="7"/>
      <c r="E196" s="9"/>
      <c r="F196" s="9"/>
      <c r="G196" s="10">
        <f>Econ!L196</f>
        <v>102305</v>
      </c>
      <c r="H196" s="11">
        <f>Econ!M196</f>
        <v>8855</v>
      </c>
      <c r="I196" s="11" t="str">
        <f>Econ!N196</f>
        <v/>
      </c>
      <c r="J196" s="12">
        <f>Econ!O196</f>
        <v>4548</v>
      </c>
      <c r="K196" s="13">
        <f>Econ!P196</f>
        <v>25576.25</v>
      </c>
      <c r="L196" s="14">
        <f>Econ!Q196</f>
        <v>2213.75</v>
      </c>
      <c r="M196" s="14">
        <f>Econ!R196</f>
        <v>0</v>
      </c>
      <c r="N196" s="13">
        <f>Econ!S196</f>
        <v>1137</v>
      </c>
      <c r="O196" s="13">
        <f>Econ!T196</f>
        <v>21</v>
      </c>
      <c r="P196" s="7" t="str">
        <f>Econ!A196</f>
        <v>Archer</v>
      </c>
      <c r="Q196" s="10">
        <f>Econ!C196</f>
        <v>1935598.508</v>
      </c>
      <c r="R196" s="10">
        <f>Econ!E196</f>
        <v>233.0254343</v>
      </c>
      <c r="S196" s="10">
        <f>Econ!G196</f>
        <v>1290399.005</v>
      </c>
      <c r="T196" s="10">
        <f>Econ!I196</f>
        <v>466.0508687</v>
      </c>
    </row>
    <row r="197">
      <c r="A197" s="7" t="str">
        <f>Econ!A197&amp;if(Econ!B197&lt;10,"_0"&amp;Econ!B197,"_"&amp;Econ!B197)</f>
        <v>Archer_196</v>
      </c>
      <c r="B197" s="7" t="str">
        <f>"T"&amp;Econ!B197&amp;" "&amp;Econ!A197</f>
        <v>T196 Archer</v>
      </c>
      <c r="C197" s="8">
        <f>Econ!B197</f>
        <v>196</v>
      </c>
      <c r="D197" s="7"/>
      <c r="E197" s="9"/>
      <c r="F197" s="9"/>
      <c r="G197" s="10">
        <f>Econ!L197</f>
        <v>103253</v>
      </c>
      <c r="H197" s="11">
        <f>Econ!M197</f>
        <v>8932</v>
      </c>
      <c r="I197" s="11" t="str">
        <f>Econ!N197</f>
        <v/>
      </c>
      <c r="J197" s="12">
        <f>Econ!O197</f>
        <v>4587</v>
      </c>
      <c r="K197" s="13">
        <f>Econ!P197</f>
        <v>25813.25</v>
      </c>
      <c r="L197" s="14">
        <f>Econ!Q197</f>
        <v>2233</v>
      </c>
      <c r="M197" s="14">
        <f>Econ!R197</f>
        <v>0</v>
      </c>
      <c r="N197" s="13">
        <f>Econ!S197</f>
        <v>1146.75</v>
      </c>
      <c r="O197" s="13">
        <f>Econ!T197</f>
        <v>21</v>
      </c>
      <c r="P197" s="7" t="str">
        <f>Econ!A197</f>
        <v>Archer</v>
      </c>
      <c r="Q197" s="10">
        <f>Econ!C197</f>
        <v>2032378.433</v>
      </c>
      <c r="R197" s="10">
        <f>Econ!E197</f>
        <v>237.685943</v>
      </c>
      <c r="S197" s="10">
        <f>Econ!G197</f>
        <v>1354918.955</v>
      </c>
      <c r="T197" s="10">
        <f>Econ!I197</f>
        <v>475.3718861</v>
      </c>
    </row>
    <row r="198">
      <c r="A198" s="7" t="str">
        <f>Econ!A198&amp;if(Econ!B198&lt;10,"_0"&amp;Econ!B198,"_"&amp;Econ!B198)</f>
        <v>Archer_197</v>
      </c>
      <c r="B198" s="7" t="str">
        <f>"T"&amp;Econ!B198&amp;" "&amp;Econ!A198</f>
        <v>T197 Archer</v>
      </c>
      <c r="C198" s="8">
        <f>Econ!B198</f>
        <v>197</v>
      </c>
      <c r="D198" s="7"/>
      <c r="E198" s="9"/>
      <c r="F198" s="9"/>
      <c r="G198" s="10">
        <f>Econ!L198</f>
        <v>104205</v>
      </c>
      <c r="H198" s="11">
        <f>Econ!M198</f>
        <v>9009</v>
      </c>
      <c r="I198" s="11" t="str">
        <f>Econ!N198</f>
        <v/>
      </c>
      <c r="J198" s="12">
        <f>Econ!O198</f>
        <v>4626</v>
      </c>
      <c r="K198" s="13">
        <f>Econ!P198</f>
        <v>26051.25</v>
      </c>
      <c r="L198" s="14">
        <f>Econ!Q198</f>
        <v>2252.25</v>
      </c>
      <c r="M198" s="14">
        <f>Econ!R198</f>
        <v>0</v>
      </c>
      <c r="N198" s="13">
        <f>Econ!S198</f>
        <v>1156.5</v>
      </c>
      <c r="O198" s="13">
        <f>Econ!T198</f>
        <v>21</v>
      </c>
      <c r="P198" s="7" t="str">
        <f>Econ!A198</f>
        <v>Archer</v>
      </c>
      <c r="Q198" s="10">
        <f>Econ!C198</f>
        <v>2133997.355</v>
      </c>
      <c r="R198" s="10">
        <f>Econ!E198</f>
        <v>242.4396619</v>
      </c>
      <c r="S198" s="10">
        <f>Econ!G198</f>
        <v>1422664.903</v>
      </c>
      <c r="T198" s="10">
        <f>Econ!I198</f>
        <v>484.8793238</v>
      </c>
    </row>
    <row r="199">
      <c r="A199" s="7" t="str">
        <f>Econ!A199&amp;if(Econ!B199&lt;10,"_0"&amp;Econ!B199,"_"&amp;Econ!B199)</f>
        <v>Archer_198</v>
      </c>
      <c r="B199" s="7" t="str">
        <f>"T"&amp;Econ!B199&amp;" "&amp;Econ!A199</f>
        <v>T198 Archer</v>
      </c>
      <c r="C199" s="8">
        <f>Econ!B199</f>
        <v>198</v>
      </c>
      <c r="D199" s="7"/>
      <c r="E199" s="9"/>
      <c r="F199" s="9"/>
      <c r="G199" s="10">
        <f>Econ!L199</f>
        <v>105160</v>
      </c>
      <c r="H199" s="11">
        <f>Econ!M199</f>
        <v>9086</v>
      </c>
      <c r="I199" s="11" t="str">
        <f>Econ!N199</f>
        <v/>
      </c>
      <c r="J199" s="12">
        <f>Econ!O199</f>
        <v>4665</v>
      </c>
      <c r="K199" s="13">
        <f>Econ!P199</f>
        <v>26290</v>
      </c>
      <c r="L199" s="14">
        <f>Econ!Q199</f>
        <v>2271.5</v>
      </c>
      <c r="M199" s="14">
        <f>Econ!R199</f>
        <v>0</v>
      </c>
      <c r="N199" s="13">
        <f>Econ!S199</f>
        <v>1166.25</v>
      </c>
      <c r="O199" s="13">
        <f>Econ!T199</f>
        <v>21</v>
      </c>
      <c r="P199" s="7" t="str">
        <f>Econ!A199</f>
        <v>Archer</v>
      </c>
      <c r="Q199" s="10">
        <f>Econ!C199</f>
        <v>2240697.223</v>
      </c>
      <c r="R199" s="10">
        <f>Econ!E199</f>
        <v>247.2884551</v>
      </c>
      <c r="S199" s="10">
        <f>Econ!G199</f>
        <v>1493798.148</v>
      </c>
      <c r="T199" s="10">
        <f>Econ!I199</f>
        <v>494.5769103</v>
      </c>
    </row>
    <row r="200">
      <c r="A200" s="7" t="str">
        <f>Econ!A200&amp;if(Econ!B200&lt;10,"_0"&amp;Econ!B200,"_"&amp;Econ!B200)</f>
        <v>Archer_199</v>
      </c>
      <c r="B200" s="7" t="str">
        <f>"T"&amp;Econ!B200&amp;" "&amp;Econ!A200</f>
        <v>T199 Archer</v>
      </c>
      <c r="C200" s="8">
        <f>Econ!B200</f>
        <v>199</v>
      </c>
      <c r="D200" s="7"/>
      <c r="E200" s="9"/>
      <c r="F200" s="9"/>
      <c r="G200" s="10">
        <f>Econ!L200</f>
        <v>106119</v>
      </c>
      <c r="H200" s="11">
        <f>Econ!M200</f>
        <v>9164</v>
      </c>
      <c r="I200" s="11" t="str">
        <f>Econ!N200</f>
        <v/>
      </c>
      <c r="J200" s="12">
        <f>Econ!O200</f>
        <v>4704</v>
      </c>
      <c r="K200" s="13">
        <f>Econ!P200</f>
        <v>26529.75</v>
      </c>
      <c r="L200" s="14">
        <f>Econ!Q200</f>
        <v>2291</v>
      </c>
      <c r="M200" s="14">
        <f>Econ!R200</f>
        <v>0</v>
      </c>
      <c r="N200" s="13">
        <f>Econ!S200</f>
        <v>1176</v>
      </c>
      <c r="O200" s="13">
        <f>Econ!T200</f>
        <v>21</v>
      </c>
      <c r="P200" s="7" t="str">
        <f>Econ!A200</f>
        <v>Archer</v>
      </c>
      <c r="Q200" s="10">
        <f>Econ!C200</f>
        <v>2352732.084</v>
      </c>
      <c r="R200" s="10">
        <f>Econ!E200</f>
        <v>252.2342242</v>
      </c>
      <c r="S200" s="10">
        <f>Econ!G200</f>
        <v>1568488.056</v>
      </c>
      <c r="T200" s="10">
        <f>Econ!I200</f>
        <v>504.4684485</v>
      </c>
    </row>
    <row r="201">
      <c r="A201" s="7" t="str">
        <f>Econ!A201&amp;if(Econ!B201&lt;10,"_0"&amp;Econ!B201,"_"&amp;Econ!B201)</f>
        <v>Archer_200</v>
      </c>
      <c r="B201" s="7" t="str">
        <f>"T"&amp;Econ!B201&amp;" "&amp;Econ!A201</f>
        <v>T200 Archer</v>
      </c>
      <c r="C201" s="8">
        <f>Econ!B201</f>
        <v>200</v>
      </c>
      <c r="D201" s="7"/>
      <c r="E201" s="9"/>
      <c r="F201" s="9"/>
      <c r="G201" s="10">
        <f>Econ!L201</f>
        <v>107081</v>
      </c>
      <c r="H201" s="11">
        <f>Econ!M201</f>
        <v>9242</v>
      </c>
      <c r="I201" s="11">
        <f>Econ!N201</f>
        <v>924.2</v>
      </c>
      <c r="J201" s="12">
        <f>Econ!O201</f>
        <v>4743</v>
      </c>
      <c r="K201" s="13">
        <f>Econ!P201</f>
        <v>26770.25</v>
      </c>
      <c r="L201" s="14">
        <f>Econ!Q201</f>
        <v>2310.5</v>
      </c>
      <c r="M201" s="14">
        <f>Econ!R201</f>
        <v>231.05</v>
      </c>
      <c r="N201" s="13">
        <f>Econ!S201</f>
        <v>1185.75</v>
      </c>
      <c r="O201" s="13">
        <f>Econ!T201</f>
        <v>21</v>
      </c>
      <c r="P201" s="7" t="str">
        <f>Econ!A201</f>
        <v>Archer</v>
      </c>
      <c r="Q201" s="10">
        <f>Econ!C201</f>
        <v>2470368.688</v>
      </c>
      <c r="R201" s="10">
        <f>Econ!E201</f>
        <v>257.2789087</v>
      </c>
      <c r="S201" s="10">
        <f>Econ!G201</f>
        <v>1646912.459</v>
      </c>
      <c r="T201" s="10">
        <f>Econ!I201</f>
        <v>514.5578174</v>
      </c>
    </row>
    <row r="202">
      <c r="A202" s="7" t="str">
        <f>Econ!A202&amp;if(Econ!B202&lt;10,"_0"&amp;Econ!B202,"_"&amp;Econ!B202)</f>
        <v>Archer_201</v>
      </c>
      <c r="B202" s="7" t="str">
        <f>"T"&amp;Econ!B202&amp;" "&amp;Econ!A202</f>
        <v>T201 Archer</v>
      </c>
      <c r="C202" s="8">
        <f>Econ!B202</f>
        <v>201</v>
      </c>
      <c r="D202" s="7"/>
      <c r="E202" s="9"/>
      <c r="F202" s="9"/>
      <c r="G202" s="10">
        <f>Econ!L202</f>
        <v>108046</v>
      </c>
      <c r="H202" s="11">
        <f>Econ!M202</f>
        <v>9320</v>
      </c>
      <c r="I202" s="11">
        <f>Econ!N202</f>
        <v>964</v>
      </c>
      <c r="J202" s="12">
        <f>Econ!O202</f>
        <v>4783</v>
      </c>
      <c r="K202" s="13">
        <f>Econ!P202</f>
        <v>27011.5</v>
      </c>
      <c r="L202" s="14">
        <f>Econ!Q202</f>
        <v>2330</v>
      </c>
      <c r="M202" s="14">
        <f>Econ!R202</f>
        <v>241</v>
      </c>
      <c r="N202" s="13">
        <f>Econ!S202</f>
        <v>1195.75</v>
      </c>
      <c r="O202" s="13">
        <f>Econ!T202</f>
        <v>21</v>
      </c>
      <c r="P202" s="7" t="str">
        <f>Econ!A202</f>
        <v>Archer</v>
      </c>
      <c r="Q202" s="10">
        <f>Econ!C202</f>
        <v>2593887.122</v>
      </c>
      <c r="R202" s="10">
        <f>Econ!E202</f>
        <v>262.4244869</v>
      </c>
      <c r="S202" s="10">
        <f>Econ!G202</f>
        <v>1729258.082</v>
      </c>
      <c r="T202" s="10">
        <f>Econ!I202</f>
        <v>524.8489738</v>
      </c>
    </row>
    <row r="203">
      <c r="A203" s="7" t="str">
        <f>Econ!A203&amp;if(Econ!B203&lt;10,"_0"&amp;Econ!B203,"_"&amp;Econ!B203)</f>
        <v>Archer_202</v>
      </c>
      <c r="B203" s="7" t="str">
        <f>"T"&amp;Econ!B203&amp;" "&amp;Econ!A203</f>
        <v>T202 Archer</v>
      </c>
      <c r="C203" s="8">
        <f>Econ!B203</f>
        <v>202</v>
      </c>
      <c r="D203" s="7"/>
      <c r="E203" s="9"/>
      <c r="F203" s="9"/>
      <c r="G203" s="10">
        <f>Econ!L203</f>
        <v>109015</v>
      </c>
      <c r="H203" s="11">
        <f>Econ!M203</f>
        <v>9398</v>
      </c>
      <c r="I203" s="11">
        <f>Econ!N203</f>
        <v>1004</v>
      </c>
      <c r="J203" s="12">
        <f>Econ!O203</f>
        <v>4823</v>
      </c>
      <c r="K203" s="13">
        <f>Econ!P203</f>
        <v>27253.75</v>
      </c>
      <c r="L203" s="14">
        <f>Econ!Q203</f>
        <v>2349.5</v>
      </c>
      <c r="M203" s="14">
        <f>Econ!R203</f>
        <v>251</v>
      </c>
      <c r="N203" s="13">
        <f>Econ!S203</f>
        <v>1205.75</v>
      </c>
      <c r="O203" s="13">
        <f>Econ!T203</f>
        <v>21</v>
      </c>
      <c r="P203" s="7" t="str">
        <f>Econ!A203</f>
        <v>Archer</v>
      </c>
      <c r="Q203" s="10">
        <f>Econ!C203</f>
        <v>2723581.478</v>
      </c>
      <c r="R203" s="10">
        <f>Econ!E203</f>
        <v>267.6729766</v>
      </c>
      <c r="S203" s="10">
        <f>Econ!G203</f>
        <v>1815720.986</v>
      </c>
      <c r="T203" s="10">
        <f>Econ!I203</f>
        <v>535.3459533</v>
      </c>
    </row>
    <row r="204">
      <c r="A204" s="7" t="str">
        <f>Econ!A204&amp;if(Econ!B204&lt;10,"_0"&amp;Econ!B204,"_"&amp;Econ!B204)</f>
        <v>Archer_203</v>
      </c>
      <c r="B204" s="7" t="str">
        <f>"T"&amp;Econ!B204&amp;" "&amp;Econ!A204</f>
        <v>T203 Archer</v>
      </c>
      <c r="C204" s="8">
        <f>Econ!B204</f>
        <v>203</v>
      </c>
      <c r="D204" s="7"/>
      <c r="E204" s="9"/>
      <c r="F204" s="9"/>
      <c r="G204" s="10">
        <f>Econ!L204</f>
        <v>109987</v>
      </c>
      <c r="H204" s="11">
        <f>Econ!M204</f>
        <v>9477</v>
      </c>
      <c r="I204" s="11">
        <f>Econ!N204</f>
        <v>1044</v>
      </c>
      <c r="J204" s="12">
        <f>Econ!O204</f>
        <v>4863</v>
      </c>
      <c r="K204" s="13">
        <f>Econ!P204</f>
        <v>27496.75</v>
      </c>
      <c r="L204" s="14">
        <f>Econ!Q204</f>
        <v>2369.25</v>
      </c>
      <c r="M204" s="14">
        <f>Econ!R204</f>
        <v>261</v>
      </c>
      <c r="N204" s="13">
        <f>Econ!S204</f>
        <v>1215.75</v>
      </c>
      <c r="O204" s="13">
        <f>Econ!T204</f>
        <v>21</v>
      </c>
      <c r="P204" s="7" t="str">
        <f>Econ!A204</f>
        <v>Archer</v>
      </c>
      <c r="Q204" s="10">
        <f>Econ!C204</f>
        <v>2859760.552</v>
      </c>
      <c r="R204" s="10">
        <f>Econ!E204</f>
        <v>273.0264362</v>
      </c>
      <c r="S204" s="10">
        <f>Econ!G204</f>
        <v>1906507.035</v>
      </c>
      <c r="T204" s="10">
        <f>Econ!I204</f>
        <v>546.0528723</v>
      </c>
    </row>
    <row r="205">
      <c r="A205" s="7" t="str">
        <f>Econ!A205&amp;if(Econ!B205&lt;10,"_0"&amp;Econ!B205,"_"&amp;Econ!B205)</f>
        <v>Archer_204</v>
      </c>
      <c r="B205" s="7" t="str">
        <f>"T"&amp;Econ!B205&amp;" "&amp;Econ!A205</f>
        <v>T204 Archer</v>
      </c>
      <c r="C205" s="8">
        <f>Econ!B205</f>
        <v>204</v>
      </c>
      <c r="D205" s="7"/>
      <c r="E205" s="9"/>
      <c r="F205" s="9"/>
      <c r="G205" s="10">
        <f>Econ!L205</f>
        <v>110963</v>
      </c>
      <c r="H205" s="11">
        <f>Econ!M205</f>
        <v>9556</v>
      </c>
      <c r="I205" s="11">
        <f>Econ!N205</f>
        <v>1084</v>
      </c>
      <c r="J205" s="12">
        <f>Econ!O205</f>
        <v>4903</v>
      </c>
      <c r="K205" s="13">
        <f>Econ!P205</f>
        <v>27740.75</v>
      </c>
      <c r="L205" s="14">
        <f>Econ!Q205</f>
        <v>2389</v>
      </c>
      <c r="M205" s="14">
        <f>Econ!R205</f>
        <v>271</v>
      </c>
      <c r="N205" s="13">
        <f>Econ!S205</f>
        <v>1225.75</v>
      </c>
      <c r="O205" s="13">
        <f>Econ!T205</f>
        <v>21</v>
      </c>
      <c r="P205" s="7" t="str">
        <f>Econ!A205</f>
        <v>Archer</v>
      </c>
      <c r="Q205" s="10">
        <f>Econ!C205</f>
        <v>3002748.58</v>
      </c>
      <c r="R205" s="10">
        <f>Econ!E205</f>
        <v>278.4869649</v>
      </c>
      <c r="S205" s="10">
        <f>Econ!G205</f>
        <v>2001832.387</v>
      </c>
      <c r="T205" s="10">
        <f>Econ!I205</f>
        <v>556.9739298</v>
      </c>
    </row>
    <row r="206">
      <c r="A206" s="7" t="str">
        <f>Econ!A206&amp;if(Econ!B206&lt;10,"_0"&amp;Econ!B206,"_"&amp;Econ!B206)</f>
        <v>Archer_205</v>
      </c>
      <c r="B206" s="7" t="str">
        <f>"T"&amp;Econ!B206&amp;" "&amp;Econ!A206</f>
        <v>T205 Archer</v>
      </c>
      <c r="C206" s="8">
        <f>Econ!B206</f>
        <v>205</v>
      </c>
      <c r="D206" s="7"/>
      <c r="E206" s="9"/>
      <c r="F206" s="9"/>
      <c r="G206" s="10">
        <f>Econ!L206</f>
        <v>111942</v>
      </c>
      <c r="H206" s="11">
        <f>Econ!M206</f>
        <v>9635</v>
      </c>
      <c r="I206" s="11">
        <f>Econ!N206</f>
        <v>1124</v>
      </c>
      <c r="J206" s="12">
        <f>Econ!O206</f>
        <v>4943</v>
      </c>
      <c r="K206" s="13">
        <f>Econ!P206</f>
        <v>27985.5</v>
      </c>
      <c r="L206" s="14">
        <f>Econ!Q206</f>
        <v>2408.75</v>
      </c>
      <c r="M206" s="14">
        <f>Econ!R206</f>
        <v>281</v>
      </c>
      <c r="N206" s="13">
        <f>Econ!S206</f>
        <v>1235.75</v>
      </c>
      <c r="O206" s="13">
        <f>Econ!T206</f>
        <v>22</v>
      </c>
      <c r="P206" s="7" t="str">
        <f>Econ!A206</f>
        <v>Archer</v>
      </c>
      <c r="Q206" s="10">
        <f>Econ!C206</f>
        <v>3152886.009</v>
      </c>
      <c r="R206" s="10">
        <f>Econ!E206</f>
        <v>284.0567042</v>
      </c>
      <c r="S206" s="10">
        <f>Econ!G206</f>
        <v>2101924.006</v>
      </c>
      <c r="T206" s="10">
        <f>Econ!I206</f>
        <v>568.1134084</v>
      </c>
    </row>
    <row r="207">
      <c r="A207" s="7" t="str">
        <f>Econ!A207&amp;if(Econ!B207&lt;10,"_0"&amp;Econ!B207,"_"&amp;Econ!B207)</f>
        <v>Archer_206</v>
      </c>
      <c r="B207" s="7" t="str">
        <f>"T"&amp;Econ!B207&amp;" "&amp;Econ!A207</f>
        <v>T206 Archer</v>
      </c>
      <c r="C207" s="8">
        <f>Econ!B207</f>
        <v>206</v>
      </c>
      <c r="D207" s="7"/>
      <c r="E207" s="9"/>
      <c r="F207" s="9"/>
      <c r="G207" s="10">
        <f>Econ!L207</f>
        <v>112924</v>
      </c>
      <c r="H207" s="11">
        <f>Econ!M207</f>
        <v>9714</v>
      </c>
      <c r="I207" s="11">
        <f>Econ!N207</f>
        <v>1164</v>
      </c>
      <c r="J207" s="12">
        <f>Econ!O207</f>
        <v>4983</v>
      </c>
      <c r="K207" s="13">
        <f>Econ!P207</f>
        <v>28231</v>
      </c>
      <c r="L207" s="14">
        <f>Econ!Q207</f>
        <v>2428.5</v>
      </c>
      <c r="M207" s="14">
        <f>Econ!R207</f>
        <v>291</v>
      </c>
      <c r="N207" s="13">
        <f>Econ!S207</f>
        <v>1245.75</v>
      </c>
      <c r="O207" s="13">
        <f>Econ!T207</f>
        <v>22</v>
      </c>
      <c r="P207" s="7" t="str">
        <f>Econ!A207</f>
        <v>Archer</v>
      </c>
      <c r="Q207" s="10">
        <f>Econ!C207</f>
        <v>3310530.309</v>
      </c>
      <c r="R207" s="10">
        <f>Econ!E207</f>
        <v>289.7378383</v>
      </c>
      <c r="S207" s="10">
        <f>Econ!G207</f>
        <v>2207020.206</v>
      </c>
      <c r="T207" s="10">
        <f>Econ!I207</f>
        <v>579.4756765</v>
      </c>
    </row>
    <row r="208">
      <c r="A208" s="7" t="str">
        <f>Econ!A208&amp;if(Econ!B208&lt;10,"_0"&amp;Econ!B208,"_"&amp;Econ!B208)</f>
        <v>Archer_207</v>
      </c>
      <c r="B208" s="7" t="str">
        <f>"T"&amp;Econ!B208&amp;" "&amp;Econ!A208</f>
        <v>T207 Archer</v>
      </c>
      <c r="C208" s="8">
        <f>Econ!B208</f>
        <v>207</v>
      </c>
      <c r="D208" s="7"/>
      <c r="E208" s="9"/>
      <c r="F208" s="9"/>
      <c r="G208" s="10">
        <f>Econ!L208</f>
        <v>113910</v>
      </c>
      <c r="H208" s="11">
        <f>Econ!M208</f>
        <v>9794</v>
      </c>
      <c r="I208" s="11">
        <f>Econ!N208</f>
        <v>1204</v>
      </c>
      <c r="J208" s="12">
        <f>Econ!O208</f>
        <v>5023</v>
      </c>
      <c r="K208" s="13">
        <f>Econ!P208</f>
        <v>28477.5</v>
      </c>
      <c r="L208" s="14">
        <f>Econ!Q208</f>
        <v>2448.5</v>
      </c>
      <c r="M208" s="14">
        <f>Econ!R208</f>
        <v>301</v>
      </c>
      <c r="N208" s="13">
        <f>Econ!S208</f>
        <v>1255.75</v>
      </c>
      <c r="O208" s="13">
        <f>Econ!T208</f>
        <v>22</v>
      </c>
      <c r="P208" s="7" t="str">
        <f>Econ!A208</f>
        <v>Archer</v>
      </c>
      <c r="Q208" s="10">
        <f>Econ!C208</f>
        <v>3476056.825</v>
      </c>
      <c r="R208" s="10">
        <f>Econ!E208</f>
        <v>295.532595</v>
      </c>
      <c r="S208" s="10">
        <f>Econ!G208</f>
        <v>2317371.217</v>
      </c>
      <c r="T208" s="10">
        <f>Econ!I208</f>
        <v>591.0651901</v>
      </c>
    </row>
    <row r="209">
      <c r="A209" s="7" t="str">
        <f>Econ!A209&amp;if(Econ!B209&lt;10,"_0"&amp;Econ!B209,"_"&amp;Econ!B209)</f>
        <v>Archer_208</v>
      </c>
      <c r="B209" s="7" t="str">
        <f>"T"&amp;Econ!B209&amp;" "&amp;Econ!A209</f>
        <v>T208 Archer</v>
      </c>
      <c r="C209" s="8">
        <f>Econ!B209</f>
        <v>208</v>
      </c>
      <c r="D209" s="7"/>
      <c r="E209" s="9"/>
      <c r="F209" s="9"/>
      <c r="G209" s="10">
        <f>Econ!L209</f>
        <v>114899</v>
      </c>
      <c r="H209" s="11">
        <f>Econ!M209</f>
        <v>9874</v>
      </c>
      <c r="I209" s="11">
        <f>Econ!N209</f>
        <v>1245</v>
      </c>
      <c r="J209" s="12">
        <f>Econ!O209</f>
        <v>5064</v>
      </c>
      <c r="K209" s="13">
        <f>Econ!P209</f>
        <v>28724.75</v>
      </c>
      <c r="L209" s="14">
        <f>Econ!Q209</f>
        <v>2468.5</v>
      </c>
      <c r="M209" s="14">
        <f>Econ!R209</f>
        <v>311.25</v>
      </c>
      <c r="N209" s="13">
        <f>Econ!S209</f>
        <v>1266</v>
      </c>
      <c r="O209" s="13">
        <f>Econ!T209</f>
        <v>22</v>
      </c>
      <c r="P209" s="7" t="str">
        <f>Econ!A209</f>
        <v>Archer</v>
      </c>
      <c r="Q209" s="10">
        <f>Econ!C209</f>
        <v>3649859.666</v>
      </c>
      <c r="R209" s="10">
        <f>Econ!E209</f>
        <v>301.4432469</v>
      </c>
      <c r="S209" s="10">
        <f>Econ!G209</f>
        <v>2433239.777</v>
      </c>
      <c r="T209" s="10">
        <f>Econ!I209</f>
        <v>602.8864939</v>
      </c>
    </row>
    <row r="210">
      <c r="A210" s="7" t="str">
        <f>Econ!A210&amp;if(Econ!B210&lt;10,"_0"&amp;Econ!B210,"_"&amp;Econ!B210)</f>
        <v>Archer_209</v>
      </c>
      <c r="B210" s="7" t="str">
        <f>"T"&amp;Econ!B210&amp;" "&amp;Econ!A210</f>
        <v>T209 Archer</v>
      </c>
      <c r="C210" s="8">
        <f>Econ!B210</f>
        <v>209</v>
      </c>
      <c r="D210" s="7"/>
      <c r="E210" s="9"/>
      <c r="F210" s="9"/>
      <c r="G210" s="10">
        <f>Econ!L210</f>
        <v>115891</v>
      </c>
      <c r="H210" s="11">
        <f>Econ!M210</f>
        <v>9954</v>
      </c>
      <c r="I210" s="11">
        <f>Econ!N210</f>
        <v>1286</v>
      </c>
      <c r="J210" s="12">
        <f>Econ!O210</f>
        <v>5105</v>
      </c>
      <c r="K210" s="13">
        <f>Econ!P210</f>
        <v>28972.75</v>
      </c>
      <c r="L210" s="14">
        <f>Econ!Q210</f>
        <v>2488.5</v>
      </c>
      <c r="M210" s="14">
        <f>Econ!R210</f>
        <v>321.5</v>
      </c>
      <c r="N210" s="13">
        <f>Econ!S210</f>
        <v>1276.25</v>
      </c>
      <c r="O210" s="13">
        <f>Econ!T210</f>
        <v>22</v>
      </c>
      <c r="P210" s="7" t="str">
        <f>Econ!A210</f>
        <v>Archer</v>
      </c>
      <c r="Q210" s="10">
        <f>Econ!C210</f>
        <v>3832352.649</v>
      </c>
      <c r="R210" s="10">
        <f>Econ!E210</f>
        <v>307.4721119</v>
      </c>
      <c r="S210" s="10">
        <f>Econ!G210</f>
        <v>2554901.766</v>
      </c>
      <c r="T210" s="10">
        <f>Econ!I210</f>
        <v>614.9442237</v>
      </c>
    </row>
    <row r="211">
      <c r="A211" s="7" t="str">
        <f>Econ!A211&amp;if(Econ!B211&lt;10,"_0"&amp;Econ!B211,"_"&amp;Econ!B211)</f>
        <v>Archer_210</v>
      </c>
      <c r="B211" s="7" t="str">
        <f>"T"&amp;Econ!B211&amp;" "&amp;Econ!A211</f>
        <v>T210 Archer</v>
      </c>
      <c r="C211" s="8">
        <f>Econ!B211</f>
        <v>210</v>
      </c>
      <c r="D211" s="7"/>
      <c r="E211" s="9"/>
      <c r="F211" s="9"/>
      <c r="G211" s="10">
        <f>Econ!L211</f>
        <v>116887</v>
      </c>
      <c r="H211" s="11">
        <f>Econ!M211</f>
        <v>10035</v>
      </c>
      <c r="I211" s="11">
        <f>Econ!N211</f>
        <v>1327</v>
      </c>
      <c r="J211" s="12">
        <f>Econ!O211</f>
        <v>5146</v>
      </c>
      <c r="K211" s="13">
        <f>Econ!P211</f>
        <v>29221.75</v>
      </c>
      <c r="L211" s="14">
        <f>Econ!Q211</f>
        <v>2508.75</v>
      </c>
      <c r="M211" s="14">
        <f>Econ!R211</f>
        <v>331.75</v>
      </c>
      <c r="N211" s="13">
        <f>Econ!S211</f>
        <v>1286.5</v>
      </c>
      <c r="O211" s="13">
        <f>Econ!T211</f>
        <v>22</v>
      </c>
      <c r="P211" s="7" t="str">
        <f>Econ!A211</f>
        <v>Archer</v>
      </c>
      <c r="Q211" s="10">
        <f>Econ!C211</f>
        <v>4023970.282</v>
      </c>
      <c r="R211" s="10">
        <f>Econ!E211</f>
        <v>313.6215541</v>
      </c>
      <c r="S211" s="10">
        <f>Econ!G211</f>
        <v>2682646.855</v>
      </c>
      <c r="T211" s="10">
        <f>Econ!I211</f>
        <v>627.2431082</v>
      </c>
    </row>
    <row r="212">
      <c r="A212" s="7" t="str">
        <f>Econ!A212&amp;if(Econ!B212&lt;10,"_0"&amp;Econ!B212,"_"&amp;Econ!B212)</f>
        <v>Archer_211</v>
      </c>
      <c r="B212" s="7" t="str">
        <f>"T"&amp;Econ!B212&amp;" "&amp;Econ!A212</f>
        <v>T211 Archer</v>
      </c>
      <c r="C212" s="8">
        <f>Econ!B212</f>
        <v>211</v>
      </c>
      <c r="D212" s="7"/>
      <c r="E212" s="9"/>
      <c r="F212" s="9"/>
      <c r="G212" s="10">
        <f>Econ!L212</f>
        <v>117886</v>
      </c>
      <c r="H212" s="11">
        <f>Econ!M212</f>
        <v>10116</v>
      </c>
      <c r="I212" s="11">
        <f>Econ!N212</f>
        <v>1368</v>
      </c>
      <c r="J212" s="12">
        <f>Econ!O212</f>
        <v>5187</v>
      </c>
      <c r="K212" s="13">
        <f>Econ!P212</f>
        <v>29471.5</v>
      </c>
      <c r="L212" s="14">
        <f>Econ!Q212</f>
        <v>2529</v>
      </c>
      <c r="M212" s="14">
        <f>Econ!R212</f>
        <v>342</v>
      </c>
      <c r="N212" s="13">
        <f>Econ!S212</f>
        <v>1296.75</v>
      </c>
      <c r="O212" s="13">
        <f>Econ!T212</f>
        <v>22</v>
      </c>
      <c r="P212" s="7" t="str">
        <f>Econ!A212</f>
        <v>Archer</v>
      </c>
      <c r="Q212" s="10">
        <f>Econ!C212</f>
        <v>4225168.796</v>
      </c>
      <c r="R212" s="10">
        <f>Econ!E212</f>
        <v>319.8939852</v>
      </c>
      <c r="S212" s="10">
        <f>Econ!G212</f>
        <v>2816779.197</v>
      </c>
      <c r="T212" s="10">
        <f>Econ!I212</f>
        <v>639.7879704</v>
      </c>
    </row>
    <row r="213">
      <c r="A213" s="7" t="str">
        <f>Econ!A213&amp;if(Econ!B213&lt;10,"_0"&amp;Econ!B213,"_"&amp;Econ!B213)</f>
        <v>Archer_212</v>
      </c>
      <c r="B213" s="7" t="str">
        <f>"T"&amp;Econ!B213&amp;" "&amp;Econ!A213</f>
        <v>T212 Archer</v>
      </c>
      <c r="C213" s="8">
        <f>Econ!B213</f>
        <v>212</v>
      </c>
      <c r="D213" s="7"/>
      <c r="E213" s="9"/>
      <c r="F213" s="9"/>
      <c r="G213" s="10">
        <f>Econ!L213</f>
        <v>118888</v>
      </c>
      <c r="H213" s="11">
        <f>Econ!M213</f>
        <v>10197</v>
      </c>
      <c r="I213" s="11">
        <f>Econ!N213</f>
        <v>1409</v>
      </c>
      <c r="J213" s="12">
        <f>Econ!O213</f>
        <v>5228</v>
      </c>
      <c r="K213" s="13">
        <f>Econ!P213</f>
        <v>29722</v>
      </c>
      <c r="L213" s="14">
        <f>Econ!Q213</f>
        <v>2549.25</v>
      </c>
      <c r="M213" s="14">
        <f>Econ!R213</f>
        <v>352.25</v>
      </c>
      <c r="N213" s="13">
        <f>Econ!S213</f>
        <v>1307</v>
      </c>
      <c r="O213" s="13">
        <f>Econ!T213</f>
        <v>22</v>
      </c>
      <c r="P213" s="7" t="str">
        <f>Econ!A213</f>
        <v>Archer</v>
      </c>
      <c r="Q213" s="10">
        <f>Econ!C213</f>
        <v>4436427.236</v>
      </c>
      <c r="R213" s="10">
        <f>Econ!E213</f>
        <v>326.2918649</v>
      </c>
      <c r="S213" s="10">
        <f>Econ!G213</f>
        <v>2957618.157</v>
      </c>
      <c r="T213" s="10">
        <f>Econ!I213</f>
        <v>652.5837298</v>
      </c>
    </row>
    <row r="214">
      <c r="A214" s="7" t="str">
        <f>Econ!A214&amp;if(Econ!B214&lt;10,"_0"&amp;Econ!B214,"_"&amp;Econ!B214)</f>
        <v>Archer_213</v>
      </c>
      <c r="B214" s="7" t="str">
        <f>"T"&amp;Econ!B214&amp;" "&amp;Econ!A214</f>
        <v>T213 Archer</v>
      </c>
      <c r="C214" s="8">
        <f>Econ!B214</f>
        <v>213</v>
      </c>
      <c r="D214" s="7"/>
      <c r="E214" s="9"/>
      <c r="F214" s="9"/>
      <c r="G214" s="10">
        <f>Econ!L214</f>
        <v>119894</v>
      </c>
      <c r="H214" s="11">
        <f>Econ!M214</f>
        <v>10278</v>
      </c>
      <c r="I214" s="11">
        <f>Econ!N214</f>
        <v>1450</v>
      </c>
      <c r="J214" s="12">
        <f>Econ!O214</f>
        <v>5269</v>
      </c>
      <c r="K214" s="13">
        <f>Econ!P214</f>
        <v>29973.5</v>
      </c>
      <c r="L214" s="14">
        <f>Econ!Q214</f>
        <v>2569.5</v>
      </c>
      <c r="M214" s="14">
        <f>Econ!R214</f>
        <v>362.5</v>
      </c>
      <c r="N214" s="13">
        <f>Econ!S214</f>
        <v>1317.25</v>
      </c>
      <c r="O214" s="13">
        <f>Econ!T214</f>
        <v>22</v>
      </c>
      <c r="P214" s="7" t="str">
        <f>Econ!A214</f>
        <v>Archer</v>
      </c>
      <c r="Q214" s="10">
        <f>Econ!C214</f>
        <v>4658248.598</v>
      </c>
      <c r="R214" s="10">
        <f>Econ!E214</f>
        <v>332.8177022</v>
      </c>
      <c r="S214" s="10">
        <f>Econ!G214</f>
        <v>3105499.065</v>
      </c>
      <c r="T214" s="10">
        <f>Econ!I214</f>
        <v>665.6354044</v>
      </c>
    </row>
    <row r="215">
      <c r="A215" s="7" t="str">
        <f>Econ!A215&amp;if(Econ!B215&lt;10,"_0"&amp;Econ!B215,"_"&amp;Econ!B215)</f>
        <v>Archer_214</v>
      </c>
      <c r="B215" s="7" t="str">
        <f>"T"&amp;Econ!B215&amp;" "&amp;Econ!A215</f>
        <v>T214 Archer</v>
      </c>
      <c r="C215" s="8">
        <f>Econ!B215</f>
        <v>214</v>
      </c>
      <c r="D215" s="7"/>
      <c r="E215" s="9"/>
      <c r="F215" s="9"/>
      <c r="G215" s="10">
        <f>Econ!L215</f>
        <v>120903</v>
      </c>
      <c r="H215" s="11">
        <f>Econ!M215</f>
        <v>10360</v>
      </c>
      <c r="I215" s="11">
        <f>Econ!N215</f>
        <v>1491</v>
      </c>
      <c r="J215" s="12">
        <f>Econ!O215</f>
        <v>5310</v>
      </c>
      <c r="K215" s="13">
        <f>Econ!P215</f>
        <v>30225.75</v>
      </c>
      <c r="L215" s="14">
        <f>Econ!Q215</f>
        <v>2590</v>
      </c>
      <c r="M215" s="14">
        <f>Econ!R215</f>
        <v>372.75</v>
      </c>
      <c r="N215" s="13">
        <f>Econ!S215</f>
        <v>1327.5</v>
      </c>
      <c r="O215" s="13">
        <f>Econ!T215</f>
        <v>22</v>
      </c>
      <c r="P215" s="7" t="str">
        <f>Econ!A215</f>
        <v>Archer</v>
      </c>
      <c r="Q215" s="10">
        <f>Econ!C215</f>
        <v>4891161.027</v>
      </c>
      <c r="R215" s="10">
        <f>Econ!E215</f>
        <v>339.4740562</v>
      </c>
      <c r="S215" s="10">
        <f>Econ!G215</f>
        <v>3260774.018</v>
      </c>
      <c r="T215" s="10">
        <f>Econ!I215</f>
        <v>678.9481125</v>
      </c>
    </row>
    <row r="216">
      <c r="A216" s="7" t="str">
        <f>Econ!A216&amp;if(Econ!B216&lt;10,"_0"&amp;Econ!B216,"_"&amp;Econ!B216)</f>
        <v>Archer_215</v>
      </c>
      <c r="B216" s="7" t="str">
        <f>"T"&amp;Econ!B216&amp;" "&amp;Econ!A216</f>
        <v>T215 Archer</v>
      </c>
      <c r="C216" s="8">
        <f>Econ!B216</f>
        <v>215</v>
      </c>
      <c r="D216" s="7"/>
      <c r="E216" s="9"/>
      <c r="F216" s="9"/>
      <c r="G216" s="10">
        <f>Econ!L216</f>
        <v>121915</v>
      </c>
      <c r="H216" s="11">
        <f>Econ!M216</f>
        <v>10442</v>
      </c>
      <c r="I216" s="11">
        <f>Econ!N216</f>
        <v>1532</v>
      </c>
      <c r="J216" s="12">
        <f>Econ!O216</f>
        <v>5351</v>
      </c>
      <c r="K216" s="13">
        <f>Econ!P216</f>
        <v>30478.75</v>
      </c>
      <c r="L216" s="14">
        <f>Econ!Q216</f>
        <v>2610.5</v>
      </c>
      <c r="M216" s="14">
        <f>Econ!R216</f>
        <v>383</v>
      </c>
      <c r="N216" s="13">
        <f>Econ!S216</f>
        <v>1337.75</v>
      </c>
      <c r="O216" s="13">
        <f>Econ!T216</f>
        <v>23</v>
      </c>
      <c r="P216" s="7" t="str">
        <f>Econ!A216</f>
        <v>Archer</v>
      </c>
      <c r="Q216" s="10">
        <f>Econ!C216</f>
        <v>5135719.079</v>
      </c>
      <c r="R216" s="10">
        <f>Econ!E216</f>
        <v>346.2635374</v>
      </c>
      <c r="S216" s="10">
        <f>Econ!G216</f>
        <v>3423812.719</v>
      </c>
      <c r="T216" s="10">
        <f>Econ!I216</f>
        <v>692.5270747</v>
      </c>
    </row>
    <row r="217">
      <c r="A217" s="7" t="str">
        <f>Econ!A217&amp;if(Econ!B217&lt;10,"_0"&amp;Econ!B217,"_"&amp;Econ!B217)</f>
        <v>Archer_216</v>
      </c>
      <c r="B217" s="7" t="str">
        <f>"T"&amp;Econ!B217&amp;" "&amp;Econ!A217</f>
        <v>T216 Archer</v>
      </c>
      <c r="C217" s="8">
        <f>Econ!B217</f>
        <v>216</v>
      </c>
      <c r="D217" s="7"/>
      <c r="E217" s="9"/>
      <c r="F217" s="9"/>
      <c r="G217" s="10">
        <f>Econ!L217</f>
        <v>122930</v>
      </c>
      <c r="H217" s="11">
        <f>Econ!M217</f>
        <v>10524</v>
      </c>
      <c r="I217" s="11">
        <f>Econ!N217</f>
        <v>1574</v>
      </c>
      <c r="J217" s="12">
        <f>Econ!O217</f>
        <v>5393</v>
      </c>
      <c r="K217" s="13">
        <f>Econ!P217</f>
        <v>30732.5</v>
      </c>
      <c r="L217" s="14">
        <f>Econ!Q217</f>
        <v>2631</v>
      </c>
      <c r="M217" s="14">
        <f>Econ!R217</f>
        <v>393.5</v>
      </c>
      <c r="N217" s="13">
        <f>Econ!S217</f>
        <v>1348.25</v>
      </c>
      <c r="O217" s="13">
        <f>Econ!T217</f>
        <v>23</v>
      </c>
      <c r="P217" s="7" t="str">
        <f>Econ!A217</f>
        <v>Archer</v>
      </c>
      <c r="Q217" s="10">
        <f>Econ!C217</f>
        <v>5392505.033</v>
      </c>
      <c r="R217" s="10">
        <f>Econ!E217</f>
        <v>353.1888081</v>
      </c>
      <c r="S217" s="10">
        <f>Econ!G217</f>
        <v>3595003.355</v>
      </c>
      <c r="T217" s="10">
        <f>Econ!I217</f>
        <v>706.3776162</v>
      </c>
    </row>
    <row r="218">
      <c r="A218" s="7" t="str">
        <f>Econ!A218&amp;if(Econ!B218&lt;10,"_0"&amp;Econ!B218,"_"&amp;Econ!B218)</f>
        <v>Archer_217</v>
      </c>
      <c r="B218" s="7" t="str">
        <f>"T"&amp;Econ!B218&amp;" "&amp;Econ!A218</f>
        <v>T217 Archer</v>
      </c>
      <c r="C218" s="8">
        <f>Econ!B218</f>
        <v>217</v>
      </c>
      <c r="D218" s="7"/>
      <c r="E218" s="9"/>
      <c r="F218" s="9"/>
      <c r="G218" s="10">
        <f>Econ!L218</f>
        <v>123949</v>
      </c>
      <c r="H218" s="11">
        <f>Econ!M218</f>
        <v>10606</v>
      </c>
      <c r="I218" s="11">
        <f>Econ!N218</f>
        <v>1616</v>
      </c>
      <c r="J218" s="12">
        <f>Econ!O218</f>
        <v>5435</v>
      </c>
      <c r="K218" s="13">
        <f>Econ!P218</f>
        <v>30987.25</v>
      </c>
      <c r="L218" s="14">
        <f>Econ!Q218</f>
        <v>2651.5</v>
      </c>
      <c r="M218" s="14">
        <f>Econ!R218</f>
        <v>404</v>
      </c>
      <c r="N218" s="13">
        <f>Econ!S218</f>
        <v>1358.75</v>
      </c>
      <c r="O218" s="13">
        <f>Econ!T218</f>
        <v>23</v>
      </c>
      <c r="P218" s="7" t="str">
        <f>Econ!A218</f>
        <v>Archer</v>
      </c>
      <c r="Q218" s="10">
        <f>Econ!C218</f>
        <v>5662130.284</v>
      </c>
      <c r="R218" s="10">
        <f>Econ!E218</f>
        <v>360.2525843</v>
      </c>
      <c r="S218" s="10">
        <f>Econ!G218</f>
        <v>3774753.523</v>
      </c>
      <c r="T218" s="10">
        <f>Econ!I218</f>
        <v>720.5051685</v>
      </c>
    </row>
    <row r="219">
      <c r="A219" s="7" t="str">
        <f>Econ!A219&amp;if(Econ!B219&lt;10,"_0"&amp;Econ!B219,"_"&amp;Econ!B219)</f>
        <v>Archer_218</v>
      </c>
      <c r="B219" s="7" t="str">
        <f>"T"&amp;Econ!B219&amp;" "&amp;Econ!A219</f>
        <v>T218 Archer</v>
      </c>
      <c r="C219" s="8">
        <f>Econ!B219</f>
        <v>218</v>
      </c>
      <c r="D219" s="7"/>
      <c r="E219" s="9"/>
      <c r="F219" s="9"/>
      <c r="G219" s="10">
        <f>Econ!L219</f>
        <v>124971</v>
      </c>
      <c r="H219" s="11">
        <f>Econ!M219</f>
        <v>10689</v>
      </c>
      <c r="I219" s="11">
        <f>Econ!N219</f>
        <v>1658</v>
      </c>
      <c r="J219" s="12">
        <f>Econ!O219</f>
        <v>5477</v>
      </c>
      <c r="K219" s="13">
        <f>Econ!P219</f>
        <v>31242.75</v>
      </c>
      <c r="L219" s="14">
        <f>Econ!Q219</f>
        <v>2672.25</v>
      </c>
      <c r="M219" s="14">
        <f>Econ!R219</f>
        <v>414.5</v>
      </c>
      <c r="N219" s="13">
        <f>Econ!S219</f>
        <v>1369.25</v>
      </c>
      <c r="O219" s="13">
        <f>Econ!T219</f>
        <v>23</v>
      </c>
      <c r="P219" s="7" t="str">
        <f>Econ!A219</f>
        <v>Archer</v>
      </c>
      <c r="Q219" s="10">
        <f>Econ!C219</f>
        <v>5945236.799</v>
      </c>
      <c r="R219" s="10">
        <f>Econ!E219</f>
        <v>367.457636</v>
      </c>
      <c r="S219" s="10">
        <f>Econ!G219</f>
        <v>3963491.199</v>
      </c>
      <c r="T219" s="10">
        <f>Econ!I219</f>
        <v>734.9152719</v>
      </c>
    </row>
    <row r="220">
      <c r="A220" s="7" t="str">
        <f>Econ!A220&amp;if(Econ!B220&lt;10,"_0"&amp;Econ!B220,"_"&amp;Econ!B220)</f>
        <v>Archer_219</v>
      </c>
      <c r="B220" s="7" t="str">
        <f>"T"&amp;Econ!B220&amp;" "&amp;Econ!A220</f>
        <v>T219 Archer</v>
      </c>
      <c r="C220" s="8">
        <f>Econ!B220</f>
        <v>219</v>
      </c>
      <c r="D220" s="7"/>
      <c r="E220" s="9"/>
      <c r="F220" s="9"/>
      <c r="G220" s="10">
        <f>Econ!L220</f>
        <v>125996</v>
      </c>
      <c r="H220" s="11">
        <f>Econ!M220</f>
        <v>10772</v>
      </c>
      <c r="I220" s="11">
        <f>Econ!N220</f>
        <v>1700</v>
      </c>
      <c r="J220" s="12">
        <f>Econ!O220</f>
        <v>5519</v>
      </c>
      <c r="K220" s="13">
        <f>Econ!P220</f>
        <v>31499</v>
      </c>
      <c r="L220" s="14">
        <f>Econ!Q220</f>
        <v>2693</v>
      </c>
      <c r="M220" s="14">
        <f>Econ!R220</f>
        <v>425</v>
      </c>
      <c r="N220" s="13">
        <f>Econ!S220</f>
        <v>1379.75</v>
      </c>
      <c r="O220" s="13">
        <f>Econ!T220</f>
        <v>23</v>
      </c>
      <c r="P220" s="7" t="str">
        <f>Econ!A220</f>
        <v>Archer</v>
      </c>
      <c r="Q220" s="10">
        <f>Econ!C220</f>
        <v>6242498.638</v>
      </c>
      <c r="R220" s="10">
        <f>Econ!E220</f>
        <v>374.8067887</v>
      </c>
      <c r="S220" s="10">
        <f>Econ!G220</f>
        <v>4161665.759</v>
      </c>
      <c r="T220" s="10">
        <f>Econ!I220</f>
        <v>749.6135774</v>
      </c>
    </row>
    <row r="221">
      <c r="A221" s="7" t="str">
        <f>Econ!A221&amp;if(Econ!B221&lt;10,"_0"&amp;Econ!B221,"_"&amp;Econ!B221)</f>
        <v>Archer_220</v>
      </c>
      <c r="B221" s="7" t="str">
        <f>"T"&amp;Econ!B221&amp;" "&amp;Econ!A221</f>
        <v>T220 Archer</v>
      </c>
      <c r="C221" s="8">
        <f>Econ!B221</f>
        <v>220</v>
      </c>
      <c r="D221" s="7"/>
      <c r="E221" s="9"/>
      <c r="F221" s="9"/>
      <c r="G221" s="10">
        <f>Econ!L221</f>
        <v>127025</v>
      </c>
      <c r="H221" s="11">
        <f>Econ!M221</f>
        <v>10855</v>
      </c>
      <c r="I221" s="11">
        <f>Econ!N221</f>
        <v>1742</v>
      </c>
      <c r="J221" s="12">
        <f>Econ!O221</f>
        <v>5561</v>
      </c>
      <c r="K221" s="13">
        <f>Econ!P221</f>
        <v>31756.25</v>
      </c>
      <c r="L221" s="14">
        <f>Econ!Q221</f>
        <v>2713.75</v>
      </c>
      <c r="M221" s="14">
        <f>Econ!R221</f>
        <v>435.5</v>
      </c>
      <c r="N221" s="13">
        <f>Econ!S221</f>
        <v>1390.25</v>
      </c>
      <c r="O221" s="13">
        <f>Econ!T221</f>
        <v>23</v>
      </c>
      <c r="P221" s="7" t="str">
        <f>Econ!A221</f>
        <v>Archer</v>
      </c>
      <c r="Q221" s="10">
        <f>Econ!C221</f>
        <v>6554623.57</v>
      </c>
      <c r="R221" s="10">
        <f>Econ!E221</f>
        <v>382.3029245</v>
      </c>
      <c r="S221" s="10">
        <f>Econ!G221</f>
        <v>4369749.047</v>
      </c>
      <c r="T221" s="10">
        <f>Econ!I221</f>
        <v>764.6058489</v>
      </c>
    </row>
    <row r="222">
      <c r="A222" s="7" t="str">
        <f>Econ!A222&amp;if(Econ!B222&lt;10,"_0"&amp;Econ!B222,"_"&amp;Econ!B222)</f>
        <v>Archer_221</v>
      </c>
      <c r="B222" s="7" t="str">
        <f>"T"&amp;Econ!B222&amp;" "&amp;Econ!A222</f>
        <v>T221 Archer</v>
      </c>
      <c r="C222" s="8">
        <f>Econ!B222</f>
        <v>221</v>
      </c>
      <c r="D222" s="7"/>
      <c r="E222" s="9"/>
      <c r="F222" s="9"/>
      <c r="G222" s="10">
        <f>Econ!L222</f>
        <v>128057</v>
      </c>
      <c r="H222" s="11">
        <f>Econ!M222</f>
        <v>10938</v>
      </c>
      <c r="I222" s="11">
        <f>Econ!N222</f>
        <v>1784</v>
      </c>
      <c r="J222" s="12">
        <f>Econ!O222</f>
        <v>5603</v>
      </c>
      <c r="K222" s="13">
        <f>Econ!P222</f>
        <v>32014.25</v>
      </c>
      <c r="L222" s="14">
        <f>Econ!Q222</f>
        <v>2734.5</v>
      </c>
      <c r="M222" s="14">
        <f>Econ!R222</f>
        <v>446</v>
      </c>
      <c r="N222" s="13">
        <f>Econ!S222</f>
        <v>1400.75</v>
      </c>
      <c r="O222" s="13">
        <f>Econ!T222</f>
        <v>23</v>
      </c>
      <c r="P222" s="7" t="str">
        <f>Econ!A222</f>
        <v>Archer</v>
      </c>
      <c r="Q222" s="10">
        <f>Econ!C222</f>
        <v>6882354.749</v>
      </c>
      <c r="R222" s="10">
        <f>Econ!E222</f>
        <v>389.9489829</v>
      </c>
      <c r="S222" s="10">
        <f>Econ!G222</f>
        <v>4588236.499</v>
      </c>
      <c r="T222" s="10">
        <f>Econ!I222</f>
        <v>779.8979659</v>
      </c>
    </row>
    <row r="223">
      <c r="A223" s="7" t="str">
        <f>Econ!A223&amp;if(Econ!B223&lt;10,"_0"&amp;Econ!B223,"_"&amp;Econ!B223)</f>
        <v>Archer_222</v>
      </c>
      <c r="B223" s="7" t="str">
        <f>"T"&amp;Econ!B223&amp;" "&amp;Econ!A223</f>
        <v>T222 Archer</v>
      </c>
      <c r="C223" s="8">
        <f>Econ!B223</f>
        <v>222</v>
      </c>
      <c r="D223" s="7"/>
      <c r="E223" s="9"/>
      <c r="F223" s="9"/>
      <c r="G223" s="10">
        <f>Econ!L223</f>
        <v>129092</v>
      </c>
      <c r="H223" s="11">
        <f>Econ!M223</f>
        <v>11022</v>
      </c>
      <c r="I223" s="11">
        <f>Econ!N223</f>
        <v>1826</v>
      </c>
      <c r="J223" s="12">
        <f>Econ!O223</f>
        <v>5645</v>
      </c>
      <c r="K223" s="13">
        <f>Econ!P223</f>
        <v>32273</v>
      </c>
      <c r="L223" s="14">
        <f>Econ!Q223</f>
        <v>2755.5</v>
      </c>
      <c r="M223" s="14">
        <f>Econ!R223</f>
        <v>456.5</v>
      </c>
      <c r="N223" s="13">
        <f>Econ!S223</f>
        <v>1411.25</v>
      </c>
      <c r="O223" s="13">
        <f>Econ!T223</f>
        <v>23</v>
      </c>
      <c r="P223" s="7" t="str">
        <f>Econ!A223</f>
        <v>Archer</v>
      </c>
      <c r="Q223" s="10">
        <f>Econ!C223</f>
        <v>7226472.486</v>
      </c>
      <c r="R223" s="10">
        <f>Econ!E223</f>
        <v>397.7479626</v>
      </c>
      <c r="S223" s="10">
        <f>Econ!G223</f>
        <v>4817648.324</v>
      </c>
      <c r="T223" s="10">
        <f>Econ!I223</f>
        <v>795.4959252</v>
      </c>
    </row>
    <row r="224">
      <c r="A224" s="7" t="str">
        <f>Econ!A224&amp;if(Econ!B224&lt;10,"_0"&amp;Econ!B224,"_"&amp;Econ!B224)</f>
        <v>Archer_223</v>
      </c>
      <c r="B224" s="7" t="str">
        <f>"T"&amp;Econ!B224&amp;" "&amp;Econ!A224</f>
        <v>T223 Archer</v>
      </c>
      <c r="C224" s="8">
        <f>Econ!B224</f>
        <v>223</v>
      </c>
      <c r="D224" s="7"/>
      <c r="E224" s="9"/>
      <c r="F224" s="9"/>
      <c r="G224" s="10">
        <f>Econ!L224</f>
        <v>130131</v>
      </c>
      <c r="H224" s="11">
        <f>Econ!M224</f>
        <v>11106</v>
      </c>
      <c r="I224" s="11">
        <f>Econ!N224</f>
        <v>1869</v>
      </c>
      <c r="J224" s="12">
        <f>Econ!O224</f>
        <v>5688</v>
      </c>
      <c r="K224" s="13">
        <f>Econ!P224</f>
        <v>32532.75</v>
      </c>
      <c r="L224" s="14">
        <f>Econ!Q224</f>
        <v>2776.5</v>
      </c>
      <c r="M224" s="14">
        <f>Econ!R224</f>
        <v>467.25</v>
      </c>
      <c r="N224" s="13">
        <f>Econ!S224</f>
        <v>1422</v>
      </c>
      <c r="O224" s="13">
        <f>Econ!T224</f>
        <v>23</v>
      </c>
      <c r="P224" s="7" t="str">
        <f>Econ!A224</f>
        <v>Archer</v>
      </c>
      <c r="Q224" s="10">
        <f>Econ!C224</f>
        <v>7587796.111</v>
      </c>
      <c r="R224" s="10">
        <f>Econ!E224</f>
        <v>405.7029219</v>
      </c>
      <c r="S224" s="10">
        <f>Econ!G224</f>
        <v>5058530.74</v>
      </c>
      <c r="T224" s="10">
        <f>Econ!I224</f>
        <v>811.4058437</v>
      </c>
    </row>
    <row r="225">
      <c r="A225" s="7" t="str">
        <f>Econ!A225&amp;if(Econ!B225&lt;10,"_0"&amp;Econ!B225,"_"&amp;Econ!B225)</f>
        <v>Archer_224</v>
      </c>
      <c r="B225" s="7" t="str">
        <f>"T"&amp;Econ!B225&amp;" "&amp;Econ!A225</f>
        <v>T224 Archer</v>
      </c>
      <c r="C225" s="8">
        <f>Econ!B225</f>
        <v>224</v>
      </c>
      <c r="D225" s="7"/>
      <c r="E225" s="9"/>
      <c r="F225" s="9"/>
      <c r="G225" s="10">
        <f>Econ!L225</f>
        <v>131173</v>
      </c>
      <c r="H225" s="11">
        <f>Econ!M225</f>
        <v>11190</v>
      </c>
      <c r="I225" s="11">
        <f>Econ!N225</f>
        <v>1912</v>
      </c>
      <c r="J225" s="12">
        <f>Econ!O225</f>
        <v>5731</v>
      </c>
      <c r="K225" s="13">
        <f>Econ!P225</f>
        <v>32793.25</v>
      </c>
      <c r="L225" s="14">
        <f>Econ!Q225</f>
        <v>2797.5</v>
      </c>
      <c r="M225" s="14">
        <f>Econ!R225</f>
        <v>478</v>
      </c>
      <c r="N225" s="13">
        <f>Econ!S225</f>
        <v>1432.75</v>
      </c>
      <c r="O225" s="13">
        <f>Econ!T225</f>
        <v>23</v>
      </c>
      <c r="P225" s="7" t="str">
        <f>Econ!A225</f>
        <v>Archer</v>
      </c>
      <c r="Q225" s="10">
        <f>Econ!C225</f>
        <v>7967185.916</v>
      </c>
      <c r="R225" s="10">
        <f>Econ!E225</f>
        <v>413.8169803</v>
      </c>
      <c r="S225" s="10">
        <f>Econ!G225</f>
        <v>5311457.277</v>
      </c>
      <c r="T225" s="10">
        <f>Econ!I225</f>
        <v>827.6339606</v>
      </c>
    </row>
    <row r="226">
      <c r="A226" s="7" t="str">
        <f>Econ!A226&amp;if(Econ!B226&lt;10,"_0"&amp;Econ!B226,"_"&amp;Econ!B226)</f>
        <v>Archer_225</v>
      </c>
      <c r="B226" s="7" t="str">
        <f>"T"&amp;Econ!B226&amp;" "&amp;Econ!A226</f>
        <v>T225 Archer</v>
      </c>
      <c r="C226" s="8">
        <f>Econ!B226</f>
        <v>225</v>
      </c>
      <c r="D226" s="7"/>
      <c r="E226" s="9"/>
      <c r="F226" s="9"/>
      <c r="G226" s="10">
        <f>Econ!L226</f>
        <v>132218</v>
      </c>
      <c r="H226" s="11">
        <f>Econ!M226</f>
        <v>11275</v>
      </c>
      <c r="I226" s="11">
        <f>Econ!N226</f>
        <v>1955</v>
      </c>
      <c r="J226" s="12">
        <f>Econ!O226</f>
        <v>5774</v>
      </c>
      <c r="K226" s="13">
        <f>Econ!P226</f>
        <v>33054.5</v>
      </c>
      <c r="L226" s="14">
        <f>Econ!Q226</f>
        <v>2818.75</v>
      </c>
      <c r="M226" s="14">
        <f>Econ!R226</f>
        <v>488.75</v>
      </c>
      <c r="N226" s="13">
        <f>Econ!S226</f>
        <v>1443.5</v>
      </c>
      <c r="O226" s="13">
        <f>Econ!T226</f>
        <v>24</v>
      </c>
      <c r="P226" s="7" t="str">
        <f>Econ!A226</f>
        <v>Archer</v>
      </c>
      <c r="Q226" s="10">
        <f>Econ!C226</f>
        <v>8365545.212</v>
      </c>
      <c r="R226" s="10">
        <f>Econ!E226</f>
        <v>422.0933199</v>
      </c>
      <c r="S226" s="10">
        <f>Econ!G226</f>
        <v>5577030.141</v>
      </c>
      <c r="T226" s="10">
        <f>Econ!I226</f>
        <v>844.1866398</v>
      </c>
    </row>
    <row r="227">
      <c r="A227" s="7" t="str">
        <f>Econ!A227&amp;if(Econ!B227&lt;10,"_0"&amp;Econ!B227,"_"&amp;Econ!B227)</f>
        <v>Archer_226</v>
      </c>
      <c r="B227" s="7" t="str">
        <f>"T"&amp;Econ!B227&amp;" "&amp;Econ!A227</f>
        <v>T226 Archer</v>
      </c>
      <c r="C227" s="8">
        <f>Econ!B227</f>
        <v>226</v>
      </c>
      <c r="D227" s="7"/>
      <c r="E227" s="9"/>
      <c r="F227" s="9"/>
      <c r="G227" s="10">
        <f>Econ!L227</f>
        <v>133266</v>
      </c>
      <c r="H227" s="11">
        <f>Econ!M227</f>
        <v>11360</v>
      </c>
      <c r="I227" s="11">
        <f>Econ!N227</f>
        <v>1998</v>
      </c>
      <c r="J227" s="12">
        <f>Econ!O227</f>
        <v>5817</v>
      </c>
      <c r="K227" s="13">
        <f>Econ!P227</f>
        <v>33316.5</v>
      </c>
      <c r="L227" s="14">
        <f>Econ!Q227</f>
        <v>2840</v>
      </c>
      <c r="M227" s="14">
        <f>Econ!R227</f>
        <v>499.5</v>
      </c>
      <c r="N227" s="13">
        <f>Econ!S227</f>
        <v>1454.25</v>
      </c>
      <c r="O227" s="13">
        <f>Econ!T227</f>
        <v>24</v>
      </c>
      <c r="P227" s="7" t="str">
        <f>Econ!A227</f>
        <v>Archer</v>
      </c>
      <c r="Q227" s="10">
        <f>Econ!C227</f>
        <v>8783822.473</v>
      </c>
      <c r="R227" s="10">
        <f>Econ!E227</f>
        <v>430.5351863</v>
      </c>
      <c r="S227" s="10">
        <f>Econ!G227</f>
        <v>5855881.648</v>
      </c>
      <c r="T227" s="10">
        <f>Econ!I227</f>
        <v>861.0703726</v>
      </c>
    </row>
    <row r="228">
      <c r="A228" s="7" t="str">
        <f>Econ!A228&amp;if(Econ!B228&lt;10,"_0"&amp;Econ!B228,"_"&amp;Econ!B228)</f>
        <v>Archer_227</v>
      </c>
      <c r="B228" s="7" t="str">
        <f>"T"&amp;Econ!B228&amp;" "&amp;Econ!A228</f>
        <v>T227 Archer</v>
      </c>
      <c r="C228" s="8">
        <f>Econ!B228</f>
        <v>227</v>
      </c>
      <c r="D228" s="7"/>
      <c r="E228" s="9"/>
      <c r="F228" s="9"/>
      <c r="G228" s="10">
        <f>Econ!L228</f>
        <v>134318</v>
      </c>
      <c r="H228" s="11">
        <f>Econ!M228</f>
        <v>11445</v>
      </c>
      <c r="I228" s="11">
        <f>Econ!N228</f>
        <v>2041</v>
      </c>
      <c r="J228" s="12">
        <f>Econ!O228</f>
        <v>5860</v>
      </c>
      <c r="K228" s="13">
        <f>Econ!P228</f>
        <v>33579.5</v>
      </c>
      <c r="L228" s="14">
        <f>Econ!Q228</f>
        <v>2861.25</v>
      </c>
      <c r="M228" s="14">
        <f>Econ!R228</f>
        <v>510.25</v>
      </c>
      <c r="N228" s="13">
        <f>Econ!S228</f>
        <v>1465</v>
      </c>
      <c r="O228" s="13">
        <f>Econ!T228</f>
        <v>24</v>
      </c>
      <c r="P228" s="7" t="str">
        <f>Econ!A228</f>
        <v>Archer</v>
      </c>
      <c r="Q228" s="10">
        <f>Econ!C228</f>
        <v>9223013.596</v>
      </c>
      <c r="R228" s="10">
        <f>Econ!E228</f>
        <v>439.14589</v>
      </c>
      <c r="S228" s="10">
        <f>Econ!G228</f>
        <v>6148675.731</v>
      </c>
      <c r="T228" s="10">
        <f>Econ!I228</f>
        <v>878.29178</v>
      </c>
    </row>
    <row r="229">
      <c r="A229" s="7" t="str">
        <f>Econ!A229&amp;if(Econ!B229&lt;10,"_0"&amp;Econ!B229,"_"&amp;Econ!B229)</f>
        <v>Archer_228</v>
      </c>
      <c r="B229" s="7" t="str">
        <f>"T"&amp;Econ!B229&amp;" "&amp;Econ!A229</f>
        <v>T228 Archer</v>
      </c>
      <c r="C229" s="8">
        <f>Econ!B229</f>
        <v>228</v>
      </c>
      <c r="D229" s="7"/>
      <c r="E229" s="9"/>
      <c r="F229" s="9"/>
      <c r="G229" s="10">
        <f>Econ!L229</f>
        <v>135373</v>
      </c>
      <c r="H229" s="11">
        <f>Econ!M229</f>
        <v>11530</v>
      </c>
      <c r="I229" s="11">
        <f>Econ!N229</f>
        <v>2084</v>
      </c>
      <c r="J229" s="12">
        <f>Econ!O229</f>
        <v>5903</v>
      </c>
      <c r="K229" s="13">
        <f>Econ!P229</f>
        <v>33843.25</v>
      </c>
      <c r="L229" s="14">
        <f>Econ!Q229</f>
        <v>2882.5</v>
      </c>
      <c r="M229" s="14">
        <f>Econ!R229</f>
        <v>521</v>
      </c>
      <c r="N229" s="13">
        <f>Econ!S229</f>
        <v>1475.75</v>
      </c>
      <c r="O229" s="13">
        <f>Econ!T229</f>
        <v>24</v>
      </c>
      <c r="P229" s="7" t="str">
        <f>Econ!A229</f>
        <v>Archer</v>
      </c>
      <c r="Q229" s="10">
        <f>Econ!C229</f>
        <v>9684164.276</v>
      </c>
      <c r="R229" s="10">
        <f>Econ!E229</f>
        <v>447.9288078</v>
      </c>
      <c r="S229" s="10">
        <f>Econ!G229</f>
        <v>6456109.517</v>
      </c>
      <c r="T229" s="10">
        <f>Econ!I229</f>
        <v>895.8576156</v>
      </c>
    </row>
    <row r="230">
      <c r="A230" s="7" t="str">
        <f>Econ!A230&amp;if(Econ!B230&lt;10,"_0"&amp;Econ!B230,"_"&amp;Econ!B230)</f>
        <v>Archer_229</v>
      </c>
      <c r="B230" s="7" t="str">
        <f>"T"&amp;Econ!B230&amp;" "&amp;Econ!A230</f>
        <v>T229 Archer</v>
      </c>
      <c r="C230" s="8">
        <f>Econ!B230</f>
        <v>229</v>
      </c>
      <c r="D230" s="7"/>
      <c r="E230" s="9"/>
      <c r="F230" s="9"/>
      <c r="G230" s="10">
        <f>Econ!L230</f>
        <v>136431</v>
      </c>
      <c r="H230" s="11">
        <f>Econ!M230</f>
        <v>11616</v>
      </c>
      <c r="I230" s="11">
        <f>Econ!N230</f>
        <v>2127</v>
      </c>
      <c r="J230" s="12">
        <f>Econ!O230</f>
        <v>5946</v>
      </c>
      <c r="K230" s="13">
        <f>Econ!P230</f>
        <v>34107.75</v>
      </c>
      <c r="L230" s="14">
        <f>Econ!Q230</f>
        <v>2904</v>
      </c>
      <c r="M230" s="14">
        <f>Econ!R230</f>
        <v>531.75</v>
      </c>
      <c r="N230" s="13">
        <f>Econ!S230</f>
        <v>1486.5</v>
      </c>
      <c r="O230" s="13">
        <f>Econ!T230</f>
        <v>24</v>
      </c>
      <c r="P230" s="7" t="str">
        <f>Econ!A230</f>
        <v>Archer</v>
      </c>
      <c r="Q230" s="10">
        <f>Econ!C230</f>
        <v>10168372.49</v>
      </c>
      <c r="R230" s="10">
        <f>Econ!E230</f>
        <v>456.887384</v>
      </c>
      <c r="S230" s="10">
        <f>Econ!G230</f>
        <v>6778914.993</v>
      </c>
      <c r="T230" s="10">
        <f>Econ!I230</f>
        <v>913.7747679</v>
      </c>
    </row>
    <row r="231">
      <c r="A231" s="7" t="str">
        <f>Econ!A231&amp;if(Econ!B231&lt;10,"_0"&amp;Econ!B231,"_"&amp;Econ!B231)</f>
        <v>Archer_230</v>
      </c>
      <c r="B231" s="7" t="str">
        <f>"T"&amp;Econ!B231&amp;" "&amp;Econ!A231</f>
        <v>T230 Archer</v>
      </c>
      <c r="C231" s="8">
        <f>Econ!B231</f>
        <v>230</v>
      </c>
      <c r="D231" s="7"/>
      <c r="E231" s="9"/>
      <c r="F231" s="9"/>
      <c r="G231" s="10">
        <f>Econ!L231</f>
        <v>137492</v>
      </c>
      <c r="H231" s="11">
        <f>Econ!M231</f>
        <v>11702</v>
      </c>
      <c r="I231" s="11">
        <f>Econ!N231</f>
        <v>2170</v>
      </c>
      <c r="J231" s="12">
        <f>Econ!O231</f>
        <v>5989</v>
      </c>
      <c r="K231" s="13">
        <f>Econ!P231</f>
        <v>34373</v>
      </c>
      <c r="L231" s="14">
        <f>Econ!Q231</f>
        <v>2925.5</v>
      </c>
      <c r="M231" s="14">
        <f>Econ!R231</f>
        <v>542.5</v>
      </c>
      <c r="N231" s="13">
        <f>Econ!S231</f>
        <v>1497.25</v>
      </c>
      <c r="O231" s="13">
        <f>Econ!T231</f>
        <v>24</v>
      </c>
      <c r="P231" s="7" t="str">
        <f>Econ!A231</f>
        <v>Archer</v>
      </c>
      <c r="Q231" s="10">
        <f>Econ!C231</f>
        <v>10676791.11</v>
      </c>
      <c r="R231" s="10">
        <f>Econ!E231</f>
        <v>466.0251317</v>
      </c>
      <c r="S231" s="10">
        <f>Econ!G231</f>
        <v>7117860.743</v>
      </c>
      <c r="T231" s="10">
        <f>Econ!I231</f>
        <v>932.0502633</v>
      </c>
    </row>
    <row r="232">
      <c r="A232" s="7" t="str">
        <f>Econ!A232&amp;if(Econ!B232&lt;10,"_0"&amp;Econ!B232,"_"&amp;Econ!B232)</f>
        <v>Archer_231</v>
      </c>
      <c r="B232" s="7" t="str">
        <f>"T"&amp;Econ!B232&amp;" "&amp;Econ!A232</f>
        <v>T231 Archer</v>
      </c>
      <c r="C232" s="8">
        <f>Econ!B232</f>
        <v>231</v>
      </c>
      <c r="D232" s="7"/>
      <c r="E232" s="9"/>
      <c r="F232" s="9"/>
      <c r="G232" s="10">
        <f>Econ!L232</f>
        <v>138557</v>
      </c>
      <c r="H232" s="11">
        <f>Econ!M232</f>
        <v>11788</v>
      </c>
      <c r="I232" s="11">
        <f>Econ!N232</f>
        <v>2214</v>
      </c>
      <c r="J232" s="12">
        <f>Econ!O232</f>
        <v>6033</v>
      </c>
      <c r="K232" s="13">
        <f>Econ!P232</f>
        <v>34639.25</v>
      </c>
      <c r="L232" s="14">
        <f>Econ!Q232</f>
        <v>2947</v>
      </c>
      <c r="M232" s="14">
        <f>Econ!R232</f>
        <v>553.5</v>
      </c>
      <c r="N232" s="13">
        <f>Econ!S232</f>
        <v>1508.25</v>
      </c>
      <c r="O232" s="13">
        <f>Econ!T232</f>
        <v>24</v>
      </c>
      <c r="P232" s="7" t="str">
        <f>Econ!A232</f>
        <v>Archer</v>
      </c>
      <c r="Q232" s="10">
        <f>Econ!C232</f>
        <v>11210630.67</v>
      </c>
      <c r="R232" s="10">
        <f>Econ!E232</f>
        <v>475.3456343</v>
      </c>
      <c r="S232" s="10">
        <f>Econ!G232</f>
        <v>7473753.78</v>
      </c>
      <c r="T232" s="10">
        <f>Econ!I232</f>
        <v>950.6912686</v>
      </c>
    </row>
    <row r="233">
      <c r="A233" s="7" t="str">
        <f>Econ!A233&amp;if(Econ!B233&lt;10,"_0"&amp;Econ!B233,"_"&amp;Econ!B233)</f>
        <v>Archer_232</v>
      </c>
      <c r="B233" s="7" t="str">
        <f>"T"&amp;Econ!B233&amp;" "&amp;Econ!A233</f>
        <v>T232 Archer</v>
      </c>
      <c r="C233" s="8">
        <f>Econ!B233</f>
        <v>232</v>
      </c>
      <c r="D233" s="7"/>
      <c r="E233" s="9"/>
      <c r="F233" s="9"/>
      <c r="G233" s="10">
        <f>Econ!L233</f>
        <v>139625</v>
      </c>
      <c r="H233" s="11">
        <f>Econ!M233</f>
        <v>11874</v>
      </c>
      <c r="I233" s="11">
        <f>Econ!N233</f>
        <v>2258</v>
      </c>
      <c r="J233" s="12">
        <f>Econ!O233</f>
        <v>6077</v>
      </c>
      <c r="K233" s="13">
        <f>Econ!P233</f>
        <v>34906.25</v>
      </c>
      <c r="L233" s="14">
        <f>Econ!Q233</f>
        <v>2968.5</v>
      </c>
      <c r="M233" s="14">
        <f>Econ!R233</f>
        <v>564.5</v>
      </c>
      <c r="N233" s="13">
        <f>Econ!S233</f>
        <v>1519.25</v>
      </c>
      <c r="O233" s="13">
        <f>Econ!T233</f>
        <v>24</v>
      </c>
      <c r="P233" s="7" t="str">
        <f>Econ!A233</f>
        <v>Archer</v>
      </c>
      <c r="Q233" s="10">
        <f>Econ!C233</f>
        <v>11771162.2</v>
      </c>
      <c r="R233" s="10">
        <f>Econ!E233</f>
        <v>484.852547</v>
      </c>
      <c r="S233" s="10">
        <f>Econ!G233</f>
        <v>7847441.469</v>
      </c>
      <c r="T233" s="10">
        <f>Econ!I233</f>
        <v>969.7050939</v>
      </c>
    </row>
    <row r="234">
      <c r="A234" s="7" t="str">
        <f>Econ!A234&amp;if(Econ!B234&lt;10,"_0"&amp;Econ!B234,"_"&amp;Econ!B234)</f>
        <v>Archer_233</v>
      </c>
      <c r="B234" s="7" t="str">
        <f>"T"&amp;Econ!B234&amp;" "&amp;Econ!A234</f>
        <v>T233 Archer</v>
      </c>
      <c r="C234" s="8">
        <f>Econ!B234</f>
        <v>233</v>
      </c>
      <c r="D234" s="7"/>
      <c r="E234" s="9"/>
      <c r="F234" s="9"/>
      <c r="G234" s="10">
        <f>Econ!L234</f>
        <v>140696</v>
      </c>
      <c r="H234" s="11">
        <f>Econ!M234</f>
        <v>11961</v>
      </c>
      <c r="I234" s="11">
        <f>Econ!N234</f>
        <v>2302</v>
      </c>
      <c r="J234" s="12">
        <f>Econ!O234</f>
        <v>6121</v>
      </c>
      <c r="K234" s="13">
        <f>Econ!P234</f>
        <v>35174</v>
      </c>
      <c r="L234" s="14">
        <f>Econ!Q234</f>
        <v>2990.25</v>
      </c>
      <c r="M234" s="14">
        <f>Econ!R234</f>
        <v>575.5</v>
      </c>
      <c r="N234" s="13">
        <f>Econ!S234</f>
        <v>1530.25</v>
      </c>
      <c r="O234" s="13">
        <f>Econ!T234</f>
        <v>24</v>
      </c>
      <c r="P234" s="7" t="str">
        <f>Econ!A234</f>
        <v>Archer</v>
      </c>
      <c r="Q234" s="10">
        <f>Econ!C234</f>
        <v>12359720.31</v>
      </c>
      <c r="R234" s="10">
        <f>Econ!E234</f>
        <v>494.5495979</v>
      </c>
      <c r="S234" s="10">
        <f>Econ!G234</f>
        <v>8239813.543</v>
      </c>
      <c r="T234" s="10">
        <f>Econ!I234</f>
        <v>989.0991958</v>
      </c>
    </row>
    <row r="235">
      <c r="A235" s="7" t="str">
        <f>Econ!A235&amp;if(Econ!B235&lt;10,"_0"&amp;Econ!B235,"_"&amp;Econ!B235)</f>
        <v>Archer_234</v>
      </c>
      <c r="B235" s="7" t="str">
        <f>"T"&amp;Econ!B235&amp;" "&amp;Econ!A235</f>
        <v>T234 Archer</v>
      </c>
      <c r="C235" s="8">
        <f>Econ!B235</f>
        <v>234</v>
      </c>
      <c r="D235" s="7"/>
      <c r="E235" s="9"/>
      <c r="F235" s="9"/>
      <c r="G235" s="10">
        <f>Econ!L235</f>
        <v>141770</v>
      </c>
      <c r="H235" s="11">
        <f>Econ!M235</f>
        <v>12048</v>
      </c>
      <c r="I235" s="11">
        <f>Econ!N235</f>
        <v>2346</v>
      </c>
      <c r="J235" s="12">
        <f>Econ!O235</f>
        <v>6165</v>
      </c>
      <c r="K235" s="13">
        <f>Econ!P235</f>
        <v>35442.5</v>
      </c>
      <c r="L235" s="14">
        <f>Econ!Q235</f>
        <v>3012</v>
      </c>
      <c r="M235" s="14">
        <f>Econ!R235</f>
        <v>586.5</v>
      </c>
      <c r="N235" s="13">
        <f>Econ!S235</f>
        <v>1541.25</v>
      </c>
      <c r="O235" s="13">
        <f>Econ!T235</f>
        <v>24</v>
      </c>
      <c r="P235" s="7" t="str">
        <f>Econ!A235</f>
        <v>Archer</v>
      </c>
      <c r="Q235" s="10">
        <f>Econ!C235</f>
        <v>12977706.33</v>
      </c>
      <c r="R235" s="10">
        <f>Econ!E235</f>
        <v>504.4405899</v>
      </c>
      <c r="S235" s="10">
        <f>Econ!G235</f>
        <v>8651804.22</v>
      </c>
      <c r="T235" s="10">
        <f>Econ!I235</f>
        <v>1008.88118</v>
      </c>
    </row>
    <row r="236">
      <c r="A236" s="7" t="str">
        <f>Econ!A236&amp;if(Econ!B236&lt;10,"_0"&amp;Econ!B236,"_"&amp;Econ!B236)</f>
        <v>Archer_235</v>
      </c>
      <c r="B236" s="7" t="str">
        <f>"T"&amp;Econ!B236&amp;" "&amp;Econ!A236</f>
        <v>T235 Archer</v>
      </c>
      <c r="C236" s="8">
        <f>Econ!B236</f>
        <v>235</v>
      </c>
      <c r="D236" s="7"/>
      <c r="E236" s="9"/>
      <c r="F236" s="9"/>
      <c r="G236" s="10">
        <f>Econ!L236</f>
        <v>142847</v>
      </c>
      <c r="H236" s="11">
        <f>Econ!M236</f>
        <v>12135</v>
      </c>
      <c r="I236" s="11">
        <f>Econ!N236</f>
        <v>2390</v>
      </c>
      <c r="J236" s="12">
        <f>Econ!O236</f>
        <v>6209</v>
      </c>
      <c r="K236" s="13">
        <f>Econ!P236</f>
        <v>35711.75</v>
      </c>
      <c r="L236" s="14">
        <f>Econ!Q236</f>
        <v>3033.75</v>
      </c>
      <c r="M236" s="14">
        <f>Econ!R236</f>
        <v>597.5</v>
      </c>
      <c r="N236" s="13">
        <f>Econ!S236</f>
        <v>1552.25</v>
      </c>
      <c r="O236" s="13">
        <f>Econ!T236</f>
        <v>25</v>
      </c>
      <c r="P236" s="7" t="str">
        <f>Econ!A236</f>
        <v>Archer</v>
      </c>
      <c r="Q236" s="10">
        <f>Econ!C236</f>
        <v>13626591.65</v>
      </c>
      <c r="R236" s="10">
        <f>Econ!E236</f>
        <v>514.5294017</v>
      </c>
      <c r="S236" s="10">
        <f>Econ!G236</f>
        <v>9084394.431</v>
      </c>
      <c r="T236" s="10">
        <f>Econ!I236</f>
        <v>1029.058803</v>
      </c>
    </row>
    <row r="237">
      <c r="A237" s="7" t="str">
        <f>Econ!A237&amp;if(Econ!B237&lt;10,"_0"&amp;Econ!B237,"_"&amp;Econ!B237)</f>
        <v>Archer_236</v>
      </c>
      <c r="B237" s="7" t="str">
        <f>"T"&amp;Econ!B237&amp;" "&amp;Econ!A237</f>
        <v>T236 Archer</v>
      </c>
      <c r="C237" s="8">
        <f>Econ!B237</f>
        <v>236</v>
      </c>
      <c r="D237" s="7"/>
      <c r="E237" s="9"/>
      <c r="F237" s="9"/>
      <c r="G237" s="10">
        <f>Econ!L237</f>
        <v>143928</v>
      </c>
      <c r="H237" s="11">
        <f>Econ!M237</f>
        <v>12222</v>
      </c>
      <c r="I237" s="11">
        <f>Econ!N237</f>
        <v>2434</v>
      </c>
      <c r="J237" s="12">
        <f>Econ!O237</f>
        <v>6253</v>
      </c>
      <c r="K237" s="13">
        <f>Econ!P237</f>
        <v>35982</v>
      </c>
      <c r="L237" s="14">
        <f>Econ!Q237</f>
        <v>3055.5</v>
      </c>
      <c r="M237" s="14">
        <f>Econ!R237</f>
        <v>608.5</v>
      </c>
      <c r="N237" s="13">
        <f>Econ!S237</f>
        <v>1563.25</v>
      </c>
      <c r="O237" s="13">
        <f>Econ!T237</f>
        <v>25</v>
      </c>
      <c r="P237" s="7" t="str">
        <f>Econ!A237</f>
        <v>Archer</v>
      </c>
      <c r="Q237" s="10">
        <f>Econ!C237</f>
        <v>14307921.23</v>
      </c>
      <c r="R237" s="10">
        <f>Econ!E237</f>
        <v>524.8199897</v>
      </c>
      <c r="S237" s="10">
        <f>Econ!G237</f>
        <v>9538614.152</v>
      </c>
      <c r="T237" s="10">
        <f>Econ!I237</f>
        <v>1049.639979</v>
      </c>
    </row>
    <row r="238">
      <c r="A238" s="7" t="str">
        <f>Econ!A238&amp;if(Econ!B238&lt;10,"_0"&amp;Econ!B238,"_"&amp;Econ!B238)</f>
        <v>Archer_237</v>
      </c>
      <c r="B238" s="7" t="str">
        <f>"T"&amp;Econ!B238&amp;" "&amp;Econ!A238</f>
        <v>T237 Archer</v>
      </c>
      <c r="C238" s="8">
        <f>Econ!B238</f>
        <v>237</v>
      </c>
      <c r="D238" s="7"/>
      <c r="E238" s="9"/>
      <c r="F238" s="9"/>
      <c r="G238" s="10">
        <f>Econ!L238</f>
        <v>145012</v>
      </c>
      <c r="H238" s="11">
        <f>Econ!M238</f>
        <v>12310</v>
      </c>
      <c r="I238" s="11">
        <f>Econ!N238</f>
        <v>2478</v>
      </c>
      <c r="J238" s="12">
        <f>Econ!O238</f>
        <v>6297</v>
      </c>
      <c r="K238" s="13">
        <f>Econ!P238</f>
        <v>36253</v>
      </c>
      <c r="L238" s="14">
        <f>Econ!Q238</f>
        <v>3077.5</v>
      </c>
      <c r="M238" s="14">
        <f>Econ!R238</f>
        <v>619.5</v>
      </c>
      <c r="N238" s="13">
        <f>Econ!S238</f>
        <v>1574.25</v>
      </c>
      <c r="O238" s="13">
        <f>Econ!T238</f>
        <v>25</v>
      </c>
      <c r="P238" s="7" t="str">
        <f>Econ!A238</f>
        <v>Archer</v>
      </c>
      <c r="Q238" s="10">
        <f>Econ!C238</f>
        <v>15023317.29</v>
      </c>
      <c r="R238" s="10">
        <f>Econ!E238</f>
        <v>535.3163895</v>
      </c>
      <c r="S238" s="10">
        <f>Econ!G238</f>
        <v>10015544.86</v>
      </c>
      <c r="T238" s="10">
        <f>Econ!I238</f>
        <v>1070.632779</v>
      </c>
    </row>
    <row r="239">
      <c r="A239" s="7" t="str">
        <f>Econ!A239&amp;if(Econ!B239&lt;10,"_0"&amp;Econ!B239,"_"&amp;Econ!B239)</f>
        <v>Archer_238</v>
      </c>
      <c r="B239" s="7" t="str">
        <f>"T"&amp;Econ!B239&amp;" "&amp;Econ!A239</f>
        <v>T238 Archer</v>
      </c>
      <c r="C239" s="8">
        <f>Econ!B239</f>
        <v>238</v>
      </c>
      <c r="D239" s="7"/>
      <c r="E239" s="9"/>
      <c r="F239" s="9"/>
      <c r="G239" s="10">
        <f>Econ!L239</f>
        <v>146099</v>
      </c>
      <c r="H239" s="11">
        <f>Econ!M239</f>
        <v>12398</v>
      </c>
      <c r="I239" s="11">
        <f>Econ!N239</f>
        <v>2522</v>
      </c>
      <c r="J239" s="12">
        <f>Econ!O239</f>
        <v>6341</v>
      </c>
      <c r="K239" s="13">
        <f>Econ!P239</f>
        <v>36524.75</v>
      </c>
      <c r="L239" s="14">
        <f>Econ!Q239</f>
        <v>3099.5</v>
      </c>
      <c r="M239" s="14">
        <f>Econ!R239</f>
        <v>630.5</v>
      </c>
      <c r="N239" s="13">
        <f>Econ!S239</f>
        <v>1585.25</v>
      </c>
      <c r="O239" s="13">
        <f>Econ!T239</f>
        <v>25</v>
      </c>
      <c r="P239" s="7" t="str">
        <f>Econ!A239</f>
        <v>Archer</v>
      </c>
      <c r="Q239" s="10">
        <f>Econ!C239</f>
        <v>15774483.15</v>
      </c>
      <c r="R239" s="10">
        <f>Econ!E239</f>
        <v>546.0227173</v>
      </c>
      <c r="S239" s="10">
        <f>Econ!G239</f>
        <v>10516322.1</v>
      </c>
      <c r="T239" s="10">
        <f>Econ!I239</f>
        <v>1092.045435</v>
      </c>
    </row>
    <row r="240">
      <c r="A240" s="7" t="str">
        <f>Econ!A240&amp;if(Econ!B240&lt;10,"_0"&amp;Econ!B240,"_"&amp;Econ!B240)</f>
        <v>Archer_239</v>
      </c>
      <c r="B240" s="7" t="str">
        <f>"T"&amp;Econ!B240&amp;" "&amp;Econ!A240</f>
        <v>T239 Archer</v>
      </c>
      <c r="C240" s="8">
        <f>Econ!B240</f>
        <v>239</v>
      </c>
      <c r="D240" s="7"/>
      <c r="E240" s="9"/>
      <c r="F240" s="9"/>
      <c r="G240" s="10">
        <f>Econ!L240</f>
        <v>147189</v>
      </c>
      <c r="H240" s="11">
        <f>Econ!M240</f>
        <v>12486</v>
      </c>
      <c r="I240" s="11">
        <f>Econ!N240</f>
        <v>2567</v>
      </c>
      <c r="J240" s="12">
        <f>Econ!O240</f>
        <v>6386</v>
      </c>
      <c r="K240" s="13">
        <f>Econ!P240</f>
        <v>36797.25</v>
      </c>
      <c r="L240" s="14">
        <f>Econ!Q240</f>
        <v>3121.5</v>
      </c>
      <c r="M240" s="14">
        <f>Econ!R240</f>
        <v>641.75</v>
      </c>
      <c r="N240" s="13">
        <f>Econ!S240</f>
        <v>1596.5</v>
      </c>
      <c r="O240" s="13">
        <f>Econ!T240</f>
        <v>25</v>
      </c>
      <c r="P240" s="7" t="str">
        <f>Econ!A240</f>
        <v>Archer</v>
      </c>
      <c r="Q240" s="10">
        <f>Econ!C240</f>
        <v>16563207.31</v>
      </c>
      <c r="R240" s="10">
        <f>Econ!E240</f>
        <v>556.9431716</v>
      </c>
      <c r="S240" s="10">
        <f>Econ!G240</f>
        <v>11042138.21</v>
      </c>
      <c r="T240" s="10">
        <f>Econ!I240</f>
        <v>1113.886343</v>
      </c>
    </row>
    <row r="241">
      <c r="A241" s="7" t="str">
        <f>Econ!A241&amp;if(Econ!B241&lt;10,"_0"&amp;Econ!B241,"_"&amp;Econ!B241)</f>
        <v>Archer_240</v>
      </c>
      <c r="B241" s="7" t="str">
        <f>"T"&amp;Econ!B241&amp;" "&amp;Econ!A241</f>
        <v>T240 Archer</v>
      </c>
      <c r="C241" s="8">
        <f>Econ!B241</f>
        <v>240</v>
      </c>
      <c r="D241" s="7"/>
      <c r="E241" s="9"/>
      <c r="F241" s="9"/>
      <c r="G241" s="10">
        <f>Econ!L241</f>
        <v>148283</v>
      </c>
      <c r="H241" s="11">
        <f>Econ!M241</f>
        <v>12574</v>
      </c>
      <c r="I241" s="11">
        <f>Econ!N241</f>
        <v>2612</v>
      </c>
      <c r="J241" s="12">
        <f>Econ!O241</f>
        <v>6431</v>
      </c>
      <c r="K241" s="13">
        <f>Econ!P241</f>
        <v>37070.75</v>
      </c>
      <c r="L241" s="14">
        <f>Econ!Q241</f>
        <v>3143.5</v>
      </c>
      <c r="M241" s="14">
        <f>Econ!R241</f>
        <v>653</v>
      </c>
      <c r="N241" s="13">
        <f>Econ!S241</f>
        <v>1607.75</v>
      </c>
      <c r="O241" s="13">
        <f>Econ!T241</f>
        <v>25</v>
      </c>
      <c r="P241" s="7" t="str">
        <f>Econ!A241</f>
        <v>Archer</v>
      </c>
      <c r="Q241" s="10">
        <f>Econ!C241</f>
        <v>17391367.68</v>
      </c>
      <c r="R241" s="10">
        <f>Econ!E241</f>
        <v>568.0820351</v>
      </c>
      <c r="S241" s="10">
        <f>Econ!G241</f>
        <v>11594245.12</v>
      </c>
      <c r="T241" s="10">
        <f>Econ!I241</f>
        <v>1136.16407</v>
      </c>
    </row>
    <row r="242">
      <c r="A242" s="7" t="str">
        <f>Econ!A242&amp;if(Econ!B242&lt;10,"_0"&amp;Econ!B242,"_"&amp;Econ!B242)</f>
        <v>Archer_241</v>
      </c>
      <c r="B242" s="7" t="str">
        <f>"T"&amp;Econ!B242&amp;" "&amp;Econ!A242</f>
        <v>T241 Archer</v>
      </c>
      <c r="C242" s="8">
        <f>Econ!B242</f>
        <v>241</v>
      </c>
      <c r="D242" s="7"/>
      <c r="E242" s="9"/>
      <c r="F242" s="9"/>
      <c r="G242" s="10">
        <f>Econ!L242</f>
        <v>149380</v>
      </c>
      <c r="H242" s="11">
        <f>Econ!M242</f>
        <v>12663</v>
      </c>
      <c r="I242" s="11">
        <f>Econ!N242</f>
        <v>2657</v>
      </c>
      <c r="J242" s="12">
        <f>Econ!O242</f>
        <v>6476</v>
      </c>
      <c r="K242" s="13">
        <f>Econ!P242</f>
        <v>37345</v>
      </c>
      <c r="L242" s="14">
        <f>Econ!Q242</f>
        <v>3165.75</v>
      </c>
      <c r="M242" s="14">
        <f>Econ!R242</f>
        <v>664.25</v>
      </c>
      <c r="N242" s="13">
        <f>Econ!S242</f>
        <v>1619</v>
      </c>
      <c r="O242" s="13">
        <f>Econ!T242</f>
        <v>25</v>
      </c>
      <c r="P242" s="7" t="str">
        <f>Econ!A242</f>
        <v>Archer</v>
      </c>
      <c r="Q242" s="10">
        <f>Econ!C242</f>
        <v>18260936.06</v>
      </c>
      <c r="R242" s="10">
        <f>Econ!E242</f>
        <v>579.4436758</v>
      </c>
      <c r="S242" s="10">
        <f>Econ!G242</f>
        <v>12173957.37</v>
      </c>
      <c r="T242" s="10">
        <f>Econ!I242</f>
        <v>1158.887352</v>
      </c>
    </row>
    <row r="243">
      <c r="A243" s="7" t="str">
        <f>Econ!A243&amp;if(Econ!B243&lt;10,"_0"&amp;Econ!B243,"_"&amp;Econ!B243)</f>
        <v>Archer_242</v>
      </c>
      <c r="B243" s="7" t="str">
        <f>"T"&amp;Econ!B243&amp;" "&amp;Econ!A243</f>
        <v>T242 Archer</v>
      </c>
      <c r="C243" s="8">
        <f>Econ!B243</f>
        <v>242</v>
      </c>
      <c r="D243" s="7"/>
      <c r="E243" s="9"/>
      <c r="F243" s="9"/>
      <c r="G243" s="10">
        <f>Econ!L243</f>
        <v>150480</v>
      </c>
      <c r="H243" s="11">
        <f>Econ!M243</f>
        <v>12752</v>
      </c>
      <c r="I243" s="11">
        <f>Econ!N243</f>
        <v>2702</v>
      </c>
      <c r="J243" s="12">
        <f>Econ!O243</f>
        <v>6521</v>
      </c>
      <c r="K243" s="13">
        <f>Econ!P243</f>
        <v>37620</v>
      </c>
      <c r="L243" s="14">
        <f>Econ!Q243</f>
        <v>3188</v>
      </c>
      <c r="M243" s="14">
        <f>Econ!R243</f>
        <v>675.5</v>
      </c>
      <c r="N243" s="13">
        <f>Econ!S243</f>
        <v>1630.25</v>
      </c>
      <c r="O243" s="13">
        <f>Econ!T243</f>
        <v>25</v>
      </c>
      <c r="P243" s="7" t="str">
        <f>Econ!A243</f>
        <v>Archer</v>
      </c>
      <c r="Q243" s="10">
        <f>Econ!C243</f>
        <v>19173982.86</v>
      </c>
      <c r="R243" s="10">
        <f>Econ!E243</f>
        <v>591.0325493</v>
      </c>
      <c r="S243" s="10">
        <f>Econ!G243</f>
        <v>12782655.24</v>
      </c>
      <c r="T243" s="10">
        <f>Econ!I243</f>
        <v>1182.065099</v>
      </c>
    </row>
    <row r="244">
      <c r="A244" s="7" t="str">
        <f>Econ!A244&amp;if(Econ!B244&lt;10,"_0"&amp;Econ!B244,"_"&amp;Econ!B244)</f>
        <v>Archer_243</v>
      </c>
      <c r="B244" s="7" t="str">
        <f>"T"&amp;Econ!B244&amp;" "&amp;Econ!A244</f>
        <v>T243 Archer</v>
      </c>
      <c r="C244" s="8">
        <f>Econ!B244</f>
        <v>243</v>
      </c>
      <c r="D244" s="7"/>
      <c r="E244" s="9"/>
      <c r="F244" s="9"/>
      <c r="G244" s="10">
        <f>Econ!L244</f>
        <v>151583</v>
      </c>
      <c r="H244" s="11">
        <f>Econ!M244</f>
        <v>12841</v>
      </c>
      <c r="I244" s="11">
        <f>Econ!N244</f>
        <v>2747</v>
      </c>
      <c r="J244" s="12">
        <f>Econ!O244</f>
        <v>6566</v>
      </c>
      <c r="K244" s="13">
        <f>Econ!P244</f>
        <v>37895.75</v>
      </c>
      <c r="L244" s="14">
        <f>Econ!Q244</f>
        <v>3210.25</v>
      </c>
      <c r="M244" s="14">
        <f>Econ!R244</f>
        <v>686.75</v>
      </c>
      <c r="N244" s="13">
        <f>Econ!S244</f>
        <v>1641.5</v>
      </c>
      <c r="O244" s="13">
        <f>Econ!T244</f>
        <v>25</v>
      </c>
      <c r="P244" s="7" t="str">
        <f>Econ!A244</f>
        <v>Archer</v>
      </c>
      <c r="Q244" s="10">
        <f>Econ!C244</f>
        <v>20132682.01</v>
      </c>
      <c r="R244" s="10">
        <f>Econ!E244</f>
        <v>602.8532003</v>
      </c>
      <c r="S244" s="10">
        <f>Econ!G244</f>
        <v>13421788.01</v>
      </c>
      <c r="T244" s="10">
        <f>Econ!I244</f>
        <v>1205.706401</v>
      </c>
    </row>
    <row r="245">
      <c r="A245" s="7" t="str">
        <f>Econ!A245&amp;if(Econ!B245&lt;10,"_0"&amp;Econ!B245,"_"&amp;Econ!B245)</f>
        <v>Archer_244</v>
      </c>
      <c r="B245" s="7" t="str">
        <f>"T"&amp;Econ!B245&amp;" "&amp;Econ!A245</f>
        <v>T244 Archer</v>
      </c>
      <c r="C245" s="8">
        <f>Econ!B245</f>
        <v>244</v>
      </c>
      <c r="D245" s="7"/>
      <c r="E245" s="9"/>
      <c r="F245" s="9"/>
      <c r="G245" s="10">
        <f>Econ!L245</f>
        <v>152689</v>
      </c>
      <c r="H245" s="11">
        <f>Econ!M245</f>
        <v>12930</v>
      </c>
      <c r="I245" s="11">
        <f>Econ!N245</f>
        <v>2792</v>
      </c>
      <c r="J245" s="12">
        <f>Econ!O245</f>
        <v>6611</v>
      </c>
      <c r="K245" s="13">
        <f>Econ!P245</f>
        <v>38172.25</v>
      </c>
      <c r="L245" s="14">
        <f>Econ!Q245</f>
        <v>3232.5</v>
      </c>
      <c r="M245" s="14">
        <f>Econ!R245</f>
        <v>698</v>
      </c>
      <c r="N245" s="13">
        <f>Econ!S245</f>
        <v>1652.75</v>
      </c>
      <c r="O245" s="13">
        <f>Econ!T245</f>
        <v>25</v>
      </c>
      <c r="P245" s="7" t="str">
        <f>Econ!A245</f>
        <v>Archer</v>
      </c>
      <c r="Q245" s="10">
        <f>Econ!C245</f>
        <v>21139316.11</v>
      </c>
      <c r="R245" s="10">
        <f>Econ!E245</f>
        <v>614.9102643</v>
      </c>
      <c r="S245" s="10">
        <f>Econ!G245</f>
        <v>14092877.41</v>
      </c>
      <c r="T245" s="10">
        <f>Econ!I245</f>
        <v>1229.820529</v>
      </c>
    </row>
    <row r="246">
      <c r="A246" s="7" t="str">
        <f>Econ!A246&amp;if(Econ!B246&lt;10,"_0"&amp;Econ!B246,"_"&amp;Econ!B246)</f>
        <v>Archer_245</v>
      </c>
      <c r="B246" s="7" t="str">
        <f>"T"&amp;Econ!B246&amp;" "&amp;Econ!A246</f>
        <v>T245 Archer</v>
      </c>
      <c r="C246" s="8">
        <f>Econ!B246</f>
        <v>245</v>
      </c>
      <c r="D246" s="7"/>
      <c r="E246" s="9"/>
      <c r="F246" s="9"/>
      <c r="G246" s="10">
        <f>Econ!L246</f>
        <v>153798</v>
      </c>
      <c r="H246" s="11">
        <f>Econ!M246</f>
        <v>13020</v>
      </c>
      <c r="I246" s="11">
        <f>Econ!N246</f>
        <v>2837</v>
      </c>
      <c r="J246" s="12">
        <f>Econ!O246</f>
        <v>6656</v>
      </c>
      <c r="K246" s="13">
        <f>Econ!P246</f>
        <v>38449.5</v>
      </c>
      <c r="L246" s="14">
        <f>Econ!Q246</f>
        <v>3255</v>
      </c>
      <c r="M246" s="14">
        <f>Econ!R246</f>
        <v>709.25</v>
      </c>
      <c r="N246" s="13">
        <f>Econ!S246</f>
        <v>1664</v>
      </c>
      <c r="O246" s="13">
        <f>Econ!T246</f>
        <v>26</v>
      </c>
      <c r="P246" s="7" t="str">
        <f>Econ!A246</f>
        <v>Archer</v>
      </c>
      <c r="Q246" s="10">
        <f>Econ!C246</f>
        <v>22196281.91</v>
      </c>
      <c r="R246" s="10">
        <f>Econ!E246</f>
        <v>627.2084696</v>
      </c>
      <c r="S246" s="10">
        <f>Econ!G246</f>
        <v>14797521.28</v>
      </c>
      <c r="T246" s="10">
        <f>Econ!I246</f>
        <v>1254.416939</v>
      </c>
    </row>
    <row r="247">
      <c r="A247" s="7" t="str">
        <f>Econ!A247&amp;if(Econ!B247&lt;10,"_0"&amp;Econ!B247,"_"&amp;Econ!B247)</f>
        <v>Archer_246</v>
      </c>
      <c r="B247" s="7" t="str">
        <f>"T"&amp;Econ!B247&amp;" "&amp;Econ!A247</f>
        <v>T246 Archer</v>
      </c>
      <c r="C247" s="8">
        <f>Econ!B247</f>
        <v>246</v>
      </c>
      <c r="D247" s="7"/>
      <c r="E247" s="9"/>
      <c r="F247" s="9"/>
      <c r="G247" s="10">
        <f>Econ!L247</f>
        <v>154911</v>
      </c>
      <c r="H247" s="11">
        <f>Econ!M247</f>
        <v>13110</v>
      </c>
      <c r="I247" s="11">
        <f>Econ!N247</f>
        <v>2882</v>
      </c>
      <c r="J247" s="12">
        <f>Econ!O247</f>
        <v>6701</v>
      </c>
      <c r="K247" s="13">
        <f>Econ!P247</f>
        <v>38727.75</v>
      </c>
      <c r="L247" s="14">
        <f>Econ!Q247</f>
        <v>3277.5</v>
      </c>
      <c r="M247" s="14">
        <f>Econ!R247</f>
        <v>720.5</v>
      </c>
      <c r="N247" s="13">
        <f>Econ!S247</f>
        <v>1675.25</v>
      </c>
      <c r="O247" s="13">
        <f>Econ!T247</f>
        <v>26</v>
      </c>
      <c r="P247" s="7" t="str">
        <f>Econ!A247</f>
        <v>Archer</v>
      </c>
      <c r="Q247" s="10">
        <f>Econ!C247</f>
        <v>23306096.01</v>
      </c>
      <c r="R247" s="10">
        <f>Econ!E247</f>
        <v>639.7526389</v>
      </c>
      <c r="S247" s="10">
        <f>Econ!G247</f>
        <v>15537397.34</v>
      </c>
      <c r="T247" s="10">
        <f>Econ!I247</f>
        <v>1279.505278</v>
      </c>
    </row>
    <row r="248">
      <c r="A248" s="7" t="str">
        <f>Econ!A248&amp;if(Econ!B248&lt;10,"_0"&amp;Econ!B248,"_"&amp;Econ!B248)</f>
        <v>Archer_247</v>
      </c>
      <c r="B248" s="7" t="str">
        <f>"T"&amp;Econ!B248&amp;" "&amp;Econ!A248</f>
        <v>T247 Archer</v>
      </c>
      <c r="C248" s="8">
        <f>Econ!B248</f>
        <v>247</v>
      </c>
      <c r="D248" s="7"/>
      <c r="E248" s="9"/>
      <c r="F248" s="9"/>
      <c r="G248" s="10">
        <f>Econ!L248</f>
        <v>156027</v>
      </c>
      <c r="H248" s="11">
        <f>Econ!M248</f>
        <v>13200</v>
      </c>
      <c r="I248" s="11">
        <f>Econ!N248</f>
        <v>2928</v>
      </c>
      <c r="J248" s="12">
        <f>Econ!O248</f>
        <v>6747</v>
      </c>
      <c r="K248" s="13">
        <f>Econ!P248</f>
        <v>39006.75</v>
      </c>
      <c r="L248" s="14">
        <f>Econ!Q248</f>
        <v>3300</v>
      </c>
      <c r="M248" s="14">
        <f>Econ!R248</f>
        <v>732</v>
      </c>
      <c r="N248" s="13">
        <f>Econ!S248</f>
        <v>1686.75</v>
      </c>
      <c r="O248" s="13">
        <f>Econ!T248</f>
        <v>26</v>
      </c>
      <c r="P248" s="7" t="str">
        <f>Econ!A248</f>
        <v>Archer</v>
      </c>
      <c r="Q248" s="10">
        <f>Econ!C248</f>
        <v>24471400.81</v>
      </c>
      <c r="R248" s="10">
        <f>Econ!E248</f>
        <v>652.5476917</v>
      </c>
      <c r="S248" s="10">
        <f>Econ!G248</f>
        <v>16314267.21</v>
      </c>
      <c r="T248" s="10">
        <f>Econ!I248</f>
        <v>1305.095383</v>
      </c>
    </row>
    <row r="249">
      <c r="A249" s="7" t="str">
        <f>Econ!A249&amp;if(Econ!B249&lt;10,"_0"&amp;Econ!B249,"_"&amp;Econ!B249)</f>
        <v>Archer_248</v>
      </c>
      <c r="B249" s="7" t="str">
        <f>"T"&amp;Econ!B249&amp;" "&amp;Econ!A249</f>
        <v>T248 Archer</v>
      </c>
      <c r="C249" s="8">
        <f>Econ!B249</f>
        <v>248</v>
      </c>
      <c r="D249" s="7"/>
      <c r="E249" s="9"/>
      <c r="F249" s="9"/>
      <c r="G249" s="10">
        <f>Econ!L249</f>
        <v>157146</v>
      </c>
      <c r="H249" s="11">
        <f>Econ!M249</f>
        <v>13290</v>
      </c>
      <c r="I249" s="11">
        <f>Econ!N249</f>
        <v>2974</v>
      </c>
      <c r="J249" s="12">
        <f>Econ!O249</f>
        <v>6793</v>
      </c>
      <c r="K249" s="13">
        <f>Econ!P249</f>
        <v>39286.5</v>
      </c>
      <c r="L249" s="14">
        <f>Econ!Q249</f>
        <v>3322.5</v>
      </c>
      <c r="M249" s="14">
        <f>Econ!R249</f>
        <v>743.5</v>
      </c>
      <c r="N249" s="13">
        <f>Econ!S249</f>
        <v>1698.25</v>
      </c>
      <c r="O249" s="13">
        <f>Econ!T249</f>
        <v>26</v>
      </c>
      <c r="P249" s="7" t="str">
        <f>Econ!A249</f>
        <v>Archer</v>
      </c>
      <c r="Q249" s="10">
        <f>Econ!C249</f>
        <v>25694970.85</v>
      </c>
      <c r="R249" s="10">
        <f>Econ!E249</f>
        <v>665.5986456</v>
      </c>
      <c r="S249" s="10">
        <f>Econ!G249</f>
        <v>17129980.57</v>
      </c>
      <c r="T249" s="10">
        <f>Econ!I249</f>
        <v>1331.197291</v>
      </c>
    </row>
    <row r="250">
      <c r="A250" s="7" t="str">
        <f>Econ!A250&amp;if(Econ!B250&lt;10,"_0"&amp;Econ!B250,"_"&amp;Econ!B250)</f>
        <v>Archer_249</v>
      </c>
      <c r="B250" s="7" t="str">
        <f>"T"&amp;Econ!B250&amp;" "&amp;Econ!A250</f>
        <v>T249 Archer</v>
      </c>
      <c r="C250" s="8">
        <f>Econ!B250</f>
        <v>249</v>
      </c>
      <c r="D250" s="7"/>
      <c r="E250" s="9"/>
      <c r="F250" s="9"/>
      <c r="G250" s="10">
        <f>Econ!L250</f>
        <v>158268</v>
      </c>
      <c r="H250" s="11">
        <f>Econ!M250</f>
        <v>13381</v>
      </c>
      <c r="I250" s="11">
        <f>Econ!N250</f>
        <v>3020</v>
      </c>
      <c r="J250" s="12">
        <f>Econ!O250</f>
        <v>6839</v>
      </c>
      <c r="K250" s="13">
        <f>Econ!P250</f>
        <v>39567</v>
      </c>
      <c r="L250" s="14">
        <f>Econ!Q250</f>
        <v>3345.25</v>
      </c>
      <c r="M250" s="14">
        <f>Econ!R250</f>
        <v>755</v>
      </c>
      <c r="N250" s="13">
        <f>Econ!S250</f>
        <v>1709.75</v>
      </c>
      <c r="O250" s="13">
        <f>Econ!T250</f>
        <v>26</v>
      </c>
      <c r="P250" s="7" t="str">
        <f>Econ!A250</f>
        <v>Archer</v>
      </c>
      <c r="Q250" s="10">
        <f>Econ!C250</f>
        <v>26979719.39</v>
      </c>
      <c r="R250" s="10">
        <f>Econ!E250</f>
        <v>678.9106185</v>
      </c>
      <c r="S250" s="10">
        <f>Econ!G250</f>
        <v>17986479.6</v>
      </c>
      <c r="T250" s="10">
        <f>Econ!I250</f>
        <v>1357.821237</v>
      </c>
    </row>
    <row r="251">
      <c r="A251" s="7" t="str">
        <f>Econ!A251&amp;if(Econ!B251&lt;10,"_0"&amp;Econ!B251,"_"&amp;Econ!B251)</f>
        <v>Archer_250</v>
      </c>
      <c r="B251" s="7" t="str">
        <f>"T"&amp;Econ!B251&amp;" "&amp;Econ!A251</f>
        <v>T250 Archer</v>
      </c>
      <c r="C251" s="8">
        <f>Econ!B251</f>
        <v>250</v>
      </c>
      <c r="D251" s="7"/>
      <c r="E251" s="9"/>
      <c r="F251" s="9"/>
      <c r="G251" s="10">
        <f>Econ!L251</f>
        <v>159393</v>
      </c>
      <c r="H251" s="11">
        <f>Econ!M251</f>
        <v>13472</v>
      </c>
      <c r="I251" s="11">
        <f>Econ!N251</f>
        <v>3066</v>
      </c>
      <c r="J251" s="12">
        <f>Econ!O251</f>
        <v>6885</v>
      </c>
      <c r="K251" s="13">
        <f>Econ!P251</f>
        <v>39848.25</v>
      </c>
      <c r="L251" s="14">
        <f>Econ!Q251</f>
        <v>3368</v>
      </c>
      <c r="M251" s="14">
        <f>Econ!R251</f>
        <v>766.5</v>
      </c>
      <c r="N251" s="13">
        <f>Econ!S251</f>
        <v>1721.25</v>
      </c>
      <c r="O251" s="13">
        <f>Econ!T251</f>
        <v>26</v>
      </c>
      <c r="P251" s="7" t="str">
        <f>Econ!A251</f>
        <v>Archer</v>
      </c>
      <c r="Q251" s="10">
        <f>Econ!C251</f>
        <v>28328705.36</v>
      </c>
      <c r="R251" s="10">
        <f>Econ!E251</f>
        <v>692.4888308</v>
      </c>
      <c r="S251" s="10">
        <f>Econ!G251</f>
        <v>18885803.57</v>
      </c>
      <c r="T251" s="10">
        <f>Econ!I251</f>
        <v>1384.977662</v>
      </c>
    </row>
    <row r="252">
      <c r="A252" s="7" t="str">
        <f>Econ!A252&amp;if(Econ!B252&lt;10,"_0"&amp;Econ!B252,"_"&amp;Econ!B252)</f>
        <v>Archer_251</v>
      </c>
      <c r="B252" s="7" t="str">
        <f>"T"&amp;Econ!B252&amp;" "&amp;Econ!A252</f>
        <v>T251 Archer</v>
      </c>
      <c r="C252" s="8">
        <f>Econ!B252</f>
        <v>251</v>
      </c>
      <c r="D252" s="7"/>
      <c r="E252" s="9"/>
      <c r="F252" s="9"/>
      <c r="G252" s="10">
        <f>Econ!L252</f>
        <v>160521</v>
      </c>
      <c r="H252" s="11">
        <f>Econ!M252</f>
        <v>13563</v>
      </c>
      <c r="I252" s="11">
        <f>Econ!N252</f>
        <v>3112</v>
      </c>
      <c r="J252" s="12">
        <f>Econ!O252</f>
        <v>6931</v>
      </c>
      <c r="K252" s="13">
        <f>Econ!P252</f>
        <v>40130.25</v>
      </c>
      <c r="L252" s="14">
        <f>Econ!Q252</f>
        <v>3390.75</v>
      </c>
      <c r="M252" s="14">
        <f>Econ!R252</f>
        <v>778</v>
      </c>
      <c r="N252" s="13">
        <f>Econ!S252</f>
        <v>1732.75</v>
      </c>
      <c r="O252" s="13">
        <f>Econ!T252</f>
        <v>26</v>
      </c>
      <c r="P252" s="7" t="str">
        <f>Econ!A252</f>
        <v>Archer</v>
      </c>
      <c r="Q252" s="10">
        <f>Econ!C252</f>
        <v>29745140.63</v>
      </c>
      <c r="R252" s="10">
        <f>Econ!E252</f>
        <v>706.3386075</v>
      </c>
      <c r="S252" s="10">
        <f>Econ!G252</f>
        <v>19830093.75</v>
      </c>
      <c r="T252" s="10">
        <f>Econ!I252</f>
        <v>1412.677215</v>
      </c>
    </row>
    <row r="253">
      <c r="A253" s="7" t="str">
        <f>Econ!A253&amp;if(Econ!B253&lt;10,"_0"&amp;Econ!B253,"_"&amp;Econ!B253)</f>
        <v>Archer_252</v>
      </c>
      <c r="B253" s="7" t="str">
        <f>"T"&amp;Econ!B253&amp;" "&amp;Econ!A253</f>
        <v>T252 Archer</v>
      </c>
      <c r="C253" s="8">
        <f>Econ!B253</f>
        <v>252</v>
      </c>
      <c r="D253" s="7"/>
      <c r="E253" s="9"/>
      <c r="F253" s="9"/>
      <c r="G253" s="10">
        <f>Econ!L253</f>
        <v>161653</v>
      </c>
      <c r="H253" s="11">
        <f>Econ!M253</f>
        <v>13654</v>
      </c>
      <c r="I253" s="11">
        <f>Econ!N253</f>
        <v>3158</v>
      </c>
      <c r="J253" s="12">
        <f>Econ!O253</f>
        <v>6977</v>
      </c>
      <c r="K253" s="13">
        <f>Econ!P253</f>
        <v>40413.25</v>
      </c>
      <c r="L253" s="14">
        <f>Econ!Q253</f>
        <v>3413.5</v>
      </c>
      <c r="M253" s="14">
        <f>Econ!R253</f>
        <v>789.5</v>
      </c>
      <c r="N253" s="13">
        <f>Econ!S253</f>
        <v>1744.25</v>
      </c>
      <c r="O253" s="13">
        <f>Econ!T253</f>
        <v>26</v>
      </c>
      <c r="P253" s="7" t="str">
        <f>Econ!A253</f>
        <v>Archer</v>
      </c>
      <c r="Q253" s="10">
        <f>Econ!C253</f>
        <v>31232397.66</v>
      </c>
      <c r="R253" s="10">
        <f>Econ!E253</f>
        <v>720.4653796</v>
      </c>
      <c r="S253" s="10">
        <f>Econ!G253</f>
        <v>20821598.44</v>
      </c>
      <c r="T253" s="10">
        <f>Econ!I253</f>
        <v>1440.930759</v>
      </c>
    </row>
    <row r="254">
      <c r="A254" s="7" t="str">
        <f>Econ!A254&amp;if(Econ!B254&lt;10,"_0"&amp;Econ!B254,"_"&amp;Econ!B254)</f>
        <v>Archer_253</v>
      </c>
      <c r="B254" s="7" t="str">
        <f>"T"&amp;Econ!B254&amp;" "&amp;Econ!A254</f>
        <v>T253 Archer</v>
      </c>
      <c r="C254" s="8">
        <f>Econ!B254</f>
        <v>253</v>
      </c>
      <c r="D254" s="7"/>
      <c r="E254" s="9"/>
      <c r="F254" s="9"/>
      <c r="G254" s="10">
        <f>Econ!L254</f>
        <v>162788</v>
      </c>
      <c r="H254" s="11">
        <f>Econ!M254</f>
        <v>13746</v>
      </c>
      <c r="I254" s="11">
        <f>Econ!N254</f>
        <v>3204</v>
      </c>
      <c r="J254" s="12">
        <f>Econ!O254</f>
        <v>7023</v>
      </c>
      <c r="K254" s="13">
        <f>Econ!P254</f>
        <v>40697</v>
      </c>
      <c r="L254" s="14">
        <f>Econ!Q254</f>
        <v>3436.5</v>
      </c>
      <c r="M254" s="14">
        <f>Econ!R254</f>
        <v>801</v>
      </c>
      <c r="N254" s="13">
        <f>Econ!S254</f>
        <v>1755.75</v>
      </c>
      <c r="O254" s="13">
        <f>Econ!T254</f>
        <v>26</v>
      </c>
      <c r="P254" s="7" t="str">
        <f>Econ!A254</f>
        <v>Archer</v>
      </c>
      <c r="Q254" s="10">
        <f>Econ!C254</f>
        <v>32794017.54</v>
      </c>
      <c r="R254" s="10">
        <f>Econ!E254</f>
        <v>734.8746872</v>
      </c>
      <c r="S254" s="10">
        <f>Econ!G254</f>
        <v>21862678.36</v>
      </c>
      <c r="T254" s="10">
        <f>Econ!I254</f>
        <v>1469.749374</v>
      </c>
    </row>
    <row r="255">
      <c r="A255" s="7" t="str">
        <f>Econ!A255&amp;if(Econ!B255&lt;10,"_0"&amp;Econ!B255,"_"&amp;Econ!B255)</f>
        <v>Archer_254</v>
      </c>
      <c r="B255" s="7" t="str">
        <f>"T"&amp;Econ!B255&amp;" "&amp;Econ!A255</f>
        <v>T254 Archer</v>
      </c>
      <c r="C255" s="8">
        <f>Econ!B255</f>
        <v>254</v>
      </c>
      <c r="D255" s="7"/>
      <c r="E255" s="9"/>
      <c r="F255" s="9"/>
      <c r="G255" s="10">
        <f>Econ!L255</f>
        <v>163926</v>
      </c>
      <c r="H255" s="11">
        <f>Econ!M255</f>
        <v>13838</v>
      </c>
      <c r="I255" s="11">
        <f>Econ!N255</f>
        <v>3250</v>
      </c>
      <c r="J255" s="12">
        <f>Econ!O255</f>
        <v>7069</v>
      </c>
      <c r="K255" s="13">
        <f>Econ!P255</f>
        <v>40981.5</v>
      </c>
      <c r="L255" s="14">
        <f>Econ!Q255</f>
        <v>3459.5</v>
      </c>
      <c r="M255" s="14">
        <f>Econ!R255</f>
        <v>812.5</v>
      </c>
      <c r="N255" s="13">
        <f>Econ!S255</f>
        <v>1767.25</v>
      </c>
      <c r="O255" s="13">
        <f>Econ!T255</f>
        <v>26</v>
      </c>
      <c r="P255" s="7" t="str">
        <f>Econ!A255</f>
        <v>Archer</v>
      </c>
      <c r="Q255" s="10">
        <f>Econ!C255</f>
        <v>34433718.42</v>
      </c>
      <c r="R255" s="10">
        <f>Econ!E255</f>
        <v>749.5721809</v>
      </c>
      <c r="S255" s="10">
        <f>Econ!G255</f>
        <v>22955812.28</v>
      </c>
      <c r="T255" s="10">
        <f>Econ!I255</f>
        <v>1499.144362</v>
      </c>
    </row>
    <row r="256">
      <c r="A256" s="7" t="str">
        <f>Econ!A256&amp;if(Econ!B256&lt;10,"_0"&amp;Econ!B256,"_"&amp;Econ!B256)</f>
        <v>Archer_255</v>
      </c>
      <c r="B256" s="7" t="str">
        <f>"T"&amp;Econ!B256&amp;" "&amp;Econ!A256</f>
        <v>T255 Archer</v>
      </c>
      <c r="C256" s="8">
        <f>Econ!B256</f>
        <v>255</v>
      </c>
      <c r="D256" s="7"/>
      <c r="E256" s="9"/>
      <c r="F256" s="9"/>
      <c r="G256" s="10">
        <f>Econ!L256</f>
        <v>165067</v>
      </c>
      <c r="H256" s="11">
        <f>Econ!M256</f>
        <v>13930</v>
      </c>
      <c r="I256" s="11">
        <f>Econ!N256</f>
        <v>3297</v>
      </c>
      <c r="J256" s="12">
        <f>Econ!O256</f>
        <v>7116</v>
      </c>
      <c r="K256" s="13">
        <f>Econ!P256</f>
        <v>41266.75</v>
      </c>
      <c r="L256" s="14">
        <f>Econ!Q256</f>
        <v>3482.5</v>
      </c>
      <c r="M256" s="14">
        <f>Econ!R256</f>
        <v>824.25</v>
      </c>
      <c r="N256" s="13">
        <f>Econ!S256</f>
        <v>1779</v>
      </c>
      <c r="O256" s="13">
        <f>Econ!T256</f>
        <v>27</v>
      </c>
      <c r="P256" s="7" t="str">
        <f>Econ!A256</f>
        <v>Archer</v>
      </c>
      <c r="Q256" s="10">
        <f>Econ!C256</f>
        <v>36155404.34</v>
      </c>
      <c r="R256" s="10">
        <f>Econ!E256</f>
        <v>764.5636246</v>
      </c>
      <c r="S256" s="10">
        <f>Econ!G256</f>
        <v>24103602.9</v>
      </c>
      <c r="T256" s="10">
        <f>Econ!I256</f>
        <v>1529.127249</v>
      </c>
    </row>
    <row r="257">
      <c r="A257" s="7" t="str">
        <f>Econ!A257&amp;if(Econ!B257&lt;10,"_0"&amp;Econ!B257,"_"&amp;Econ!B257)</f>
        <v>Archer_256</v>
      </c>
      <c r="B257" s="7" t="str">
        <f>"T"&amp;Econ!B257&amp;" "&amp;Econ!A257</f>
        <v>T256 Archer</v>
      </c>
      <c r="C257" s="8">
        <f>Econ!B257</f>
        <v>256</v>
      </c>
      <c r="D257" s="7"/>
      <c r="E257" s="9"/>
      <c r="F257" s="9"/>
      <c r="G257" s="10">
        <f>Econ!L257</f>
        <v>166211</v>
      </c>
      <c r="H257" s="11">
        <f>Econ!M257</f>
        <v>14022</v>
      </c>
      <c r="I257" s="11">
        <f>Econ!N257</f>
        <v>3344</v>
      </c>
      <c r="J257" s="12">
        <f>Econ!O257</f>
        <v>7163</v>
      </c>
      <c r="K257" s="13">
        <f>Econ!P257</f>
        <v>41552.75</v>
      </c>
      <c r="L257" s="14">
        <f>Econ!Q257</f>
        <v>3505.5</v>
      </c>
      <c r="M257" s="14">
        <f>Econ!R257</f>
        <v>836</v>
      </c>
      <c r="N257" s="13">
        <f>Econ!S257</f>
        <v>1790.75</v>
      </c>
      <c r="O257" s="13">
        <f>Econ!T257</f>
        <v>27</v>
      </c>
      <c r="P257" s="7" t="str">
        <f>Econ!A257</f>
        <v>Archer</v>
      </c>
      <c r="Q257" s="10">
        <f>Econ!C257</f>
        <v>37963174.56</v>
      </c>
      <c r="R257" s="10">
        <f>Econ!E257</f>
        <v>779.8548971</v>
      </c>
      <c r="S257" s="10">
        <f>Econ!G257</f>
        <v>25308783.04</v>
      </c>
      <c r="T257" s="10">
        <f>Econ!I257</f>
        <v>1559.709794</v>
      </c>
    </row>
    <row r="258">
      <c r="A258" s="7" t="str">
        <f>Econ!A258&amp;if(Econ!B258&lt;10,"_0"&amp;Econ!B258,"_"&amp;Econ!B258)</f>
        <v>Archer_257</v>
      </c>
      <c r="B258" s="7" t="str">
        <f>"T"&amp;Econ!B258&amp;" "&amp;Econ!A258</f>
        <v>T257 Archer</v>
      </c>
      <c r="C258" s="8">
        <f>Econ!B258</f>
        <v>257</v>
      </c>
      <c r="D258" s="7"/>
      <c r="E258" s="9"/>
      <c r="F258" s="9"/>
      <c r="G258" s="10">
        <f>Econ!L258</f>
        <v>167358</v>
      </c>
      <c r="H258" s="11">
        <f>Econ!M258</f>
        <v>14115</v>
      </c>
      <c r="I258" s="11">
        <f>Econ!N258</f>
        <v>3391</v>
      </c>
      <c r="J258" s="12">
        <f>Econ!O258</f>
        <v>7210</v>
      </c>
      <c r="K258" s="13">
        <f>Econ!P258</f>
        <v>41839.5</v>
      </c>
      <c r="L258" s="14">
        <f>Econ!Q258</f>
        <v>3528.75</v>
      </c>
      <c r="M258" s="14">
        <f>Econ!R258</f>
        <v>847.75</v>
      </c>
      <c r="N258" s="13">
        <f>Econ!S258</f>
        <v>1802.5</v>
      </c>
      <c r="O258" s="13">
        <f>Econ!T258</f>
        <v>27</v>
      </c>
      <c r="P258" s="7" t="str">
        <f>Econ!A258</f>
        <v>Archer</v>
      </c>
      <c r="Q258" s="10">
        <f>Econ!C258</f>
        <v>39861333.29</v>
      </c>
      <c r="R258" s="10">
        <f>Econ!E258</f>
        <v>795.451995</v>
      </c>
      <c r="S258" s="10">
        <f>Econ!G258</f>
        <v>26574222.19</v>
      </c>
      <c r="T258" s="10">
        <f>Econ!I258</f>
        <v>1590.90399</v>
      </c>
    </row>
    <row r="259">
      <c r="A259" s="7" t="str">
        <f>Econ!A259&amp;if(Econ!B259&lt;10,"_0"&amp;Econ!B259,"_"&amp;Econ!B259)</f>
        <v>Archer_258</v>
      </c>
      <c r="B259" s="7" t="str">
        <f>"T"&amp;Econ!B259&amp;" "&amp;Econ!A259</f>
        <v>T258 Archer</v>
      </c>
      <c r="C259" s="8">
        <f>Econ!B259</f>
        <v>258</v>
      </c>
      <c r="D259" s="7"/>
      <c r="E259" s="9"/>
      <c r="F259" s="9"/>
      <c r="G259" s="10">
        <f>Econ!L259</f>
        <v>168508</v>
      </c>
      <c r="H259" s="11">
        <f>Econ!M259</f>
        <v>14208</v>
      </c>
      <c r="I259" s="11">
        <f>Econ!N259</f>
        <v>3438</v>
      </c>
      <c r="J259" s="12">
        <f>Econ!O259</f>
        <v>7257</v>
      </c>
      <c r="K259" s="13">
        <f>Econ!P259</f>
        <v>42127</v>
      </c>
      <c r="L259" s="14">
        <f>Econ!Q259</f>
        <v>3552</v>
      </c>
      <c r="M259" s="14">
        <f>Econ!R259</f>
        <v>859.5</v>
      </c>
      <c r="N259" s="13">
        <f>Econ!S259</f>
        <v>1814.25</v>
      </c>
      <c r="O259" s="13">
        <f>Econ!T259</f>
        <v>27</v>
      </c>
      <c r="P259" s="7" t="str">
        <f>Econ!A259</f>
        <v>Archer</v>
      </c>
      <c r="Q259" s="10">
        <f>Econ!C259</f>
        <v>41854399.95</v>
      </c>
      <c r="R259" s="10">
        <f>Econ!E259</f>
        <v>811.3610349</v>
      </c>
      <c r="S259" s="10">
        <f>Econ!G259</f>
        <v>27902933.3</v>
      </c>
      <c r="T259" s="10">
        <f>Econ!I259</f>
        <v>1622.72207</v>
      </c>
    </row>
    <row r="260">
      <c r="A260" s="7" t="str">
        <f>Econ!A260&amp;if(Econ!B260&lt;10,"_0"&amp;Econ!B260,"_"&amp;Econ!B260)</f>
        <v>Archer_259</v>
      </c>
      <c r="B260" s="7" t="str">
        <f>"T"&amp;Econ!B260&amp;" "&amp;Econ!A260</f>
        <v>T259 Archer</v>
      </c>
      <c r="C260" s="8">
        <f>Econ!B260</f>
        <v>259</v>
      </c>
      <c r="D260" s="7"/>
      <c r="E260" s="9"/>
      <c r="F260" s="9"/>
      <c r="G260" s="10">
        <f>Econ!L260</f>
        <v>169662</v>
      </c>
      <c r="H260" s="11">
        <f>Econ!M260</f>
        <v>14301</v>
      </c>
      <c r="I260" s="11">
        <f>Econ!N260</f>
        <v>3485</v>
      </c>
      <c r="J260" s="12">
        <f>Econ!O260</f>
        <v>7304</v>
      </c>
      <c r="K260" s="13">
        <f>Econ!P260</f>
        <v>42415.5</v>
      </c>
      <c r="L260" s="14">
        <f>Econ!Q260</f>
        <v>3575.25</v>
      </c>
      <c r="M260" s="14">
        <f>Econ!R260</f>
        <v>871.25</v>
      </c>
      <c r="N260" s="13">
        <f>Econ!S260</f>
        <v>1826</v>
      </c>
      <c r="O260" s="13">
        <f>Econ!T260</f>
        <v>27</v>
      </c>
      <c r="P260" s="7" t="str">
        <f>Econ!A260</f>
        <v>Archer</v>
      </c>
      <c r="Q260" s="10">
        <f>Econ!C260</f>
        <v>43947119.95</v>
      </c>
      <c r="R260" s="10">
        <f>Econ!E260</f>
        <v>827.5882556</v>
      </c>
      <c r="S260" s="10">
        <f>Econ!G260</f>
        <v>29298079.97</v>
      </c>
      <c r="T260" s="10">
        <f>Econ!I260</f>
        <v>1655.176511</v>
      </c>
    </row>
    <row r="261">
      <c r="A261" s="7" t="str">
        <f>Econ!A261&amp;if(Econ!B261&lt;10,"_0"&amp;Econ!B261,"_"&amp;Econ!B261)</f>
        <v>Archer_260</v>
      </c>
      <c r="B261" s="7" t="str">
        <f>"T"&amp;Econ!B261&amp;" "&amp;Econ!A261</f>
        <v>T260 Archer</v>
      </c>
      <c r="C261" s="8">
        <f>Econ!B261</f>
        <v>260</v>
      </c>
      <c r="D261" s="7"/>
      <c r="E261" s="9"/>
      <c r="F261" s="9"/>
      <c r="G261" s="10">
        <f>Econ!L261</f>
        <v>170819</v>
      </c>
      <c r="H261" s="11">
        <f>Econ!M261</f>
        <v>14394</v>
      </c>
      <c r="I261" s="11">
        <f>Econ!N261</f>
        <v>3532</v>
      </c>
      <c r="J261" s="12">
        <f>Econ!O261</f>
        <v>7351</v>
      </c>
      <c r="K261" s="13">
        <f>Econ!P261</f>
        <v>42704.75</v>
      </c>
      <c r="L261" s="14">
        <f>Econ!Q261</f>
        <v>3598.5</v>
      </c>
      <c r="M261" s="14">
        <f>Econ!R261</f>
        <v>883</v>
      </c>
      <c r="N261" s="13">
        <f>Econ!S261</f>
        <v>1837.75</v>
      </c>
      <c r="O261" s="13">
        <f>Econ!T261</f>
        <v>27</v>
      </c>
      <c r="P261" s="7" t="str">
        <f>Econ!A261</f>
        <v>Archer</v>
      </c>
      <c r="Q261" s="10">
        <f>Econ!C261</f>
        <v>46144475.95</v>
      </c>
      <c r="R261" s="10">
        <f>Econ!E261</f>
        <v>844.1400207</v>
      </c>
      <c r="S261" s="10">
        <f>Econ!G261</f>
        <v>30762983.97</v>
      </c>
      <c r="T261" s="10">
        <f>Econ!I261</f>
        <v>1688.280041</v>
      </c>
    </row>
    <row r="262">
      <c r="A262" s="7" t="str">
        <f>Econ!A262&amp;if(Econ!B262&lt;10,"_0"&amp;Econ!B262,"_"&amp;Econ!B262)</f>
        <v>Archer_261</v>
      </c>
      <c r="B262" s="7" t="str">
        <f>"T"&amp;Econ!B262&amp;" "&amp;Econ!A262</f>
        <v>T261 Archer</v>
      </c>
      <c r="C262" s="8">
        <f>Econ!B262</f>
        <v>261</v>
      </c>
      <c r="D262" s="7"/>
      <c r="E262" s="9"/>
      <c r="F262" s="9"/>
      <c r="G262" s="10">
        <f>Econ!L262</f>
        <v>171979</v>
      </c>
      <c r="H262" s="11">
        <f>Econ!M262</f>
        <v>14488</v>
      </c>
      <c r="I262" s="11">
        <f>Econ!N262</f>
        <v>3579</v>
      </c>
      <c r="J262" s="12">
        <f>Econ!O262</f>
        <v>7398</v>
      </c>
      <c r="K262" s="13">
        <f>Econ!P262</f>
        <v>42994.75</v>
      </c>
      <c r="L262" s="14">
        <f>Econ!Q262</f>
        <v>3622</v>
      </c>
      <c r="M262" s="14">
        <f>Econ!R262</f>
        <v>894.75</v>
      </c>
      <c r="N262" s="13">
        <f>Econ!S262</f>
        <v>1849.5</v>
      </c>
      <c r="O262" s="13">
        <f>Econ!T262</f>
        <v>27</v>
      </c>
      <c r="P262" s="7" t="str">
        <f>Econ!A262</f>
        <v>Archer</v>
      </c>
      <c r="Q262" s="10">
        <f>Econ!C262</f>
        <v>48451699.75</v>
      </c>
      <c r="R262" s="10">
        <f>Econ!E262</f>
        <v>861.0228211</v>
      </c>
      <c r="S262" s="10">
        <f>Econ!G262</f>
        <v>32301133.16</v>
      </c>
      <c r="T262" s="10">
        <f>Econ!I262</f>
        <v>1722.045642</v>
      </c>
    </row>
    <row r="263">
      <c r="A263" s="7" t="str">
        <f>Econ!A263&amp;if(Econ!B263&lt;10,"_0"&amp;Econ!B263,"_"&amp;Econ!B263)</f>
        <v>Archer_262</v>
      </c>
      <c r="B263" s="7" t="str">
        <f>"T"&amp;Econ!B263&amp;" "&amp;Econ!A263</f>
        <v>T262 Archer</v>
      </c>
      <c r="C263" s="8">
        <f>Econ!B263</f>
        <v>262</v>
      </c>
      <c r="D263" s="7"/>
      <c r="E263" s="9"/>
      <c r="F263" s="9"/>
      <c r="G263" s="10">
        <f>Econ!L263</f>
        <v>173142</v>
      </c>
      <c r="H263" s="11">
        <f>Econ!M263</f>
        <v>14582</v>
      </c>
      <c r="I263" s="11">
        <f>Econ!N263</f>
        <v>3626</v>
      </c>
      <c r="J263" s="12">
        <f>Econ!O263</f>
        <v>7445</v>
      </c>
      <c r="K263" s="13">
        <f>Econ!P263</f>
        <v>43285.5</v>
      </c>
      <c r="L263" s="14">
        <f>Econ!Q263</f>
        <v>3645.5</v>
      </c>
      <c r="M263" s="14">
        <f>Econ!R263</f>
        <v>906.5</v>
      </c>
      <c r="N263" s="13">
        <f>Econ!S263</f>
        <v>1861.25</v>
      </c>
      <c r="O263" s="13">
        <f>Econ!T263</f>
        <v>27</v>
      </c>
      <c r="P263" s="7" t="str">
        <f>Econ!A263</f>
        <v>Archer</v>
      </c>
      <c r="Q263" s="10">
        <f>Econ!C263</f>
        <v>50874284.73</v>
      </c>
      <c r="R263" s="10">
        <f>Econ!E263</f>
        <v>878.2432775</v>
      </c>
      <c r="S263" s="10">
        <f>Econ!G263</f>
        <v>33916189.82</v>
      </c>
      <c r="T263" s="10">
        <f>Econ!I263</f>
        <v>1756.486555</v>
      </c>
    </row>
    <row r="264">
      <c r="A264" s="7" t="str">
        <f>Econ!A264&amp;if(Econ!B264&lt;10,"_0"&amp;Econ!B264,"_"&amp;Econ!B264)</f>
        <v>Archer_263</v>
      </c>
      <c r="B264" s="7" t="str">
        <f>"T"&amp;Econ!B264&amp;" "&amp;Econ!A264</f>
        <v>T263 Archer</v>
      </c>
      <c r="C264" s="8">
        <f>Econ!B264</f>
        <v>263</v>
      </c>
      <c r="D264" s="7"/>
      <c r="E264" s="9"/>
      <c r="F264" s="9"/>
      <c r="G264" s="10">
        <f>Econ!L264</f>
        <v>174308</v>
      </c>
      <c r="H264" s="11">
        <f>Econ!M264</f>
        <v>14676</v>
      </c>
      <c r="I264" s="11">
        <f>Econ!N264</f>
        <v>3674</v>
      </c>
      <c r="J264" s="12">
        <f>Econ!O264</f>
        <v>7493</v>
      </c>
      <c r="K264" s="13">
        <f>Econ!P264</f>
        <v>43577</v>
      </c>
      <c r="L264" s="14">
        <f>Econ!Q264</f>
        <v>3669</v>
      </c>
      <c r="M264" s="14">
        <f>Econ!R264</f>
        <v>918.5</v>
      </c>
      <c r="N264" s="13">
        <f>Econ!S264</f>
        <v>1873.25</v>
      </c>
      <c r="O264" s="13">
        <f>Econ!T264</f>
        <v>27</v>
      </c>
      <c r="P264" s="7" t="str">
        <f>Econ!A264</f>
        <v>Archer</v>
      </c>
      <c r="Q264" s="10">
        <f>Econ!C264</f>
        <v>53417998.97</v>
      </c>
      <c r="R264" s="10">
        <f>Econ!E264</f>
        <v>895.8081431</v>
      </c>
      <c r="S264" s="10">
        <f>Econ!G264</f>
        <v>35611999.31</v>
      </c>
      <c r="T264" s="10">
        <f>Econ!I264</f>
        <v>1791.616286</v>
      </c>
    </row>
    <row r="265">
      <c r="A265" s="7" t="str">
        <f>Econ!A265&amp;if(Econ!B265&lt;10,"_0"&amp;Econ!B265,"_"&amp;Econ!B265)</f>
        <v>Archer_264</v>
      </c>
      <c r="B265" s="7" t="str">
        <f>"T"&amp;Econ!B265&amp;" "&amp;Econ!A265</f>
        <v>T264 Archer</v>
      </c>
      <c r="C265" s="8">
        <f>Econ!B265</f>
        <v>264</v>
      </c>
      <c r="D265" s="7"/>
      <c r="E265" s="9"/>
      <c r="F265" s="9"/>
      <c r="G265" s="10">
        <f>Econ!L265</f>
        <v>175477</v>
      </c>
      <c r="H265" s="11">
        <f>Econ!M265</f>
        <v>14770</v>
      </c>
      <c r="I265" s="11">
        <f>Econ!N265</f>
        <v>3722</v>
      </c>
      <c r="J265" s="12">
        <f>Econ!O265</f>
        <v>7541</v>
      </c>
      <c r="K265" s="13">
        <f>Econ!P265</f>
        <v>43869.25</v>
      </c>
      <c r="L265" s="14">
        <f>Econ!Q265</f>
        <v>3692.5</v>
      </c>
      <c r="M265" s="14">
        <f>Econ!R265</f>
        <v>930.5</v>
      </c>
      <c r="N265" s="13">
        <f>Econ!S265</f>
        <v>1885.25</v>
      </c>
      <c r="O265" s="13">
        <f>Econ!T265</f>
        <v>27</v>
      </c>
      <c r="P265" s="7" t="str">
        <f>Econ!A265</f>
        <v>Archer</v>
      </c>
      <c r="Q265" s="10">
        <f>Econ!C265</f>
        <v>56088898.92</v>
      </c>
      <c r="R265" s="10">
        <f>Econ!E265</f>
        <v>913.724306</v>
      </c>
      <c r="S265" s="10">
        <f>Econ!G265</f>
        <v>37392599.28</v>
      </c>
      <c r="T265" s="10">
        <f>Econ!I265</f>
        <v>1827.448612</v>
      </c>
    </row>
    <row r="266">
      <c r="A266" s="7" t="str">
        <f>Econ!A266&amp;if(Econ!B266&lt;10,"_0"&amp;Econ!B266,"_"&amp;Econ!B266)</f>
        <v>Archer_265</v>
      </c>
      <c r="B266" s="7" t="str">
        <f>"T"&amp;Econ!B266&amp;" "&amp;Econ!A266</f>
        <v>T265 Archer</v>
      </c>
      <c r="C266" s="8">
        <f>Econ!B266</f>
        <v>265</v>
      </c>
      <c r="D266" s="7"/>
      <c r="E266" s="9"/>
      <c r="F266" s="9"/>
      <c r="G266" s="10">
        <f>Econ!L266</f>
        <v>176649</v>
      </c>
      <c r="H266" s="11">
        <f>Econ!M266</f>
        <v>14865</v>
      </c>
      <c r="I266" s="11">
        <f>Econ!N266</f>
        <v>3770</v>
      </c>
      <c r="J266" s="12">
        <f>Econ!O266</f>
        <v>7589</v>
      </c>
      <c r="K266" s="13">
        <f>Econ!P266</f>
        <v>44162.25</v>
      </c>
      <c r="L266" s="14">
        <f>Econ!Q266</f>
        <v>3716.25</v>
      </c>
      <c r="M266" s="14">
        <f>Econ!R266</f>
        <v>942.5</v>
      </c>
      <c r="N266" s="13">
        <f>Econ!S266</f>
        <v>1897.25</v>
      </c>
      <c r="O266" s="13">
        <f>Econ!T266</f>
        <v>28</v>
      </c>
      <c r="P266" s="7" t="str">
        <f>Econ!A266</f>
        <v>Archer</v>
      </c>
      <c r="Q266" s="10">
        <f>Econ!C266</f>
        <v>58893343.86</v>
      </c>
      <c r="R266" s="10">
        <f>Econ!E266</f>
        <v>931.9987921</v>
      </c>
      <c r="S266" s="10">
        <f>Econ!G266</f>
        <v>39262229.24</v>
      </c>
      <c r="T266" s="10">
        <f>Econ!I266</f>
        <v>1863.997584</v>
      </c>
    </row>
    <row r="267">
      <c r="A267" s="7" t="str">
        <f>Econ!A267&amp;if(Econ!B267&lt;10,"_0"&amp;Econ!B267,"_"&amp;Econ!B267)</f>
        <v>Archer_266</v>
      </c>
      <c r="B267" s="7" t="str">
        <f>"T"&amp;Econ!B267&amp;" "&amp;Econ!A267</f>
        <v>T266 Archer</v>
      </c>
      <c r="C267" s="8">
        <f>Econ!B267</f>
        <v>266</v>
      </c>
      <c r="D267" s="7"/>
      <c r="E267" s="9"/>
      <c r="F267" s="9"/>
      <c r="G267" s="10">
        <f>Econ!L267</f>
        <v>177824</v>
      </c>
      <c r="H267" s="11">
        <f>Econ!M267</f>
        <v>14960</v>
      </c>
      <c r="I267" s="11">
        <f>Econ!N267</f>
        <v>3818</v>
      </c>
      <c r="J267" s="12">
        <f>Econ!O267</f>
        <v>7637</v>
      </c>
      <c r="K267" s="13">
        <f>Econ!P267</f>
        <v>44456</v>
      </c>
      <c r="L267" s="14">
        <f>Econ!Q267</f>
        <v>3740</v>
      </c>
      <c r="M267" s="14">
        <f>Econ!R267</f>
        <v>954.5</v>
      </c>
      <c r="N267" s="13">
        <f>Econ!S267</f>
        <v>1909.25</v>
      </c>
      <c r="O267" s="13">
        <f>Econ!T267</f>
        <v>28</v>
      </c>
      <c r="P267" s="7" t="str">
        <f>Econ!A267</f>
        <v>Archer</v>
      </c>
      <c r="Q267" s="10">
        <f>Econ!C267</f>
        <v>61838011.06</v>
      </c>
      <c r="R267" s="10">
        <f>Econ!E267</f>
        <v>950.6387679</v>
      </c>
      <c r="S267" s="10">
        <f>Econ!G267</f>
        <v>41225340.7</v>
      </c>
      <c r="T267" s="10">
        <f>Econ!I267</f>
        <v>1901.277536</v>
      </c>
    </row>
    <row r="268">
      <c r="A268" s="7" t="str">
        <f>Econ!A268&amp;if(Econ!B268&lt;10,"_0"&amp;Econ!B268,"_"&amp;Econ!B268)</f>
        <v>Archer_267</v>
      </c>
      <c r="B268" s="7" t="str">
        <f>"T"&amp;Econ!B268&amp;" "&amp;Econ!A268</f>
        <v>T267 Archer</v>
      </c>
      <c r="C268" s="8">
        <f>Econ!B268</f>
        <v>267</v>
      </c>
      <c r="D268" s="7"/>
      <c r="E268" s="9"/>
      <c r="F268" s="9"/>
      <c r="G268" s="10">
        <f>Econ!L268</f>
        <v>179002</v>
      </c>
      <c r="H268" s="11">
        <f>Econ!M268</f>
        <v>15055</v>
      </c>
      <c r="I268" s="11">
        <f>Econ!N268</f>
        <v>3866</v>
      </c>
      <c r="J268" s="12">
        <f>Econ!O268</f>
        <v>7685</v>
      </c>
      <c r="K268" s="13">
        <f>Econ!P268</f>
        <v>44750.5</v>
      </c>
      <c r="L268" s="14">
        <f>Econ!Q268</f>
        <v>3763.75</v>
      </c>
      <c r="M268" s="14">
        <f>Econ!R268</f>
        <v>966.5</v>
      </c>
      <c r="N268" s="13">
        <f>Econ!S268</f>
        <v>1921.25</v>
      </c>
      <c r="O268" s="13">
        <f>Econ!T268</f>
        <v>28</v>
      </c>
      <c r="P268" s="7" t="str">
        <f>Econ!A268</f>
        <v>Archer</v>
      </c>
      <c r="Q268" s="10">
        <f>Econ!C268</f>
        <v>64929911.61</v>
      </c>
      <c r="R268" s="10">
        <f>Econ!E268</f>
        <v>969.6515433</v>
      </c>
      <c r="S268" s="10">
        <f>Econ!G268</f>
        <v>43286607.74</v>
      </c>
      <c r="T268" s="10">
        <f>Econ!I268</f>
        <v>1939.303087</v>
      </c>
    </row>
    <row r="269">
      <c r="A269" s="7" t="str">
        <f>Econ!A269&amp;if(Econ!B269&lt;10,"_0"&amp;Econ!B269,"_"&amp;Econ!B269)</f>
        <v>Archer_268</v>
      </c>
      <c r="B269" s="7" t="str">
        <f>"T"&amp;Econ!B269&amp;" "&amp;Econ!A269</f>
        <v>T268 Archer</v>
      </c>
      <c r="C269" s="8">
        <f>Econ!B269</f>
        <v>268</v>
      </c>
      <c r="D269" s="7"/>
      <c r="E269" s="9"/>
      <c r="F269" s="9"/>
      <c r="G269" s="10">
        <f>Econ!L269</f>
        <v>180184</v>
      </c>
      <c r="H269" s="11">
        <f>Econ!M269</f>
        <v>15150</v>
      </c>
      <c r="I269" s="11">
        <f>Econ!N269</f>
        <v>3914</v>
      </c>
      <c r="J269" s="12">
        <f>Econ!O269</f>
        <v>7733</v>
      </c>
      <c r="K269" s="13">
        <f>Econ!P269</f>
        <v>45046</v>
      </c>
      <c r="L269" s="14">
        <f>Econ!Q269</f>
        <v>3787.5</v>
      </c>
      <c r="M269" s="14">
        <f>Econ!R269</f>
        <v>978.5</v>
      </c>
      <c r="N269" s="13">
        <f>Econ!S269</f>
        <v>1933.25</v>
      </c>
      <c r="O269" s="13">
        <f>Econ!T269</f>
        <v>28</v>
      </c>
      <c r="P269" s="7" t="str">
        <f>Econ!A269</f>
        <v>Archer</v>
      </c>
      <c r="Q269" s="10">
        <f>Econ!C269</f>
        <v>68176407.19</v>
      </c>
      <c r="R269" s="10">
        <f>Econ!E269</f>
        <v>989.0445741</v>
      </c>
      <c r="S269" s="10">
        <f>Econ!G269</f>
        <v>45450938.13</v>
      </c>
      <c r="T269" s="10">
        <f>Econ!I269</f>
        <v>1978.089148</v>
      </c>
    </row>
    <row r="270">
      <c r="A270" s="7" t="str">
        <f>Econ!A270&amp;if(Econ!B270&lt;10,"_0"&amp;Econ!B270,"_"&amp;Econ!B270)</f>
        <v>Archer_269</v>
      </c>
      <c r="B270" s="7" t="str">
        <f>"T"&amp;Econ!B270&amp;" "&amp;Econ!A270</f>
        <v>T269 Archer</v>
      </c>
      <c r="C270" s="8">
        <f>Econ!B270</f>
        <v>269</v>
      </c>
      <c r="D270" s="7"/>
      <c r="E270" s="9"/>
      <c r="F270" s="9"/>
      <c r="G270" s="10">
        <f>Econ!L270</f>
        <v>181369</v>
      </c>
      <c r="H270" s="11">
        <f>Econ!M270</f>
        <v>15246</v>
      </c>
      <c r="I270" s="11">
        <f>Econ!N270</f>
        <v>3962</v>
      </c>
      <c r="J270" s="12">
        <f>Econ!O270</f>
        <v>7781</v>
      </c>
      <c r="K270" s="13">
        <f>Econ!P270</f>
        <v>45342.25</v>
      </c>
      <c r="L270" s="14">
        <f>Econ!Q270</f>
        <v>3811.5</v>
      </c>
      <c r="M270" s="14">
        <f>Econ!R270</f>
        <v>990.5</v>
      </c>
      <c r="N270" s="13">
        <f>Econ!S270</f>
        <v>1945.25</v>
      </c>
      <c r="O270" s="13">
        <f>Econ!T270</f>
        <v>28</v>
      </c>
      <c r="P270" s="7" t="str">
        <f>Econ!A270</f>
        <v>Archer</v>
      </c>
      <c r="Q270" s="10">
        <f>Econ!C270</f>
        <v>71585227.55</v>
      </c>
      <c r="R270" s="10">
        <f>Econ!E270</f>
        <v>1008.825466</v>
      </c>
      <c r="S270" s="10">
        <f>Econ!G270</f>
        <v>47723485.03</v>
      </c>
      <c r="T270" s="10">
        <f>Econ!I270</f>
        <v>2017.650931</v>
      </c>
    </row>
    <row r="271">
      <c r="A271" s="7" t="str">
        <f>Econ!A271&amp;if(Econ!B271&lt;10,"_0"&amp;Econ!B271,"_"&amp;Econ!B271)</f>
        <v>Archer_270</v>
      </c>
      <c r="B271" s="7" t="str">
        <f>"T"&amp;Econ!B271&amp;" "&amp;Econ!A271</f>
        <v>T270 Archer</v>
      </c>
      <c r="C271" s="8">
        <f>Econ!B271</f>
        <v>270</v>
      </c>
      <c r="D271" s="7"/>
      <c r="E271" s="9"/>
      <c r="F271" s="9"/>
      <c r="G271" s="10">
        <f>Econ!L271</f>
        <v>182557</v>
      </c>
      <c r="H271" s="11">
        <f>Econ!M271</f>
        <v>15342</v>
      </c>
      <c r="I271" s="11">
        <f>Econ!N271</f>
        <v>4010</v>
      </c>
      <c r="J271" s="12">
        <f>Econ!O271</f>
        <v>7829</v>
      </c>
      <c r="K271" s="13">
        <f>Econ!P271</f>
        <v>45639.25</v>
      </c>
      <c r="L271" s="14">
        <f>Econ!Q271</f>
        <v>3835.5</v>
      </c>
      <c r="M271" s="14">
        <f>Econ!R271</f>
        <v>1002.5</v>
      </c>
      <c r="N271" s="13">
        <f>Econ!S271</f>
        <v>1957.25</v>
      </c>
      <c r="O271" s="13">
        <f>Econ!T271</f>
        <v>28</v>
      </c>
      <c r="P271" s="7" t="str">
        <f>Econ!A271</f>
        <v>Archer</v>
      </c>
      <c r="Q271" s="10">
        <f>Econ!C271</f>
        <v>75164488.93</v>
      </c>
      <c r="R271" s="10">
        <f>Econ!E271</f>
        <v>1029.001975</v>
      </c>
      <c r="S271" s="10">
        <f>Econ!G271</f>
        <v>50109659.28</v>
      </c>
      <c r="T271" s="10">
        <f>Econ!I271</f>
        <v>2058.00395</v>
      </c>
    </row>
    <row r="272">
      <c r="A272" s="7" t="str">
        <f>Econ!A272&amp;if(Econ!B272&lt;10,"_0"&amp;Econ!B272,"_"&amp;Econ!B272)</f>
        <v>Archer_271</v>
      </c>
      <c r="B272" s="7" t="str">
        <f>"T"&amp;Econ!B272&amp;" "&amp;Econ!A272</f>
        <v>T271 Archer</v>
      </c>
      <c r="C272" s="8">
        <f>Econ!B272</f>
        <v>271</v>
      </c>
      <c r="D272" s="7"/>
      <c r="E272" s="9"/>
      <c r="F272" s="9"/>
      <c r="G272" s="10">
        <f>Econ!L272</f>
        <v>183748</v>
      </c>
      <c r="H272" s="11">
        <f>Econ!M272</f>
        <v>15438</v>
      </c>
      <c r="I272" s="11">
        <f>Econ!N272</f>
        <v>4059</v>
      </c>
      <c r="J272" s="12">
        <f>Econ!O272</f>
        <v>7878</v>
      </c>
      <c r="K272" s="13">
        <f>Econ!P272</f>
        <v>45937</v>
      </c>
      <c r="L272" s="14">
        <f>Econ!Q272</f>
        <v>3859.5</v>
      </c>
      <c r="M272" s="14">
        <f>Econ!R272</f>
        <v>1014.75</v>
      </c>
      <c r="N272" s="13">
        <f>Econ!S272</f>
        <v>1969.5</v>
      </c>
      <c r="O272" s="13">
        <f>Econ!T272</f>
        <v>28</v>
      </c>
      <c r="P272" s="7" t="str">
        <f>Econ!A272</f>
        <v>Archer</v>
      </c>
      <c r="Q272" s="10">
        <f>Econ!C272</f>
        <v>78922713.37</v>
      </c>
      <c r="R272" s="10">
        <f>Econ!E272</f>
        <v>1049.582014</v>
      </c>
      <c r="S272" s="10">
        <f>Econ!G272</f>
        <v>52615142.25</v>
      </c>
      <c r="T272" s="10">
        <f>Econ!I272</f>
        <v>2099.164029</v>
      </c>
    </row>
    <row r="273">
      <c r="A273" s="7" t="str">
        <f>Econ!A273&amp;if(Econ!B273&lt;10,"_0"&amp;Econ!B273,"_"&amp;Econ!B273)</f>
        <v>Archer_272</v>
      </c>
      <c r="B273" s="7" t="str">
        <f>"T"&amp;Econ!B273&amp;" "&amp;Econ!A273</f>
        <v>T272 Archer</v>
      </c>
      <c r="C273" s="8">
        <f>Econ!B273</f>
        <v>272</v>
      </c>
      <c r="D273" s="7"/>
      <c r="E273" s="9"/>
      <c r="F273" s="9"/>
      <c r="G273" s="10">
        <f>Econ!L273</f>
        <v>184942</v>
      </c>
      <c r="H273" s="11">
        <f>Econ!M273</f>
        <v>15534</v>
      </c>
      <c r="I273" s="11">
        <f>Econ!N273</f>
        <v>4108</v>
      </c>
      <c r="J273" s="12">
        <f>Econ!O273</f>
        <v>7927</v>
      </c>
      <c r="K273" s="13">
        <f>Econ!P273</f>
        <v>46235.5</v>
      </c>
      <c r="L273" s="14">
        <f>Econ!Q273</f>
        <v>3883.5</v>
      </c>
      <c r="M273" s="14">
        <f>Econ!R273</f>
        <v>1027</v>
      </c>
      <c r="N273" s="13">
        <f>Econ!S273</f>
        <v>1981.75</v>
      </c>
      <c r="O273" s="13">
        <f>Econ!T273</f>
        <v>28</v>
      </c>
      <c r="P273" s="7" t="str">
        <f>Econ!A273</f>
        <v>Archer</v>
      </c>
      <c r="Q273" s="10">
        <f>Econ!C273</f>
        <v>82868849.04</v>
      </c>
      <c r="R273" s="10">
        <f>Econ!E273</f>
        <v>1070.573655</v>
      </c>
      <c r="S273" s="10">
        <f>Econ!G273</f>
        <v>55245899.36</v>
      </c>
      <c r="T273" s="10">
        <f>Econ!I273</f>
        <v>2141.147309</v>
      </c>
    </row>
    <row r="274">
      <c r="A274" s="7" t="str">
        <f>Econ!A274&amp;if(Econ!B274&lt;10,"_0"&amp;Econ!B274,"_"&amp;Econ!B274)</f>
        <v>Archer_273</v>
      </c>
      <c r="B274" s="7" t="str">
        <f>"T"&amp;Econ!B274&amp;" "&amp;Econ!A274</f>
        <v>T273 Archer</v>
      </c>
      <c r="C274" s="8">
        <f>Econ!B274</f>
        <v>273</v>
      </c>
      <c r="D274" s="7"/>
      <c r="E274" s="9"/>
      <c r="F274" s="9"/>
      <c r="G274" s="10">
        <f>Econ!L274</f>
        <v>186139</v>
      </c>
      <c r="H274" s="11">
        <f>Econ!M274</f>
        <v>15631</v>
      </c>
      <c r="I274" s="11">
        <f>Econ!N274</f>
        <v>4157</v>
      </c>
      <c r="J274" s="12">
        <f>Econ!O274</f>
        <v>7976</v>
      </c>
      <c r="K274" s="13">
        <f>Econ!P274</f>
        <v>46534.75</v>
      </c>
      <c r="L274" s="14">
        <f>Econ!Q274</f>
        <v>3907.75</v>
      </c>
      <c r="M274" s="14">
        <f>Econ!R274</f>
        <v>1039.25</v>
      </c>
      <c r="N274" s="13">
        <f>Econ!S274</f>
        <v>1994</v>
      </c>
      <c r="O274" s="13">
        <f>Econ!T274</f>
        <v>28</v>
      </c>
      <c r="P274" s="7" t="str">
        <f>Econ!A274</f>
        <v>Archer</v>
      </c>
      <c r="Q274" s="10">
        <f>Econ!C274</f>
        <v>87012291.49</v>
      </c>
      <c r="R274" s="10">
        <f>Econ!E274</f>
        <v>1091.985128</v>
      </c>
      <c r="S274" s="10">
        <f>Econ!G274</f>
        <v>58008194.33</v>
      </c>
      <c r="T274" s="10">
        <f>Econ!I274</f>
        <v>2183.970256</v>
      </c>
    </row>
    <row r="275">
      <c r="A275" s="7" t="str">
        <f>Econ!A275&amp;if(Econ!B275&lt;10,"_0"&amp;Econ!B275,"_"&amp;Econ!B275)</f>
        <v>Archer_274</v>
      </c>
      <c r="B275" s="7" t="str">
        <f>"T"&amp;Econ!B275&amp;" "&amp;Econ!A275</f>
        <v>T274 Archer</v>
      </c>
      <c r="C275" s="8">
        <f>Econ!B275</f>
        <v>274</v>
      </c>
      <c r="D275" s="7"/>
      <c r="E275" s="9"/>
      <c r="F275" s="9"/>
      <c r="G275" s="10">
        <f>Econ!L275</f>
        <v>187339</v>
      </c>
      <c r="H275" s="11">
        <f>Econ!M275</f>
        <v>15728</v>
      </c>
      <c r="I275" s="11">
        <f>Econ!N275</f>
        <v>4206</v>
      </c>
      <c r="J275" s="12">
        <f>Econ!O275</f>
        <v>8025</v>
      </c>
      <c r="K275" s="13">
        <f>Econ!P275</f>
        <v>46834.75</v>
      </c>
      <c r="L275" s="14">
        <f>Econ!Q275</f>
        <v>3932</v>
      </c>
      <c r="M275" s="14">
        <f>Econ!R275</f>
        <v>1051.5</v>
      </c>
      <c r="N275" s="13">
        <f>Econ!S275</f>
        <v>2006.25</v>
      </c>
      <c r="O275" s="13">
        <f>Econ!T275</f>
        <v>28</v>
      </c>
      <c r="P275" s="7" t="str">
        <f>Econ!A275</f>
        <v>Archer</v>
      </c>
      <c r="Q275" s="10">
        <f>Econ!C275</f>
        <v>91362906.07</v>
      </c>
      <c r="R275" s="10">
        <f>Econ!E275</f>
        <v>1113.82483</v>
      </c>
      <c r="S275" s="10">
        <f>Econ!G275</f>
        <v>60908604.05</v>
      </c>
      <c r="T275" s="10">
        <f>Econ!I275</f>
        <v>2227.649661</v>
      </c>
    </row>
    <row r="276">
      <c r="A276" s="7" t="str">
        <f>Econ!A276&amp;if(Econ!B276&lt;10,"_0"&amp;Econ!B276,"_"&amp;Econ!B276)</f>
        <v>Archer_275</v>
      </c>
      <c r="B276" s="7" t="str">
        <f>"T"&amp;Econ!B276&amp;" "&amp;Econ!A276</f>
        <v>T275 Archer</v>
      </c>
      <c r="C276" s="8">
        <f>Econ!B276</f>
        <v>275</v>
      </c>
      <c r="D276" s="7"/>
      <c r="E276" s="9"/>
      <c r="F276" s="9"/>
      <c r="G276" s="10">
        <f>Econ!L276</f>
        <v>188542</v>
      </c>
      <c r="H276" s="11">
        <f>Econ!M276</f>
        <v>15825</v>
      </c>
      <c r="I276" s="11">
        <f>Econ!N276</f>
        <v>4255</v>
      </c>
      <c r="J276" s="12">
        <f>Econ!O276</f>
        <v>8074</v>
      </c>
      <c r="K276" s="13">
        <f>Econ!P276</f>
        <v>47135.5</v>
      </c>
      <c r="L276" s="14">
        <f>Econ!Q276</f>
        <v>3956.25</v>
      </c>
      <c r="M276" s="14">
        <f>Econ!R276</f>
        <v>1063.75</v>
      </c>
      <c r="N276" s="13">
        <f>Econ!S276</f>
        <v>2018.5</v>
      </c>
      <c r="O276" s="13">
        <f>Econ!T276</f>
        <v>29</v>
      </c>
      <c r="P276" s="7" t="str">
        <f>Econ!A276</f>
        <v>Archer</v>
      </c>
      <c r="Q276" s="10">
        <f>Econ!C276</f>
        <v>95931051.37</v>
      </c>
      <c r="R276" s="10">
        <f>Econ!E276</f>
        <v>1136.101327</v>
      </c>
      <c r="S276" s="10">
        <f>Econ!G276</f>
        <v>63954034.25</v>
      </c>
      <c r="T276" s="10">
        <f>Econ!I276</f>
        <v>2272.202654</v>
      </c>
    </row>
    <row r="277">
      <c r="A277" s="7" t="str">
        <f>Econ!A277&amp;if(Econ!B277&lt;10,"_0"&amp;Econ!B277,"_"&amp;Econ!B277)</f>
        <v>Archer_276</v>
      </c>
      <c r="B277" s="7" t="str">
        <f>"T"&amp;Econ!B277&amp;" "&amp;Econ!A277</f>
        <v>T276 Archer</v>
      </c>
      <c r="C277" s="8">
        <f>Econ!B277</f>
        <v>276</v>
      </c>
      <c r="D277" s="7"/>
      <c r="E277" s="9"/>
      <c r="F277" s="9"/>
      <c r="G277" s="10">
        <f>Econ!L277</f>
        <v>189748</v>
      </c>
      <c r="H277" s="11">
        <f>Econ!M277</f>
        <v>15922</v>
      </c>
      <c r="I277" s="11">
        <f>Econ!N277</f>
        <v>4304</v>
      </c>
      <c r="J277" s="12">
        <f>Econ!O277</f>
        <v>8123</v>
      </c>
      <c r="K277" s="13">
        <f>Econ!P277</f>
        <v>47437</v>
      </c>
      <c r="L277" s="14">
        <f>Econ!Q277</f>
        <v>3980.5</v>
      </c>
      <c r="M277" s="14">
        <f>Econ!R277</f>
        <v>1076</v>
      </c>
      <c r="N277" s="13">
        <f>Econ!S277</f>
        <v>2030.75</v>
      </c>
      <c r="O277" s="13">
        <f>Econ!T277</f>
        <v>29</v>
      </c>
      <c r="P277" s="7" t="str">
        <f>Econ!A277</f>
        <v>Archer</v>
      </c>
      <c r="Q277" s="10">
        <f>Econ!C277</f>
        <v>100727603.9</v>
      </c>
      <c r="R277" s="10">
        <f>Econ!E277</f>
        <v>1158.823354</v>
      </c>
      <c r="S277" s="10">
        <f>Econ!G277</f>
        <v>67151735.96</v>
      </c>
      <c r="T277" s="10">
        <f>Econ!I277</f>
        <v>2317.646707</v>
      </c>
    </row>
    <row r="278">
      <c r="A278" s="7" t="str">
        <f>Econ!A278&amp;if(Econ!B278&lt;10,"_0"&amp;Econ!B278,"_"&amp;Econ!B278)</f>
        <v>Archer_277</v>
      </c>
      <c r="B278" s="7" t="str">
        <f>"T"&amp;Econ!B278&amp;" "&amp;Econ!A278</f>
        <v>T277 Archer</v>
      </c>
      <c r="C278" s="8">
        <f>Econ!B278</f>
        <v>277</v>
      </c>
      <c r="D278" s="7"/>
      <c r="E278" s="9"/>
      <c r="F278" s="9"/>
      <c r="G278" s="10">
        <f>Econ!L278</f>
        <v>190957</v>
      </c>
      <c r="H278" s="11">
        <f>Econ!M278</f>
        <v>16020</v>
      </c>
      <c r="I278" s="11">
        <f>Econ!N278</f>
        <v>4353</v>
      </c>
      <c r="J278" s="12">
        <f>Econ!O278</f>
        <v>8172</v>
      </c>
      <c r="K278" s="13">
        <f>Econ!P278</f>
        <v>47739.25</v>
      </c>
      <c r="L278" s="14">
        <f>Econ!Q278</f>
        <v>4005</v>
      </c>
      <c r="M278" s="14">
        <f>Econ!R278</f>
        <v>1088.25</v>
      </c>
      <c r="N278" s="13">
        <f>Econ!S278</f>
        <v>2043</v>
      </c>
      <c r="O278" s="13">
        <f>Econ!T278</f>
        <v>29</v>
      </c>
      <c r="P278" s="7" t="str">
        <f>Econ!A278</f>
        <v>Archer</v>
      </c>
      <c r="Q278" s="10">
        <f>Econ!C278</f>
        <v>105763984.1</v>
      </c>
      <c r="R278" s="10">
        <f>Econ!E278</f>
        <v>1181.999821</v>
      </c>
      <c r="S278" s="10">
        <f>Econ!G278</f>
        <v>70509322.76</v>
      </c>
      <c r="T278" s="10">
        <f>Econ!I278</f>
        <v>2363.999641</v>
      </c>
    </row>
    <row r="279">
      <c r="A279" s="7" t="str">
        <f>Econ!A279&amp;if(Econ!B279&lt;10,"_0"&amp;Econ!B279,"_"&amp;Econ!B279)</f>
        <v>Archer_278</v>
      </c>
      <c r="B279" s="7" t="str">
        <f>"T"&amp;Econ!B279&amp;" "&amp;Econ!A279</f>
        <v>T278 Archer</v>
      </c>
      <c r="C279" s="8">
        <f>Econ!B279</f>
        <v>278</v>
      </c>
      <c r="D279" s="7"/>
      <c r="E279" s="9"/>
      <c r="F279" s="9"/>
      <c r="G279" s="10">
        <f>Econ!L279</f>
        <v>192169</v>
      </c>
      <c r="H279" s="11">
        <f>Econ!M279</f>
        <v>16118</v>
      </c>
      <c r="I279" s="11">
        <f>Econ!N279</f>
        <v>4402</v>
      </c>
      <c r="J279" s="12">
        <f>Econ!O279</f>
        <v>8221</v>
      </c>
      <c r="K279" s="13">
        <f>Econ!P279</f>
        <v>48042.25</v>
      </c>
      <c r="L279" s="14">
        <f>Econ!Q279</f>
        <v>4029.5</v>
      </c>
      <c r="M279" s="14">
        <f>Econ!R279</f>
        <v>1100.5</v>
      </c>
      <c r="N279" s="13">
        <f>Econ!S279</f>
        <v>2055.25</v>
      </c>
      <c r="O279" s="13">
        <f>Econ!T279</f>
        <v>29</v>
      </c>
      <c r="P279" s="7" t="str">
        <f>Econ!A279</f>
        <v>Archer</v>
      </c>
      <c r="Q279" s="10">
        <f>Econ!C279</f>
        <v>111052183.3</v>
      </c>
      <c r="R279" s="10">
        <f>Econ!E279</f>
        <v>1205.639817</v>
      </c>
      <c r="S279" s="10">
        <f>Econ!G279</f>
        <v>74034788.9</v>
      </c>
      <c r="T279" s="10">
        <f>Econ!I279</f>
        <v>2411.279634</v>
      </c>
    </row>
    <row r="280">
      <c r="A280" s="7" t="str">
        <f>Econ!A280&amp;if(Econ!B280&lt;10,"_0"&amp;Econ!B280,"_"&amp;Econ!B280)</f>
        <v>Archer_279</v>
      </c>
      <c r="B280" s="7" t="str">
        <f>"T"&amp;Econ!B280&amp;" "&amp;Econ!A280</f>
        <v>T279 Archer</v>
      </c>
      <c r="C280" s="8">
        <f>Econ!B280</f>
        <v>279</v>
      </c>
      <c r="D280" s="7"/>
      <c r="E280" s="9"/>
      <c r="F280" s="9"/>
      <c r="G280" s="10">
        <f>Econ!L280</f>
        <v>193384</v>
      </c>
      <c r="H280" s="11">
        <f>Econ!M280</f>
        <v>16216</v>
      </c>
      <c r="I280" s="11">
        <f>Econ!N280</f>
        <v>4452</v>
      </c>
      <c r="J280" s="12">
        <f>Econ!O280</f>
        <v>8271</v>
      </c>
      <c r="K280" s="13">
        <f>Econ!P280</f>
        <v>48346</v>
      </c>
      <c r="L280" s="14">
        <f>Econ!Q280</f>
        <v>4054</v>
      </c>
      <c r="M280" s="14">
        <f>Econ!R280</f>
        <v>1113</v>
      </c>
      <c r="N280" s="13">
        <f>Econ!S280</f>
        <v>2067.75</v>
      </c>
      <c r="O280" s="13">
        <f>Econ!T280</f>
        <v>29</v>
      </c>
      <c r="P280" s="7" t="str">
        <f>Econ!A280</f>
        <v>Archer</v>
      </c>
      <c r="Q280" s="10">
        <f>Econ!C280</f>
        <v>116604792.5</v>
      </c>
      <c r="R280" s="10">
        <f>Econ!E280</f>
        <v>1229.752613</v>
      </c>
      <c r="S280" s="10">
        <f>Econ!G280</f>
        <v>77736528.34</v>
      </c>
      <c r="T280" s="10">
        <f>Econ!I280</f>
        <v>2459.505227</v>
      </c>
    </row>
    <row r="281">
      <c r="A281" s="7" t="str">
        <f>Econ!A281&amp;if(Econ!B281&lt;10,"_0"&amp;Econ!B281,"_"&amp;Econ!B281)</f>
        <v>Archer_280</v>
      </c>
      <c r="B281" s="7" t="str">
        <f>"T"&amp;Econ!B281&amp;" "&amp;Econ!A281</f>
        <v>T280 Archer</v>
      </c>
      <c r="C281" s="8">
        <f>Econ!B281</f>
        <v>280</v>
      </c>
      <c r="D281" s="7"/>
      <c r="E281" s="9"/>
      <c r="F281" s="9"/>
      <c r="G281" s="10">
        <f>Econ!L281</f>
        <v>194602</v>
      </c>
      <c r="H281" s="11">
        <f>Econ!M281</f>
        <v>16314</v>
      </c>
      <c r="I281" s="11">
        <f>Econ!N281</f>
        <v>4502</v>
      </c>
      <c r="J281" s="12">
        <f>Econ!O281</f>
        <v>8321</v>
      </c>
      <c r="K281" s="13">
        <f>Econ!P281</f>
        <v>48650.5</v>
      </c>
      <c r="L281" s="14">
        <f>Econ!Q281</f>
        <v>4078.5</v>
      </c>
      <c r="M281" s="14">
        <f>Econ!R281</f>
        <v>1125.5</v>
      </c>
      <c r="N281" s="13">
        <f>Econ!S281</f>
        <v>2080.25</v>
      </c>
      <c r="O281" s="13">
        <f>Econ!T281</f>
        <v>29</v>
      </c>
      <c r="P281" s="7" t="str">
        <f>Econ!A281</f>
        <v>Archer</v>
      </c>
      <c r="Q281" s="10">
        <f>Econ!C281</f>
        <v>122435032.1</v>
      </c>
      <c r="R281" s="10">
        <f>Econ!E281</f>
        <v>1254.347666</v>
      </c>
      <c r="S281" s="10">
        <f>Econ!G281</f>
        <v>81623354.76</v>
      </c>
      <c r="T281" s="10">
        <f>Econ!I281</f>
        <v>2508.695331</v>
      </c>
    </row>
    <row r="282">
      <c r="A282" s="7" t="str">
        <f>Econ!A282&amp;if(Econ!B282&lt;10,"_0"&amp;Econ!B282,"_"&amp;Econ!B282)</f>
        <v>Archer_281</v>
      </c>
      <c r="B282" s="7" t="str">
        <f>"T"&amp;Econ!B282&amp;" "&amp;Econ!A282</f>
        <v>T281 Archer</v>
      </c>
      <c r="C282" s="8">
        <f>Econ!B282</f>
        <v>281</v>
      </c>
      <c r="D282" s="7"/>
      <c r="E282" s="9"/>
      <c r="F282" s="9"/>
      <c r="G282" s="10">
        <f>Econ!L282</f>
        <v>195824</v>
      </c>
      <c r="H282" s="11">
        <f>Econ!M282</f>
        <v>16413</v>
      </c>
      <c r="I282" s="11">
        <f>Econ!N282</f>
        <v>4552</v>
      </c>
      <c r="J282" s="12">
        <f>Econ!O282</f>
        <v>8371</v>
      </c>
      <c r="K282" s="13">
        <f>Econ!P282</f>
        <v>48956</v>
      </c>
      <c r="L282" s="14">
        <f>Econ!Q282</f>
        <v>4103.25</v>
      </c>
      <c r="M282" s="14">
        <f>Econ!R282</f>
        <v>1138</v>
      </c>
      <c r="N282" s="13">
        <f>Econ!S282</f>
        <v>2092.75</v>
      </c>
      <c r="O282" s="13">
        <f>Econ!T282</f>
        <v>29</v>
      </c>
      <c r="P282" s="7" t="str">
        <f>Econ!A282</f>
        <v>Archer</v>
      </c>
      <c r="Q282" s="10">
        <f>Econ!C282</f>
        <v>128556783.7</v>
      </c>
      <c r="R282" s="10">
        <f>Econ!E282</f>
        <v>1279.434619</v>
      </c>
      <c r="S282" s="10">
        <f>Econ!G282</f>
        <v>85704522.5</v>
      </c>
      <c r="T282" s="10">
        <f>Econ!I282</f>
        <v>2558.869238</v>
      </c>
    </row>
    <row r="283">
      <c r="A283" s="7" t="str">
        <f>Econ!A283&amp;if(Econ!B283&lt;10,"_0"&amp;Econ!B283,"_"&amp;Econ!B283)</f>
        <v>Archer_282</v>
      </c>
      <c r="B283" s="7" t="str">
        <f>"T"&amp;Econ!B283&amp;" "&amp;Econ!A283</f>
        <v>T282 Archer</v>
      </c>
      <c r="C283" s="8">
        <f>Econ!B283</f>
        <v>282</v>
      </c>
      <c r="D283" s="7"/>
      <c r="E283" s="9"/>
      <c r="F283" s="9"/>
      <c r="G283" s="10">
        <f>Econ!L283</f>
        <v>197049</v>
      </c>
      <c r="H283" s="11">
        <f>Econ!M283</f>
        <v>16512</v>
      </c>
      <c r="I283" s="11">
        <f>Econ!N283</f>
        <v>4602</v>
      </c>
      <c r="J283" s="12">
        <f>Econ!O283</f>
        <v>8421</v>
      </c>
      <c r="K283" s="13">
        <f>Econ!P283</f>
        <v>49262.25</v>
      </c>
      <c r="L283" s="14">
        <f>Econ!Q283</f>
        <v>4128</v>
      </c>
      <c r="M283" s="14">
        <f>Econ!R283</f>
        <v>1150.5</v>
      </c>
      <c r="N283" s="13">
        <f>Econ!S283</f>
        <v>2105.25</v>
      </c>
      <c r="O283" s="13">
        <f>Econ!T283</f>
        <v>29</v>
      </c>
      <c r="P283" s="7" t="str">
        <f>Econ!A283</f>
        <v>Archer</v>
      </c>
      <c r="Q283" s="10">
        <f>Econ!C283</f>
        <v>134984622.9</v>
      </c>
      <c r="R283" s="10">
        <f>Econ!E283</f>
        <v>1305.023311</v>
      </c>
      <c r="S283" s="10">
        <f>Econ!G283</f>
        <v>89989748.62</v>
      </c>
      <c r="T283" s="10">
        <f>Econ!I283</f>
        <v>2610.046623</v>
      </c>
    </row>
    <row r="284">
      <c r="A284" s="7" t="str">
        <f>Econ!A284&amp;if(Econ!B284&lt;10,"_0"&amp;Econ!B284,"_"&amp;Econ!B284)</f>
        <v>Archer_283</v>
      </c>
      <c r="B284" s="7" t="str">
        <f>"T"&amp;Econ!B284&amp;" "&amp;Econ!A284</f>
        <v>T283 Archer</v>
      </c>
      <c r="C284" s="8">
        <f>Econ!B284</f>
        <v>283</v>
      </c>
      <c r="D284" s="7"/>
      <c r="E284" s="9"/>
      <c r="F284" s="9"/>
      <c r="G284" s="10">
        <f>Econ!L284</f>
        <v>198277</v>
      </c>
      <c r="H284" s="11">
        <f>Econ!M284</f>
        <v>16611</v>
      </c>
      <c r="I284" s="11">
        <f>Econ!N284</f>
        <v>4652</v>
      </c>
      <c r="J284" s="12">
        <f>Econ!O284</f>
        <v>8471</v>
      </c>
      <c r="K284" s="13">
        <f>Econ!P284</f>
        <v>49569.25</v>
      </c>
      <c r="L284" s="14">
        <f>Econ!Q284</f>
        <v>4152.75</v>
      </c>
      <c r="M284" s="14">
        <f>Econ!R284</f>
        <v>1163</v>
      </c>
      <c r="N284" s="13">
        <f>Econ!S284</f>
        <v>2117.75</v>
      </c>
      <c r="O284" s="13">
        <f>Econ!T284</f>
        <v>29</v>
      </c>
      <c r="P284" s="7" t="str">
        <f>Econ!A284</f>
        <v>Archer</v>
      </c>
      <c r="Q284" s="10">
        <f>Econ!C284</f>
        <v>141733854.1</v>
      </c>
      <c r="R284" s="10">
        <f>Econ!E284</f>
        <v>1331.123778</v>
      </c>
      <c r="S284" s="10">
        <f>Econ!G284</f>
        <v>94489236.05</v>
      </c>
      <c r="T284" s="10">
        <f>Econ!I284</f>
        <v>2662.247555</v>
      </c>
    </row>
    <row r="285">
      <c r="A285" s="7" t="str">
        <f>Econ!A285&amp;if(Econ!B285&lt;10,"_0"&amp;Econ!B285,"_"&amp;Econ!B285)</f>
        <v>Archer_284</v>
      </c>
      <c r="B285" s="7" t="str">
        <f>"T"&amp;Econ!B285&amp;" "&amp;Econ!A285</f>
        <v>T284 Archer</v>
      </c>
      <c r="C285" s="8">
        <f>Econ!B285</f>
        <v>284</v>
      </c>
      <c r="D285" s="7"/>
      <c r="E285" s="9"/>
      <c r="F285" s="9"/>
      <c r="G285" s="10">
        <f>Econ!L285</f>
        <v>199508</v>
      </c>
      <c r="H285" s="11">
        <f>Econ!M285</f>
        <v>16710</v>
      </c>
      <c r="I285" s="11">
        <f>Econ!N285</f>
        <v>4702</v>
      </c>
      <c r="J285" s="12">
        <f>Econ!O285</f>
        <v>8521</v>
      </c>
      <c r="K285" s="13">
        <f>Econ!P285</f>
        <v>49877</v>
      </c>
      <c r="L285" s="14">
        <f>Econ!Q285</f>
        <v>4177.5</v>
      </c>
      <c r="M285" s="14">
        <f>Econ!R285</f>
        <v>1175.5</v>
      </c>
      <c r="N285" s="13">
        <f>Econ!S285</f>
        <v>2130.25</v>
      </c>
      <c r="O285" s="13">
        <f>Econ!T285</f>
        <v>29</v>
      </c>
      <c r="P285" s="7" t="str">
        <f>Econ!A285</f>
        <v>Archer</v>
      </c>
      <c r="Q285" s="10">
        <f>Econ!C285</f>
        <v>148820546.8</v>
      </c>
      <c r="R285" s="10">
        <f>Econ!E285</f>
        <v>1357.746253</v>
      </c>
      <c r="S285" s="10">
        <f>Econ!G285</f>
        <v>99213697.85</v>
      </c>
      <c r="T285" s="10">
        <f>Econ!I285</f>
        <v>2715.492506</v>
      </c>
    </row>
    <row r="286">
      <c r="A286" s="7" t="str">
        <f>Econ!A286&amp;if(Econ!B286&lt;10,"_0"&amp;Econ!B286,"_"&amp;Econ!B286)</f>
        <v>Archer_285</v>
      </c>
      <c r="B286" s="7" t="str">
        <f>"T"&amp;Econ!B286&amp;" "&amp;Econ!A286</f>
        <v>T285 Archer</v>
      </c>
      <c r="C286" s="8">
        <f>Econ!B286</f>
        <v>285</v>
      </c>
      <c r="D286" s="7"/>
      <c r="E286" s="9"/>
      <c r="F286" s="9"/>
      <c r="G286" s="10">
        <f>Econ!L286</f>
        <v>200742</v>
      </c>
      <c r="H286" s="11">
        <f>Econ!M286</f>
        <v>16810</v>
      </c>
      <c r="I286" s="11">
        <f>Econ!N286</f>
        <v>4752</v>
      </c>
      <c r="J286" s="12">
        <f>Econ!O286</f>
        <v>8571</v>
      </c>
      <c r="K286" s="13">
        <f>Econ!P286</f>
        <v>50185.5</v>
      </c>
      <c r="L286" s="14">
        <f>Econ!Q286</f>
        <v>4202.5</v>
      </c>
      <c r="M286" s="14">
        <f>Econ!R286</f>
        <v>1188</v>
      </c>
      <c r="N286" s="13">
        <f>Econ!S286</f>
        <v>2142.75</v>
      </c>
      <c r="O286" s="13">
        <f>Econ!T286</f>
        <v>30</v>
      </c>
      <c r="P286" s="7" t="str">
        <f>Econ!A286</f>
        <v>Archer</v>
      </c>
      <c r="Q286" s="10">
        <f>Econ!C286</f>
        <v>156261574.1</v>
      </c>
      <c r="R286" s="10">
        <f>Econ!E286</f>
        <v>1384.901178</v>
      </c>
      <c r="S286" s="10">
        <f>Econ!G286</f>
        <v>104174382.7</v>
      </c>
      <c r="T286" s="10">
        <f>Econ!I286</f>
        <v>2769.802356</v>
      </c>
    </row>
    <row r="287">
      <c r="A287" s="7" t="str">
        <f>Econ!A287&amp;if(Econ!B287&lt;10,"_0"&amp;Econ!B287,"_"&amp;Econ!B287)</f>
        <v>Archer_286</v>
      </c>
      <c r="B287" s="7" t="str">
        <f>"T"&amp;Econ!B287&amp;" "&amp;Econ!A287</f>
        <v>T286 Archer</v>
      </c>
      <c r="C287" s="8">
        <f>Econ!B287</f>
        <v>286</v>
      </c>
      <c r="D287" s="7"/>
      <c r="E287" s="9"/>
      <c r="F287" s="9"/>
      <c r="G287" s="10">
        <f>Econ!L287</f>
        <v>201979</v>
      </c>
      <c r="H287" s="11">
        <f>Econ!M287</f>
        <v>16910</v>
      </c>
      <c r="I287" s="11">
        <f>Econ!N287</f>
        <v>4802</v>
      </c>
      <c r="J287" s="12">
        <f>Econ!O287</f>
        <v>8621</v>
      </c>
      <c r="K287" s="13">
        <f>Econ!P287</f>
        <v>50494.75</v>
      </c>
      <c r="L287" s="14">
        <f>Econ!Q287</f>
        <v>4227.5</v>
      </c>
      <c r="M287" s="14">
        <f>Econ!R287</f>
        <v>1200.5</v>
      </c>
      <c r="N287" s="13">
        <f>Econ!S287</f>
        <v>2155.25</v>
      </c>
      <c r="O287" s="13">
        <f>Econ!T287</f>
        <v>30</v>
      </c>
      <c r="P287" s="7" t="str">
        <f>Econ!A287</f>
        <v>Archer</v>
      </c>
      <c r="Q287" s="10">
        <f>Econ!C287</f>
        <v>164074652.8</v>
      </c>
      <c r="R287" s="10">
        <f>Econ!E287</f>
        <v>1412.599202</v>
      </c>
      <c r="S287" s="10">
        <f>Econ!G287</f>
        <v>109383101.9</v>
      </c>
      <c r="T287" s="10">
        <f>Econ!I287</f>
        <v>2825.198403</v>
      </c>
    </row>
    <row r="288">
      <c r="A288" s="7" t="str">
        <f>Econ!A288&amp;if(Econ!B288&lt;10,"_0"&amp;Econ!B288,"_"&amp;Econ!B288)</f>
        <v>Archer_287</v>
      </c>
      <c r="B288" s="7" t="str">
        <f>"T"&amp;Econ!B288&amp;" "&amp;Econ!A288</f>
        <v>T287 Archer</v>
      </c>
      <c r="C288" s="8">
        <f>Econ!B288</f>
        <v>287</v>
      </c>
      <c r="D288" s="7"/>
      <c r="E288" s="9"/>
      <c r="F288" s="9"/>
      <c r="G288" s="10">
        <f>Econ!L288</f>
        <v>203219</v>
      </c>
      <c r="H288" s="11">
        <f>Econ!M288</f>
        <v>17010</v>
      </c>
      <c r="I288" s="11">
        <f>Econ!N288</f>
        <v>4853</v>
      </c>
      <c r="J288" s="12">
        <f>Econ!O288</f>
        <v>8672</v>
      </c>
      <c r="K288" s="13">
        <f>Econ!P288</f>
        <v>50804.75</v>
      </c>
      <c r="L288" s="14">
        <f>Econ!Q288</f>
        <v>4252.5</v>
      </c>
      <c r="M288" s="14">
        <f>Econ!R288</f>
        <v>1213.25</v>
      </c>
      <c r="N288" s="13">
        <f>Econ!S288</f>
        <v>2168</v>
      </c>
      <c r="O288" s="13">
        <f>Econ!T288</f>
        <v>30</v>
      </c>
      <c r="P288" s="7" t="str">
        <f>Econ!A288</f>
        <v>Archer</v>
      </c>
      <c r="Q288" s="10">
        <f>Econ!C288</f>
        <v>172278385.5</v>
      </c>
      <c r="R288" s="10">
        <f>Econ!E288</f>
        <v>1440.851186</v>
      </c>
      <c r="S288" s="10">
        <f>Econ!G288</f>
        <v>114852257</v>
      </c>
      <c r="T288" s="10">
        <f>Econ!I288</f>
        <v>2881.702371</v>
      </c>
    </row>
    <row r="289">
      <c r="A289" s="7" t="str">
        <f>Econ!A289&amp;if(Econ!B289&lt;10,"_0"&amp;Econ!B289,"_"&amp;Econ!B289)</f>
        <v>Archer_288</v>
      </c>
      <c r="B289" s="7" t="str">
        <f>"T"&amp;Econ!B289&amp;" "&amp;Econ!A289</f>
        <v>T288 Archer</v>
      </c>
      <c r="C289" s="8">
        <f>Econ!B289</f>
        <v>288</v>
      </c>
      <c r="D289" s="7"/>
      <c r="E289" s="9"/>
      <c r="F289" s="9"/>
      <c r="G289" s="10">
        <f>Econ!L289</f>
        <v>204462</v>
      </c>
      <c r="H289" s="11">
        <f>Econ!M289</f>
        <v>17110</v>
      </c>
      <c r="I289" s="11">
        <f>Econ!N289</f>
        <v>4904</v>
      </c>
      <c r="J289" s="12">
        <f>Econ!O289</f>
        <v>8723</v>
      </c>
      <c r="K289" s="13">
        <f>Econ!P289</f>
        <v>51115.5</v>
      </c>
      <c r="L289" s="14">
        <f>Econ!Q289</f>
        <v>4277.5</v>
      </c>
      <c r="M289" s="14">
        <f>Econ!R289</f>
        <v>1226</v>
      </c>
      <c r="N289" s="13">
        <f>Econ!S289</f>
        <v>2180.75</v>
      </c>
      <c r="O289" s="13">
        <f>Econ!T289</f>
        <v>30</v>
      </c>
      <c r="P289" s="7" t="str">
        <f>Econ!A289</f>
        <v>Archer</v>
      </c>
      <c r="Q289" s="10">
        <f>Econ!C289</f>
        <v>180892304.7</v>
      </c>
      <c r="R289" s="10">
        <f>Econ!E289</f>
        <v>1469.668209</v>
      </c>
      <c r="S289" s="10">
        <f>Econ!G289</f>
        <v>120594869.8</v>
      </c>
      <c r="T289" s="10">
        <f>Econ!I289</f>
        <v>2939.336419</v>
      </c>
    </row>
    <row r="290">
      <c r="A290" s="7" t="str">
        <f>Econ!A290&amp;if(Econ!B290&lt;10,"_0"&amp;Econ!B290,"_"&amp;Econ!B290)</f>
        <v>Archer_289</v>
      </c>
      <c r="B290" s="7" t="str">
        <f>"T"&amp;Econ!B290&amp;" "&amp;Econ!A290</f>
        <v>T289 Archer</v>
      </c>
      <c r="C290" s="8">
        <f>Econ!B290</f>
        <v>289</v>
      </c>
      <c r="D290" s="7"/>
      <c r="E290" s="9"/>
      <c r="F290" s="9"/>
      <c r="G290" s="10">
        <f>Econ!L290</f>
        <v>205708</v>
      </c>
      <c r="H290" s="11">
        <f>Econ!M290</f>
        <v>17211</v>
      </c>
      <c r="I290" s="11">
        <f>Econ!N290</f>
        <v>4955</v>
      </c>
      <c r="J290" s="12">
        <f>Econ!O290</f>
        <v>8774</v>
      </c>
      <c r="K290" s="13">
        <f>Econ!P290</f>
        <v>51427</v>
      </c>
      <c r="L290" s="14">
        <f>Econ!Q290</f>
        <v>4302.75</v>
      </c>
      <c r="M290" s="14">
        <f>Econ!R290</f>
        <v>1238.75</v>
      </c>
      <c r="N290" s="13">
        <f>Econ!S290</f>
        <v>2193.5</v>
      </c>
      <c r="O290" s="13">
        <f>Econ!T290</f>
        <v>30</v>
      </c>
      <c r="P290" s="7" t="str">
        <f>Econ!A290</f>
        <v>Archer</v>
      </c>
      <c r="Q290" s="10">
        <f>Econ!C290</f>
        <v>189936920</v>
      </c>
      <c r="R290" s="10">
        <f>Econ!E290</f>
        <v>1499.061574</v>
      </c>
      <c r="S290" s="10">
        <f>Econ!G290</f>
        <v>126624613.3</v>
      </c>
      <c r="T290" s="10">
        <f>Econ!I290</f>
        <v>2998.123147</v>
      </c>
    </row>
    <row r="291">
      <c r="A291" s="7" t="str">
        <f>Econ!A291&amp;if(Econ!B291&lt;10,"_0"&amp;Econ!B291,"_"&amp;Econ!B291)</f>
        <v>Archer_290</v>
      </c>
      <c r="B291" s="7" t="str">
        <f>"T"&amp;Econ!B291&amp;" "&amp;Econ!A291</f>
        <v>T290 Archer</v>
      </c>
      <c r="C291" s="8">
        <f>Econ!B291</f>
        <v>290</v>
      </c>
      <c r="D291" s="7"/>
      <c r="E291" s="9"/>
      <c r="F291" s="9"/>
      <c r="G291" s="10">
        <f>Econ!L291</f>
        <v>206957</v>
      </c>
      <c r="H291" s="11">
        <f>Econ!M291</f>
        <v>17312</v>
      </c>
      <c r="I291" s="11">
        <f>Econ!N291</f>
        <v>5006</v>
      </c>
      <c r="J291" s="12">
        <f>Econ!O291</f>
        <v>8825</v>
      </c>
      <c r="K291" s="13">
        <f>Econ!P291</f>
        <v>51739.25</v>
      </c>
      <c r="L291" s="14">
        <f>Econ!Q291</f>
        <v>4328</v>
      </c>
      <c r="M291" s="14">
        <f>Econ!R291</f>
        <v>1251.5</v>
      </c>
      <c r="N291" s="13">
        <f>Econ!S291</f>
        <v>2206.25</v>
      </c>
      <c r="O291" s="13">
        <f>Econ!T291</f>
        <v>30</v>
      </c>
      <c r="P291" s="7" t="str">
        <f>Econ!A291</f>
        <v>Archer</v>
      </c>
      <c r="Q291" s="10">
        <f>Econ!C291</f>
        <v>199433766</v>
      </c>
      <c r="R291" s="10">
        <f>Econ!E291</f>
        <v>1529.042805</v>
      </c>
      <c r="S291" s="10">
        <f>Econ!G291</f>
        <v>132955844</v>
      </c>
      <c r="T291" s="10">
        <f>Econ!I291</f>
        <v>3058.08561</v>
      </c>
    </row>
    <row r="292">
      <c r="A292" s="7" t="str">
        <f>Econ!A292&amp;if(Econ!B292&lt;10,"_0"&amp;Econ!B292,"_"&amp;Econ!B292)</f>
        <v>Archer_291</v>
      </c>
      <c r="B292" s="7" t="str">
        <f>"T"&amp;Econ!B292&amp;" "&amp;Econ!A292</f>
        <v>T291 Archer</v>
      </c>
      <c r="C292" s="8">
        <f>Econ!B292</f>
        <v>291</v>
      </c>
      <c r="D292" s="7"/>
      <c r="E292" s="9"/>
      <c r="F292" s="9"/>
      <c r="G292" s="10">
        <f>Econ!L292</f>
        <v>208209</v>
      </c>
      <c r="H292" s="11">
        <f>Econ!M292</f>
        <v>17413</v>
      </c>
      <c r="I292" s="11">
        <f>Econ!N292</f>
        <v>5057</v>
      </c>
      <c r="J292" s="12">
        <f>Econ!O292</f>
        <v>8876</v>
      </c>
      <c r="K292" s="13">
        <f>Econ!P292</f>
        <v>52052.25</v>
      </c>
      <c r="L292" s="14">
        <f>Econ!Q292</f>
        <v>4353.25</v>
      </c>
      <c r="M292" s="14">
        <f>Econ!R292</f>
        <v>1264.25</v>
      </c>
      <c r="N292" s="13">
        <f>Econ!S292</f>
        <v>2219</v>
      </c>
      <c r="O292" s="13">
        <f>Econ!T292</f>
        <v>30</v>
      </c>
      <c r="P292" s="7" t="str">
        <f>Econ!A292</f>
        <v>Archer</v>
      </c>
      <c r="Q292" s="10">
        <f>Econ!C292</f>
        <v>209405454.3</v>
      </c>
      <c r="R292" s="10">
        <f>Econ!E292</f>
        <v>1559.623661</v>
      </c>
      <c r="S292" s="10">
        <f>Econ!G292</f>
        <v>139603636.2</v>
      </c>
      <c r="T292" s="10">
        <f>Econ!I292</f>
        <v>3119.247322</v>
      </c>
    </row>
    <row r="293">
      <c r="A293" s="7" t="str">
        <f>Econ!A293&amp;if(Econ!B293&lt;10,"_0"&amp;Econ!B293,"_"&amp;Econ!B293)</f>
        <v>Archer_292</v>
      </c>
      <c r="B293" s="7" t="str">
        <f>"T"&amp;Econ!B293&amp;" "&amp;Econ!A293</f>
        <v>T292 Archer</v>
      </c>
      <c r="C293" s="8">
        <f>Econ!B293</f>
        <v>292</v>
      </c>
      <c r="D293" s="7"/>
      <c r="E293" s="9"/>
      <c r="F293" s="9"/>
      <c r="G293" s="10">
        <f>Econ!L293</f>
        <v>209464</v>
      </c>
      <c r="H293" s="11">
        <f>Econ!M293</f>
        <v>17514</v>
      </c>
      <c r="I293" s="11">
        <f>Econ!N293</f>
        <v>5108</v>
      </c>
      <c r="J293" s="12">
        <f>Econ!O293</f>
        <v>8927</v>
      </c>
      <c r="K293" s="13">
        <f>Econ!P293</f>
        <v>52366</v>
      </c>
      <c r="L293" s="14">
        <f>Econ!Q293</f>
        <v>4378.5</v>
      </c>
      <c r="M293" s="14">
        <f>Econ!R293</f>
        <v>1277</v>
      </c>
      <c r="N293" s="13">
        <f>Econ!S293</f>
        <v>2231.75</v>
      </c>
      <c r="O293" s="13">
        <f>Econ!T293</f>
        <v>30</v>
      </c>
      <c r="P293" s="7" t="str">
        <f>Econ!A293</f>
        <v>Archer</v>
      </c>
      <c r="Q293" s="10">
        <f>Econ!C293</f>
        <v>219875727</v>
      </c>
      <c r="R293" s="10">
        <f>Econ!E293</f>
        <v>1590.816134</v>
      </c>
      <c r="S293" s="10">
        <f>Econ!G293</f>
        <v>146583818</v>
      </c>
      <c r="T293" s="10">
        <f>Econ!I293</f>
        <v>3181.632269</v>
      </c>
    </row>
    <row r="294">
      <c r="A294" s="7" t="str">
        <f>Econ!A294&amp;if(Econ!B294&lt;10,"_0"&amp;Econ!B294,"_"&amp;Econ!B294)</f>
        <v>Archer_293</v>
      </c>
      <c r="B294" s="7" t="str">
        <f>"T"&amp;Econ!B294&amp;" "&amp;Econ!A294</f>
        <v>T293 Archer</v>
      </c>
      <c r="C294" s="8">
        <f>Econ!B294</f>
        <v>293</v>
      </c>
      <c r="D294" s="7"/>
      <c r="E294" s="9"/>
      <c r="F294" s="9"/>
      <c r="G294" s="10">
        <f>Econ!L294</f>
        <v>210722</v>
      </c>
      <c r="H294" s="11">
        <f>Econ!M294</f>
        <v>17616</v>
      </c>
      <c r="I294" s="11">
        <f>Econ!N294</f>
        <v>5159</v>
      </c>
      <c r="J294" s="12">
        <f>Econ!O294</f>
        <v>8978</v>
      </c>
      <c r="K294" s="13">
        <f>Econ!P294</f>
        <v>52680.5</v>
      </c>
      <c r="L294" s="14">
        <f>Econ!Q294</f>
        <v>4404</v>
      </c>
      <c r="M294" s="14">
        <f>Econ!R294</f>
        <v>1289.75</v>
      </c>
      <c r="N294" s="13">
        <f>Econ!S294</f>
        <v>2244.5</v>
      </c>
      <c r="O294" s="13">
        <f>Econ!T294</f>
        <v>30</v>
      </c>
      <c r="P294" s="7" t="str">
        <f>Econ!A294</f>
        <v>Archer</v>
      </c>
      <c r="Q294" s="10">
        <f>Econ!C294</f>
        <v>230869513.3</v>
      </c>
      <c r="R294" s="10">
        <f>Econ!E294</f>
        <v>1622.632457</v>
      </c>
      <c r="S294" s="10">
        <f>Econ!G294</f>
        <v>153913008.9</v>
      </c>
      <c r="T294" s="10">
        <f>Econ!I294</f>
        <v>3245.264914</v>
      </c>
    </row>
    <row r="295">
      <c r="A295" s="7" t="str">
        <f>Econ!A295&amp;if(Econ!B295&lt;10,"_0"&amp;Econ!B295,"_"&amp;Econ!B295)</f>
        <v>Archer_294</v>
      </c>
      <c r="B295" s="7" t="str">
        <f>"T"&amp;Econ!B295&amp;" "&amp;Econ!A295</f>
        <v>T294 Archer</v>
      </c>
      <c r="C295" s="8">
        <f>Econ!B295</f>
        <v>294</v>
      </c>
      <c r="D295" s="7"/>
      <c r="E295" s="9"/>
      <c r="F295" s="9"/>
      <c r="G295" s="10">
        <f>Econ!L295</f>
        <v>211983</v>
      </c>
      <c r="H295" s="11">
        <f>Econ!M295</f>
        <v>17718</v>
      </c>
      <c r="I295" s="11">
        <f>Econ!N295</f>
        <v>5210</v>
      </c>
      <c r="J295" s="12">
        <f>Econ!O295</f>
        <v>9029</v>
      </c>
      <c r="K295" s="13">
        <f>Econ!P295</f>
        <v>52995.75</v>
      </c>
      <c r="L295" s="14">
        <f>Econ!Q295</f>
        <v>4429.5</v>
      </c>
      <c r="M295" s="14">
        <f>Econ!R295</f>
        <v>1302.5</v>
      </c>
      <c r="N295" s="13">
        <f>Econ!S295</f>
        <v>2257.25</v>
      </c>
      <c r="O295" s="13">
        <f>Econ!T295</f>
        <v>30</v>
      </c>
      <c r="P295" s="7" t="str">
        <f>Econ!A295</f>
        <v>Archer</v>
      </c>
      <c r="Q295" s="10">
        <f>Econ!C295</f>
        <v>242412989</v>
      </c>
      <c r="R295" s="10">
        <f>Econ!E295</f>
        <v>1655.085106</v>
      </c>
      <c r="S295" s="10">
        <f>Econ!G295</f>
        <v>161608659.3</v>
      </c>
      <c r="T295" s="10">
        <f>Econ!I295</f>
        <v>3310.170213</v>
      </c>
    </row>
    <row r="296">
      <c r="A296" s="7" t="str">
        <f>Econ!A296&amp;if(Econ!B296&lt;10,"_0"&amp;Econ!B296,"_"&amp;Econ!B296)</f>
        <v>Archer_295</v>
      </c>
      <c r="B296" s="7" t="str">
        <f>"T"&amp;Econ!B296&amp;" "&amp;Econ!A296</f>
        <v>T295 Archer</v>
      </c>
      <c r="C296" s="8">
        <f>Econ!B296</f>
        <v>295</v>
      </c>
      <c r="D296" s="7"/>
      <c r="E296" s="9"/>
      <c r="F296" s="9"/>
      <c r="G296" s="10">
        <f>Econ!L296</f>
        <v>213247</v>
      </c>
      <c r="H296" s="11">
        <f>Econ!M296</f>
        <v>17820</v>
      </c>
      <c r="I296" s="11">
        <f>Econ!N296</f>
        <v>5262</v>
      </c>
      <c r="J296" s="12">
        <f>Econ!O296</f>
        <v>9081</v>
      </c>
      <c r="K296" s="13">
        <f>Econ!P296</f>
        <v>53311.75</v>
      </c>
      <c r="L296" s="14">
        <f>Econ!Q296</f>
        <v>4455</v>
      </c>
      <c r="M296" s="14">
        <f>Econ!R296</f>
        <v>1315.5</v>
      </c>
      <c r="N296" s="13">
        <f>Econ!S296</f>
        <v>2270.25</v>
      </c>
      <c r="O296" s="13">
        <f>Econ!T296</f>
        <v>31</v>
      </c>
      <c r="P296" s="7" t="str">
        <f>Econ!A296</f>
        <v>Archer</v>
      </c>
      <c r="Q296" s="10">
        <f>Econ!C296</f>
        <v>254533638.5</v>
      </c>
      <c r="R296" s="10">
        <f>Econ!E296</f>
        <v>1688.186808</v>
      </c>
      <c r="S296" s="10">
        <f>Econ!G296</f>
        <v>169689092.3</v>
      </c>
      <c r="T296" s="10">
        <f>Econ!I296</f>
        <v>3376.373617</v>
      </c>
    </row>
    <row r="297">
      <c r="A297" s="7" t="str">
        <f>Econ!A297&amp;if(Econ!B297&lt;10,"_0"&amp;Econ!B297,"_"&amp;Econ!B297)</f>
        <v>Archer_296</v>
      </c>
      <c r="B297" s="7" t="str">
        <f>"T"&amp;Econ!B297&amp;" "&amp;Econ!A297</f>
        <v>T296 Archer</v>
      </c>
      <c r="C297" s="8">
        <f>Econ!B297</f>
        <v>296</v>
      </c>
      <c r="D297" s="7"/>
      <c r="E297" s="9"/>
      <c r="F297" s="9"/>
      <c r="G297" s="10">
        <f>Econ!L297</f>
        <v>214514</v>
      </c>
      <c r="H297" s="11">
        <f>Econ!M297</f>
        <v>17922</v>
      </c>
      <c r="I297" s="11">
        <f>Econ!N297</f>
        <v>5314</v>
      </c>
      <c r="J297" s="12">
        <f>Econ!O297</f>
        <v>9133</v>
      </c>
      <c r="K297" s="13">
        <f>Econ!P297</f>
        <v>53628.5</v>
      </c>
      <c r="L297" s="14">
        <f>Econ!Q297</f>
        <v>4480.5</v>
      </c>
      <c r="M297" s="14">
        <f>Econ!R297</f>
        <v>1328.5</v>
      </c>
      <c r="N297" s="13">
        <f>Econ!S297</f>
        <v>2283.25</v>
      </c>
      <c r="O297" s="13">
        <f>Econ!T297</f>
        <v>31</v>
      </c>
      <c r="P297" s="7" t="str">
        <f>Econ!A297</f>
        <v>Archer</v>
      </c>
      <c r="Q297" s="10">
        <f>Econ!C297</f>
        <v>267260320.4</v>
      </c>
      <c r="R297" s="10">
        <f>Econ!E297</f>
        <v>1721.950545</v>
      </c>
      <c r="S297" s="10">
        <f>Econ!G297</f>
        <v>178173546.9</v>
      </c>
      <c r="T297" s="10">
        <f>Econ!I297</f>
        <v>3443.901089</v>
      </c>
    </row>
    <row r="298">
      <c r="A298" s="7" t="str">
        <f>Econ!A298&amp;if(Econ!B298&lt;10,"_0"&amp;Econ!B298,"_"&amp;Econ!B298)</f>
        <v>Archer_297</v>
      </c>
      <c r="B298" s="7" t="str">
        <f>"T"&amp;Econ!B298&amp;" "&amp;Econ!A298</f>
        <v>T297 Archer</v>
      </c>
      <c r="C298" s="8">
        <f>Econ!B298</f>
        <v>297</v>
      </c>
      <c r="D298" s="7"/>
      <c r="E298" s="9"/>
      <c r="F298" s="9"/>
      <c r="G298" s="10">
        <f>Econ!L298</f>
        <v>215784</v>
      </c>
      <c r="H298" s="11">
        <f>Econ!M298</f>
        <v>18025</v>
      </c>
      <c r="I298" s="11">
        <f>Econ!N298</f>
        <v>5366</v>
      </c>
      <c r="J298" s="12">
        <f>Econ!O298</f>
        <v>9185</v>
      </c>
      <c r="K298" s="13">
        <f>Econ!P298</f>
        <v>53946</v>
      </c>
      <c r="L298" s="14">
        <f>Econ!Q298</f>
        <v>4506.25</v>
      </c>
      <c r="M298" s="14">
        <f>Econ!R298</f>
        <v>1341.5</v>
      </c>
      <c r="N298" s="13">
        <f>Econ!S298</f>
        <v>2296.25</v>
      </c>
      <c r="O298" s="13">
        <f>Econ!T298</f>
        <v>31</v>
      </c>
      <c r="P298" s="7" t="str">
        <f>Econ!A298</f>
        <v>Archer</v>
      </c>
      <c r="Q298" s="10">
        <f>Econ!C298</f>
        <v>280623336.4</v>
      </c>
      <c r="R298" s="10">
        <f>Econ!E298</f>
        <v>1756.389555</v>
      </c>
      <c r="S298" s="10">
        <f>Econ!G298</f>
        <v>187082224.3</v>
      </c>
      <c r="T298" s="10">
        <f>Econ!I298</f>
        <v>3512.779111</v>
      </c>
    </row>
    <row r="299">
      <c r="A299" s="7" t="str">
        <f>Econ!A299&amp;if(Econ!B299&lt;10,"_0"&amp;Econ!B299,"_"&amp;Econ!B299)</f>
        <v>Archer_298</v>
      </c>
      <c r="B299" s="7" t="str">
        <f>"T"&amp;Econ!B299&amp;" "&amp;Econ!A299</f>
        <v>T298 Archer</v>
      </c>
      <c r="C299" s="8">
        <f>Econ!B299</f>
        <v>298</v>
      </c>
      <c r="D299" s="7"/>
      <c r="E299" s="9"/>
      <c r="F299" s="9"/>
      <c r="G299" s="10">
        <f>Econ!L299</f>
        <v>217057</v>
      </c>
      <c r="H299" s="11">
        <f>Econ!M299</f>
        <v>18128</v>
      </c>
      <c r="I299" s="11">
        <f>Econ!N299</f>
        <v>5418</v>
      </c>
      <c r="J299" s="12">
        <f>Econ!O299</f>
        <v>9237</v>
      </c>
      <c r="K299" s="13">
        <f>Econ!P299</f>
        <v>54264.25</v>
      </c>
      <c r="L299" s="14">
        <f>Econ!Q299</f>
        <v>4532</v>
      </c>
      <c r="M299" s="14">
        <f>Econ!R299</f>
        <v>1354.5</v>
      </c>
      <c r="N299" s="13">
        <f>Econ!S299</f>
        <v>2309.25</v>
      </c>
      <c r="O299" s="13">
        <f>Econ!T299</f>
        <v>31</v>
      </c>
      <c r="P299" s="7" t="str">
        <f>Econ!A299</f>
        <v>Archer</v>
      </c>
      <c r="Q299" s="10">
        <f>Econ!C299</f>
        <v>294654503.2</v>
      </c>
      <c r="R299" s="10">
        <f>Econ!E299</f>
        <v>1791.517347</v>
      </c>
      <c r="S299" s="10">
        <f>Econ!G299</f>
        <v>196436335.5</v>
      </c>
      <c r="T299" s="10">
        <f>Econ!I299</f>
        <v>3583.034693</v>
      </c>
    </row>
    <row r="300">
      <c r="A300" s="7" t="str">
        <f>Econ!A300&amp;if(Econ!B300&lt;10,"_0"&amp;Econ!B300,"_"&amp;Econ!B300)</f>
        <v>Archer_299</v>
      </c>
      <c r="B300" s="7" t="str">
        <f>"T"&amp;Econ!B300&amp;" "&amp;Econ!A300</f>
        <v>T299 Archer</v>
      </c>
      <c r="C300" s="8">
        <f>Econ!B300</f>
        <v>299</v>
      </c>
      <c r="D300" s="7"/>
      <c r="E300" s="9"/>
      <c r="F300" s="9"/>
      <c r="G300" s="10">
        <f>Econ!L300</f>
        <v>218333</v>
      </c>
      <c r="H300" s="11">
        <f>Econ!M300</f>
        <v>18231</v>
      </c>
      <c r="I300" s="11">
        <f>Econ!N300</f>
        <v>5470</v>
      </c>
      <c r="J300" s="12">
        <f>Econ!O300</f>
        <v>9289</v>
      </c>
      <c r="K300" s="13">
        <f>Econ!P300</f>
        <v>54583.25</v>
      </c>
      <c r="L300" s="14">
        <f>Econ!Q300</f>
        <v>4557.75</v>
      </c>
      <c r="M300" s="14">
        <f>Econ!R300</f>
        <v>1367.5</v>
      </c>
      <c r="N300" s="13">
        <f>Econ!S300</f>
        <v>2322.25</v>
      </c>
      <c r="O300" s="13">
        <f>Econ!T300</f>
        <v>31</v>
      </c>
      <c r="P300" s="7" t="str">
        <f>Econ!A300</f>
        <v>Archer</v>
      </c>
      <c r="Q300" s="10">
        <f>Econ!C300</f>
        <v>309387228.4</v>
      </c>
      <c r="R300" s="10">
        <f>Econ!E300</f>
        <v>1827.347693</v>
      </c>
      <c r="S300" s="10">
        <f>Econ!G300</f>
        <v>206258152.3</v>
      </c>
      <c r="T300" s="10">
        <f>Econ!I300</f>
        <v>3654.695387</v>
      </c>
    </row>
    <row r="301">
      <c r="A301" s="7" t="str">
        <f>Econ!A301&amp;if(Econ!B301&lt;10,"_0"&amp;Econ!B301,"_"&amp;Econ!B301)</f>
        <v>Archer_300</v>
      </c>
      <c r="B301" s="7" t="str">
        <f>"T"&amp;Econ!B301&amp;" "&amp;Econ!A301</f>
        <v>T300 Archer</v>
      </c>
      <c r="C301" s="8">
        <f>Econ!B301</f>
        <v>300</v>
      </c>
      <c r="D301" s="7"/>
      <c r="E301" s="9"/>
      <c r="F301" s="9"/>
      <c r="G301" s="10">
        <f>Econ!L301</f>
        <v>219612</v>
      </c>
      <c r="H301" s="11">
        <f>Econ!M301</f>
        <v>18334</v>
      </c>
      <c r="I301" s="11">
        <f>Econ!N301</f>
        <v>5522</v>
      </c>
      <c r="J301" s="12">
        <f>Econ!O301</f>
        <v>9341</v>
      </c>
      <c r="K301" s="13">
        <f>Econ!P301</f>
        <v>54903</v>
      </c>
      <c r="L301" s="14">
        <f>Econ!Q301</f>
        <v>4583.5</v>
      </c>
      <c r="M301" s="14">
        <f>Econ!R301</f>
        <v>1380.5</v>
      </c>
      <c r="N301" s="13">
        <f>Econ!S301</f>
        <v>2335.25</v>
      </c>
      <c r="O301" s="13">
        <f>Econ!T301</f>
        <v>31</v>
      </c>
      <c r="P301" s="7" t="str">
        <f>Econ!A301</f>
        <v>Archer</v>
      </c>
      <c r="Q301" s="10">
        <f>Econ!C301</f>
        <v>324856589.8</v>
      </c>
      <c r="R301" s="10">
        <f>Econ!E301</f>
        <v>1863.894647</v>
      </c>
      <c r="S301" s="10">
        <f>Econ!G301</f>
        <v>216571059.9</v>
      </c>
      <c r="T301" s="10">
        <f>Econ!I301</f>
        <v>3727.789295</v>
      </c>
    </row>
    <row r="302">
      <c r="A302" s="7" t="str">
        <f>Econ!A302&amp;if(Econ!B302&lt;10,"_0"&amp;Econ!B302,"_"&amp;Econ!B302)</f>
        <v>Pikeman_01</v>
      </c>
      <c r="B302" s="7" t="str">
        <f>"T"&amp;Econ!B302&amp;" "&amp;Econ!A302</f>
        <v>T1 Pikeman</v>
      </c>
      <c r="C302" s="8">
        <f>Econ!B302</f>
        <v>1</v>
      </c>
      <c r="D302" s="7"/>
      <c r="E302" s="9"/>
      <c r="F302" s="9"/>
      <c r="G302" s="10">
        <f>Econ!L302</f>
        <v>1000</v>
      </c>
      <c r="H302" s="11" t="str">
        <f>Econ!M302</f>
        <v/>
      </c>
      <c r="I302" s="11" t="str">
        <f>Econ!N302</f>
        <v/>
      </c>
      <c r="J302" s="12">
        <f>Econ!O302</f>
        <v>50</v>
      </c>
      <c r="K302" s="13">
        <f>Econ!P302</f>
        <v>250</v>
      </c>
      <c r="L302" s="14">
        <f>Econ!Q302</f>
        <v>0</v>
      </c>
      <c r="M302" s="14">
        <f>Econ!R302</f>
        <v>0</v>
      </c>
      <c r="N302" s="13">
        <f>Econ!S302</f>
        <v>12.5</v>
      </c>
      <c r="O302" s="13">
        <f>Econ!T302</f>
        <v>1</v>
      </c>
      <c r="P302" s="7" t="str">
        <f>Econ!A302</f>
        <v>Pikeman</v>
      </c>
      <c r="Q302" s="10">
        <f>Econ!C302</f>
        <v>300</v>
      </c>
      <c r="R302" s="10">
        <f>Econ!E302</f>
        <v>10</v>
      </c>
      <c r="S302" s="10">
        <f>Econ!G302</f>
        <v>45</v>
      </c>
      <c r="T302" s="10">
        <f>Econ!I302</f>
        <v>45</v>
      </c>
    </row>
    <row r="303">
      <c r="A303" s="7" t="str">
        <f>Econ!A303&amp;if(Econ!B303&lt;10,"_0"&amp;Econ!B303,"_"&amp;Econ!B303)</f>
        <v>Pikeman_02</v>
      </c>
      <c r="B303" s="7" t="str">
        <f>"T"&amp;Econ!B303&amp;" "&amp;Econ!A303</f>
        <v>T2 Pikeman</v>
      </c>
      <c r="C303" s="8">
        <f>Econ!B303</f>
        <v>2</v>
      </c>
      <c r="D303" s="7"/>
      <c r="E303" s="9"/>
      <c r="F303" s="9"/>
      <c r="G303" s="10">
        <f>Econ!L303</f>
        <v>1025</v>
      </c>
      <c r="H303" s="11" t="str">
        <f>Econ!M303</f>
        <v/>
      </c>
      <c r="I303" s="11" t="str">
        <f>Econ!N303</f>
        <v/>
      </c>
      <c r="J303" s="12">
        <f>Econ!O303</f>
        <v>52</v>
      </c>
      <c r="K303" s="13">
        <f>Econ!P303</f>
        <v>256.25</v>
      </c>
      <c r="L303" s="14">
        <f>Econ!Q303</f>
        <v>0</v>
      </c>
      <c r="M303" s="14">
        <f>Econ!R303</f>
        <v>0</v>
      </c>
      <c r="N303" s="13">
        <f>Econ!S303</f>
        <v>13</v>
      </c>
      <c r="O303" s="13">
        <f>Econ!T303</f>
        <v>1</v>
      </c>
      <c r="P303" s="7" t="str">
        <f>Econ!A303</f>
        <v>Pikeman</v>
      </c>
      <c r="Q303" s="10">
        <f>Econ!C303</f>
        <v>315</v>
      </c>
      <c r="R303" s="10">
        <f>Econ!E303</f>
        <v>10.2</v>
      </c>
      <c r="S303" s="10">
        <f>Econ!G303</f>
        <v>47.25</v>
      </c>
      <c r="T303" s="10">
        <f>Econ!I303</f>
        <v>45.9</v>
      </c>
    </row>
    <row r="304">
      <c r="A304" s="7" t="str">
        <f>Econ!A304&amp;if(Econ!B304&lt;10,"_0"&amp;Econ!B304,"_"&amp;Econ!B304)</f>
        <v>Pikeman_03</v>
      </c>
      <c r="B304" s="7" t="str">
        <f>"T"&amp;Econ!B304&amp;" "&amp;Econ!A304</f>
        <v>T3 Pikeman</v>
      </c>
      <c r="C304" s="8">
        <f>Econ!B304</f>
        <v>3</v>
      </c>
      <c r="D304" s="7"/>
      <c r="E304" s="9"/>
      <c r="F304" s="9"/>
      <c r="G304" s="10">
        <f>Econ!L304</f>
        <v>1064</v>
      </c>
      <c r="H304" s="11" t="str">
        <f>Econ!M304</f>
        <v/>
      </c>
      <c r="I304" s="11" t="str">
        <f>Econ!N304</f>
        <v/>
      </c>
      <c r="J304" s="12">
        <f>Econ!O304</f>
        <v>55</v>
      </c>
      <c r="K304" s="13">
        <f>Econ!P304</f>
        <v>266</v>
      </c>
      <c r="L304" s="14">
        <f>Econ!Q304</f>
        <v>0</v>
      </c>
      <c r="M304" s="14">
        <f>Econ!R304</f>
        <v>0</v>
      </c>
      <c r="N304" s="13">
        <f>Econ!S304</f>
        <v>13.75</v>
      </c>
      <c r="O304" s="13">
        <f>Econ!T304</f>
        <v>1</v>
      </c>
      <c r="P304" s="7" t="str">
        <f>Econ!A304</f>
        <v>Pikeman</v>
      </c>
      <c r="Q304" s="10">
        <f>Econ!C304</f>
        <v>330.75</v>
      </c>
      <c r="R304" s="10">
        <f>Econ!E304</f>
        <v>10.404</v>
      </c>
      <c r="S304" s="10">
        <f>Econ!G304</f>
        <v>49.6125</v>
      </c>
      <c r="T304" s="10">
        <f>Econ!I304</f>
        <v>46.818</v>
      </c>
    </row>
    <row r="305">
      <c r="A305" s="7" t="str">
        <f>Econ!A305&amp;if(Econ!B305&lt;10,"_0"&amp;Econ!B305,"_"&amp;Econ!B305)</f>
        <v>Pikeman_04</v>
      </c>
      <c r="B305" s="7" t="str">
        <f>"T"&amp;Econ!B305&amp;" "&amp;Econ!A305</f>
        <v>T4 Pikeman</v>
      </c>
      <c r="C305" s="8">
        <f>Econ!B305</f>
        <v>4</v>
      </c>
      <c r="D305" s="7"/>
      <c r="E305" s="9"/>
      <c r="F305" s="9"/>
      <c r="G305" s="10">
        <f>Econ!L305</f>
        <v>1116</v>
      </c>
      <c r="H305" s="11" t="str">
        <f>Econ!M305</f>
        <v/>
      </c>
      <c r="I305" s="11" t="str">
        <f>Econ!N305</f>
        <v/>
      </c>
      <c r="J305" s="12">
        <f>Econ!O305</f>
        <v>58</v>
      </c>
      <c r="K305" s="13">
        <f>Econ!P305</f>
        <v>279</v>
      </c>
      <c r="L305" s="14">
        <f>Econ!Q305</f>
        <v>0</v>
      </c>
      <c r="M305" s="14">
        <f>Econ!R305</f>
        <v>0</v>
      </c>
      <c r="N305" s="13">
        <f>Econ!S305</f>
        <v>14.5</v>
      </c>
      <c r="O305" s="13">
        <f>Econ!T305</f>
        <v>1</v>
      </c>
      <c r="P305" s="7" t="str">
        <f>Econ!A305</f>
        <v>Pikeman</v>
      </c>
      <c r="Q305" s="10">
        <f>Econ!C305</f>
        <v>347.2875</v>
      </c>
      <c r="R305" s="10">
        <f>Econ!E305</f>
        <v>10.61208</v>
      </c>
      <c r="S305" s="10">
        <f>Econ!G305</f>
        <v>52.093125</v>
      </c>
      <c r="T305" s="10">
        <f>Econ!I305</f>
        <v>47.75436</v>
      </c>
    </row>
    <row r="306">
      <c r="A306" s="7" t="str">
        <f>Econ!A306&amp;if(Econ!B306&lt;10,"_0"&amp;Econ!B306,"_"&amp;Econ!B306)</f>
        <v>Pikeman_05</v>
      </c>
      <c r="B306" s="7" t="str">
        <f>"T"&amp;Econ!B306&amp;" "&amp;Econ!A306</f>
        <v>T5 Pikeman</v>
      </c>
      <c r="C306" s="8">
        <f>Econ!B306</f>
        <v>5</v>
      </c>
      <c r="D306" s="7"/>
      <c r="E306" s="9"/>
      <c r="F306" s="9"/>
      <c r="G306" s="10">
        <f>Econ!L306</f>
        <v>1179</v>
      </c>
      <c r="H306" s="11" t="str">
        <f>Econ!M306</f>
        <v/>
      </c>
      <c r="I306" s="11" t="str">
        <f>Econ!N306</f>
        <v/>
      </c>
      <c r="J306" s="12">
        <f>Econ!O306</f>
        <v>61</v>
      </c>
      <c r="K306" s="13">
        <f>Econ!P306</f>
        <v>294.75</v>
      </c>
      <c r="L306" s="14">
        <f>Econ!Q306</f>
        <v>0</v>
      </c>
      <c r="M306" s="14">
        <f>Econ!R306</f>
        <v>0</v>
      </c>
      <c r="N306" s="13">
        <f>Econ!S306</f>
        <v>15.25</v>
      </c>
      <c r="O306" s="13">
        <f>Econ!T306</f>
        <v>2</v>
      </c>
      <c r="P306" s="7" t="str">
        <f>Econ!A306</f>
        <v>Pikeman</v>
      </c>
      <c r="Q306" s="10">
        <f>Econ!C306</f>
        <v>364.651875</v>
      </c>
      <c r="R306" s="10">
        <f>Econ!E306</f>
        <v>10.8243216</v>
      </c>
      <c r="S306" s="10">
        <f>Econ!G306</f>
        <v>54.69778125</v>
      </c>
      <c r="T306" s="10">
        <f>Econ!I306</f>
        <v>48.7094472</v>
      </c>
    </row>
    <row r="307">
      <c r="A307" s="7" t="str">
        <f>Econ!A307&amp;if(Econ!B307&lt;10,"_0"&amp;Econ!B307,"_"&amp;Econ!B307)</f>
        <v>Pikeman_06</v>
      </c>
      <c r="B307" s="7" t="str">
        <f>"T"&amp;Econ!B307&amp;" "&amp;Econ!A307</f>
        <v>T6 Pikeman</v>
      </c>
      <c r="C307" s="8">
        <f>Econ!B307</f>
        <v>6</v>
      </c>
      <c r="D307" s="7"/>
      <c r="E307" s="9"/>
      <c r="F307" s="9"/>
      <c r="G307" s="10">
        <f>Econ!L307</f>
        <v>1253</v>
      </c>
      <c r="H307" s="11" t="str">
        <f>Econ!M307</f>
        <v/>
      </c>
      <c r="I307" s="11" t="str">
        <f>Econ!N307</f>
        <v/>
      </c>
      <c r="J307" s="12">
        <f>Econ!O307</f>
        <v>65</v>
      </c>
      <c r="K307" s="13">
        <f>Econ!P307</f>
        <v>313.25</v>
      </c>
      <c r="L307" s="14">
        <f>Econ!Q307</f>
        <v>0</v>
      </c>
      <c r="M307" s="14">
        <f>Econ!R307</f>
        <v>0</v>
      </c>
      <c r="N307" s="13">
        <f>Econ!S307</f>
        <v>16.25</v>
      </c>
      <c r="O307" s="13">
        <f>Econ!T307</f>
        <v>2</v>
      </c>
      <c r="P307" s="7" t="str">
        <f>Econ!A307</f>
        <v>Pikeman</v>
      </c>
      <c r="Q307" s="10">
        <f>Econ!C307</f>
        <v>382.8844688</v>
      </c>
      <c r="R307" s="10">
        <f>Econ!E307</f>
        <v>11.04080803</v>
      </c>
      <c r="S307" s="10">
        <f>Econ!G307</f>
        <v>57.43267031</v>
      </c>
      <c r="T307" s="10">
        <f>Econ!I307</f>
        <v>49.68363614</v>
      </c>
    </row>
    <row r="308">
      <c r="A308" s="7" t="str">
        <f>Econ!A308&amp;if(Econ!B308&lt;10,"_0"&amp;Econ!B308,"_"&amp;Econ!B308)</f>
        <v>Pikeman_07</v>
      </c>
      <c r="B308" s="7" t="str">
        <f>"T"&amp;Econ!B308&amp;" "&amp;Econ!A308</f>
        <v>T7 Pikeman</v>
      </c>
      <c r="C308" s="8">
        <f>Econ!B308</f>
        <v>7</v>
      </c>
      <c r="D308" s="7"/>
      <c r="E308" s="9"/>
      <c r="F308" s="9"/>
      <c r="G308" s="10">
        <f>Econ!L308</f>
        <v>1337</v>
      </c>
      <c r="H308" s="11" t="str">
        <f>Econ!M308</f>
        <v/>
      </c>
      <c r="I308" s="11" t="str">
        <f>Econ!N308</f>
        <v/>
      </c>
      <c r="J308" s="12">
        <f>Econ!O308</f>
        <v>69</v>
      </c>
      <c r="K308" s="13">
        <f>Econ!P308</f>
        <v>334.25</v>
      </c>
      <c r="L308" s="14">
        <f>Econ!Q308</f>
        <v>0</v>
      </c>
      <c r="M308" s="14">
        <f>Econ!R308</f>
        <v>0</v>
      </c>
      <c r="N308" s="13">
        <f>Econ!S308</f>
        <v>17.25</v>
      </c>
      <c r="O308" s="13">
        <f>Econ!T308</f>
        <v>2</v>
      </c>
      <c r="P308" s="7" t="str">
        <f>Econ!A308</f>
        <v>Pikeman</v>
      </c>
      <c r="Q308" s="10">
        <f>Econ!C308</f>
        <v>402.0286922</v>
      </c>
      <c r="R308" s="10">
        <f>Econ!E308</f>
        <v>11.26162419</v>
      </c>
      <c r="S308" s="10">
        <f>Econ!G308</f>
        <v>60.30430383</v>
      </c>
      <c r="T308" s="10">
        <f>Econ!I308</f>
        <v>50.67730887</v>
      </c>
    </row>
    <row r="309">
      <c r="A309" s="7" t="str">
        <f>Econ!A309&amp;if(Econ!B309&lt;10,"_0"&amp;Econ!B309,"_"&amp;Econ!B309)</f>
        <v>Pikeman_08</v>
      </c>
      <c r="B309" s="7" t="str">
        <f>"T"&amp;Econ!B309&amp;" "&amp;Econ!A309</f>
        <v>T8 Pikeman</v>
      </c>
      <c r="C309" s="8">
        <f>Econ!B309</f>
        <v>8</v>
      </c>
      <c r="D309" s="7"/>
      <c r="E309" s="9"/>
      <c r="F309" s="9"/>
      <c r="G309" s="10">
        <f>Econ!L309</f>
        <v>1430</v>
      </c>
      <c r="H309" s="11" t="str">
        <f>Econ!M309</f>
        <v/>
      </c>
      <c r="I309" s="11" t="str">
        <f>Econ!N309</f>
        <v/>
      </c>
      <c r="J309" s="12">
        <f>Econ!O309</f>
        <v>74</v>
      </c>
      <c r="K309" s="13">
        <f>Econ!P309</f>
        <v>357.5</v>
      </c>
      <c r="L309" s="14">
        <f>Econ!Q309</f>
        <v>0</v>
      </c>
      <c r="M309" s="14">
        <f>Econ!R309</f>
        <v>0</v>
      </c>
      <c r="N309" s="13">
        <f>Econ!S309</f>
        <v>18.5</v>
      </c>
      <c r="O309" s="13">
        <f>Econ!T309</f>
        <v>2</v>
      </c>
      <c r="P309" s="7" t="str">
        <f>Econ!A309</f>
        <v>Pikeman</v>
      </c>
      <c r="Q309" s="10">
        <f>Econ!C309</f>
        <v>422.1301268</v>
      </c>
      <c r="R309" s="10">
        <f>Econ!E309</f>
        <v>11.48685668</v>
      </c>
      <c r="S309" s="10">
        <f>Econ!G309</f>
        <v>63.31951902</v>
      </c>
      <c r="T309" s="10">
        <f>Econ!I309</f>
        <v>51.69085504</v>
      </c>
    </row>
    <row r="310">
      <c r="A310" s="7" t="str">
        <f>Econ!A310&amp;if(Econ!B310&lt;10,"_0"&amp;Econ!B310,"_"&amp;Econ!B310)</f>
        <v>Pikeman_09</v>
      </c>
      <c r="B310" s="7" t="str">
        <f>"T"&amp;Econ!B310&amp;" "&amp;Econ!A310</f>
        <v>T9 Pikeman</v>
      </c>
      <c r="C310" s="8">
        <f>Econ!B310</f>
        <v>9</v>
      </c>
      <c r="D310" s="7"/>
      <c r="E310" s="9"/>
      <c r="F310" s="9"/>
      <c r="G310" s="10">
        <f>Econ!L310</f>
        <v>1532</v>
      </c>
      <c r="H310" s="11" t="str">
        <f>Econ!M310</f>
        <v/>
      </c>
      <c r="I310" s="11" t="str">
        <f>Econ!N310</f>
        <v/>
      </c>
      <c r="J310" s="12">
        <f>Econ!O310</f>
        <v>79</v>
      </c>
      <c r="K310" s="13">
        <f>Econ!P310</f>
        <v>383</v>
      </c>
      <c r="L310" s="14">
        <f>Econ!Q310</f>
        <v>0</v>
      </c>
      <c r="M310" s="14">
        <f>Econ!R310</f>
        <v>0</v>
      </c>
      <c r="N310" s="13">
        <f>Econ!S310</f>
        <v>19.75</v>
      </c>
      <c r="O310" s="13">
        <f>Econ!T310</f>
        <v>2</v>
      </c>
      <c r="P310" s="7" t="str">
        <f>Econ!A310</f>
        <v>Pikeman</v>
      </c>
      <c r="Q310" s="10">
        <f>Econ!C310</f>
        <v>443.2366331</v>
      </c>
      <c r="R310" s="10">
        <f>Econ!E310</f>
        <v>11.71659381</v>
      </c>
      <c r="S310" s="10">
        <f>Econ!G310</f>
        <v>66.48549497</v>
      </c>
      <c r="T310" s="10">
        <f>Econ!I310</f>
        <v>52.72467215</v>
      </c>
    </row>
    <row r="311">
      <c r="A311" s="7" t="str">
        <f>Econ!A311&amp;if(Econ!B311&lt;10,"_0"&amp;Econ!B311,"_"&amp;Econ!B311)</f>
        <v>Pikeman_10</v>
      </c>
      <c r="B311" s="7" t="str">
        <f>"T"&amp;Econ!B311&amp;" "&amp;Econ!A311</f>
        <v>T10 Pikeman</v>
      </c>
      <c r="C311" s="8">
        <f>Econ!B311</f>
        <v>10</v>
      </c>
      <c r="D311" s="7"/>
      <c r="E311" s="9"/>
      <c r="F311" s="9"/>
      <c r="G311" s="10">
        <f>Econ!L311</f>
        <v>1643</v>
      </c>
      <c r="H311" s="11" t="str">
        <f>Econ!M311</f>
        <v/>
      </c>
      <c r="I311" s="11" t="str">
        <f>Econ!N311</f>
        <v/>
      </c>
      <c r="J311" s="12">
        <f>Econ!O311</f>
        <v>84</v>
      </c>
      <c r="K311" s="13">
        <f>Econ!P311</f>
        <v>410.75</v>
      </c>
      <c r="L311" s="14">
        <f>Econ!Q311</f>
        <v>0</v>
      </c>
      <c r="M311" s="14">
        <f>Econ!R311</f>
        <v>0</v>
      </c>
      <c r="N311" s="13">
        <f>Econ!S311</f>
        <v>21</v>
      </c>
      <c r="O311" s="13">
        <f>Econ!T311</f>
        <v>2</v>
      </c>
      <c r="P311" s="7" t="str">
        <f>Econ!A311</f>
        <v>Pikeman</v>
      </c>
      <c r="Q311" s="10">
        <f>Econ!C311</f>
        <v>465.3984648</v>
      </c>
      <c r="R311" s="10">
        <f>Econ!E311</f>
        <v>11.95092569</v>
      </c>
      <c r="S311" s="10">
        <f>Econ!G311</f>
        <v>69.80976972</v>
      </c>
      <c r="T311" s="10">
        <f>Econ!I311</f>
        <v>53.77916559</v>
      </c>
    </row>
    <row r="312">
      <c r="A312" s="7" t="str">
        <f>Econ!A312&amp;if(Econ!B312&lt;10,"_0"&amp;Econ!B312,"_"&amp;Econ!B312)</f>
        <v>Pikeman_11</v>
      </c>
      <c r="B312" s="7" t="str">
        <f>"T"&amp;Econ!B312&amp;" "&amp;Econ!A312</f>
        <v>T11 Pikeman</v>
      </c>
      <c r="C312" s="8">
        <f>Econ!B312</f>
        <v>11</v>
      </c>
      <c r="D312" s="7"/>
      <c r="E312" s="9"/>
      <c r="F312" s="9"/>
      <c r="G312" s="10">
        <f>Econ!L312</f>
        <v>1762</v>
      </c>
      <c r="H312" s="11" t="str">
        <f>Econ!M312</f>
        <v/>
      </c>
      <c r="I312" s="11" t="str">
        <f>Econ!N312</f>
        <v/>
      </c>
      <c r="J312" s="12">
        <f>Econ!O312</f>
        <v>90</v>
      </c>
      <c r="K312" s="13">
        <f>Econ!P312</f>
        <v>440.5</v>
      </c>
      <c r="L312" s="14">
        <f>Econ!Q312</f>
        <v>0</v>
      </c>
      <c r="M312" s="14">
        <f>Econ!R312</f>
        <v>0</v>
      </c>
      <c r="N312" s="13">
        <f>Econ!S312</f>
        <v>22.5</v>
      </c>
      <c r="O312" s="13">
        <f>Econ!T312</f>
        <v>2</v>
      </c>
      <c r="P312" s="7" t="str">
        <f>Econ!A312</f>
        <v>Pikeman</v>
      </c>
      <c r="Q312" s="10">
        <f>Econ!C312</f>
        <v>488.668388</v>
      </c>
      <c r="R312" s="10">
        <f>Econ!E312</f>
        <v>12.1899442</v>
      </c>
      <c r="S312" s="10">
        <f>Econ!G312</f>
        <v>73.3002582</v>
      </c>
      <c r="T312" s="10">
        <f>Econ!I312</f>
        <v>54.8547489</v>
      </c>
    </row>
    <row r="313">
      <c r="A313" s="7" t="str">
        <f>Econ!A313&amp;if(Econ!B313&lt;10,"_0"&amp;Econ!B313,"_"&amp;Econ!B313)</f>
        <v>Pikeman_12</v>
      </c>
      <c r="B313" s="7" t="str">
        <f>"T"&amp;Econ!B313&amp;" "&amp;Econ!A313</f>
        <v>T12 Pikeman</v>
      </c>
      <c r="C313" s="8">
        <f>Econ!B313</f>
        <v>12</v>
      </c>
      <c r="D313" s="7"/>
      <c r="E313" s="9"/>
      <c r="F313" s="9"/>
      <c r="G313" s="10">
        <f>Econ!L313</f>
        <v>1890</v>
      </c>
      <c r="H313" s="11" t="str">
        <f>Econ!M313</f>
        <v/>
      </c>
      <c r="I313" s="11" t="str">
        <f>Econ!N313</f>
        <v/>
      </c>
      <c r="J313" s="12">
        <f>Econ!O313</f>
        <v>96</v>
      </c>
      <c r="K313" s="13">
        <f>Econ!P313</f>
        <v>472.5</v>
      </c>
      <c r="L313" s="14">
        <f>Econ!Q313</f>
        <v>0</v>
      </c>
      <c r="M313" s="14">
        <f>Econ!R313</f>
        <v>0</v>
      </c>
      <c r="N313" s="13">
        <f>Econ!S313</f>
        <v>24</v>
      </c>
      <c r="O313" s="13">
        <f>Econ!T313</f>
        <v>2</v>
      </c>
      <c r="P313" s="7" t="str">
        <f>Econ!A313</f>
        <v>Pikeman</v>
      </c>
      <c r="Q313" s="10">
        <f>Econ!C313</f>
        <v>513.1018074</v>
      </c>
      <c r="R313" s="10">
        <f>Econ!E313</f>
        <v>12.43374308</v>
      </c>
      <c r="S313" s="10">
        <f>Econ!G313</f>
        <v>76.96527112</v>
      </c>
      <c r="T313" s="10">
        <f>Econ!I313</f>
        <v>55.95184388</v>
      </c>
    </row>
    <row r="314">
      <c r="A314" s="7" t="str">
        <f>Econ!A314&amp;if(Econ!B314&lt;10,"_0"&amp;Econ!B314,"_"&amp;Econ!B314)</f>
        <v>Pikeman_13</v>
      </c>
      <c r="B314" s="7" t="str">
        <f>"T"&amp;Econ!B314&amp;" "&amp;Econ!A314</f>
        <v>T13 Pikeman</v>
      </c>
      <c r="C314" s="8">
        <f>Econ!B314</f>
        <v>13</v>
      </c>
      <c r="D314" s="7"/>
      <c r="E314" s="9"/>
      <c r="F314" s="9"/>
      <c r="G314" s="10">
        <f>Econ!L314</f>
        <v>2026</v>
      </c>
      <c r="H314" s="11" t="str">
        <f>Econ!M314</f>
        <v/>
      </c>
      <c r="I314" s="11" t="str">
        <f>Econ!N314</f>
        <v/>
      </c>
      <c r="J314" s="12">
        <f>Econ!O314</f>
        <v>102</v>
      </c>
      <c r="K314" s="13">
        <f>Econ!P314</f>
        <v>506.5</v>
      </c>
      <c r="L314" s="14">
        <f>Econ!Q314</f>
        <v>0</v>
      </c>
      <c r="M314" s="14">
        <f>Econ!R314</f>
        <v>0</v>
      </c>
      <c r="N314" s="13">
        <f>Econ!S314</f>
        <v>25.5</v>
      </c>
      <c r="O314" s="13">
        <f>Econ!T314</f>
        <v>2</v>
      </c>
      <c r="P314" s="7" t="str">
        <f>Econ!A314</f>
        <v>Pikeman</v>
      </c>
      <c r="Q314" s="10">
        <f>Econ!C314</f>
        <v>538.7568978</v>
      </c>
      <c r="R314" s="10">
        <f>Econ!E314</f>
        <v>12.68241795</v>
      </c>
      <c r="S314" s="10">
        <f>Econ!G314</f>
        <v>80.81353467</v>
      </c>
      <c r="T314" s="10">
        <f>Econ!I314</f>
        <v>57.07088076</v>
      </c>
    </row>
    <row r="315">
      <c r="A315" s="7" t="str">
        <f>Econ!A315&amp;if(Econ!B315&lt;10,"_0"&amp;Econ!B315,"_"&amp;Econ!B315)</f>
        <v>Pikeman_14</v>
      </c>
      <c r="B315" s="7" t="str">
        <f>"T"&amp;Econ!B315&amp;" "&amp;Econ!A315</f>
        <v>T14 Pikeman</v>
      </c>
      <c r="C315" s="8">
        <f>Econ!B315</f>
        <v>14</v>
      </c>
      <c r="D315" s="7"/>
      <c r="E315" s="9"/>
      <c r="F315" s="9"/>
      <c r="G315" s="10">
        <f>Econ!L315</f>
        <v>2169</v>
      </c>
      <c r="H315" s="11" t="str">
        <f>Econ!M315</f>
        <v/>
      </c>
      <c r="I315" s="11" t="str">
        <f>Econ!N315</f>
        <v/>
      </c>
      <c r="J315" s="12">
        <f>Econ!O315</f>
        <v>109</v>
      </c>
      <c r="K315" s="13">
        <f>Econ!P315</f>
        <v>542.25</v>
      </c>
      <c r="L315" s="14">
        <f>Econ!Q315</f>
        <v>0</v>
      </c>
      <c r="M315" s="14">
        <f>Econ!R315</f>
        <v>0</v>
      </c>
      <c r="N315" s="13">
        <f>Econ!S315</f>
        <v>27.25</v>
      </c>
      <c r="O315" s="13">
        <f>Econ!T315</f>
        <v>2</v>
      </c>
      <c r="P315" s="7" t="str">
        <f>Econ!A315</f>
        <v>Pikeman</v>
      </c>
      <c r="Q315" s="10">
        <f>Econ!C315</f>
        <v>565.6947427</v>
      </c>
      <c r="R315" s="10">
        <f>Econ!E315</f>
        <v>12.9360663</v>
      </c>
      <c r="S315" s="10">
        <f>Econ!G315</f>
        <v>84.8542114</v>
      </c>
      <c r="T315" s="10">
        <f>Econ!I315</f>
        <v>58.21229837</v>
      </c>
    </row>
    <row r="316">
      <c r="A316" s="7" t="str">
        <f>Econ!A316&amp;if(Econ!B316&lt;10,"_0"&amp;Econ!B316,"_"&amp;Econ!B316)</f>
        <v>Pikeman_15</v>
      </c>
      <c r="B316" s="7" t="str">
        <f>"T"&amp;Econ!B316&amp;" "&amp;Econ!A316</f>
        <v>T15 Pikeman</v>
      </c>
      <c r="C316" s="8">
        <f>Econ!B316</f>
        <v>15</v>
      </c>
      <c r="D316" s="7"/>
      <c r="E316" s="9"/>
      <c r="F316" s="9"/>
      <c r="G316" s="10">
        <f>Econ!L316</f>
        <v>2320</v>
      </c>
      <c r="H316" s="11" t="str">
        <f>Econ!M316</f>
        <v/>
      </c>
      <c r="I316" s="11" t="str">
        <f>Econ!N316</f>
        <v/>
      </c>
      <c r="J316" s="12">
        <f>Econ!O316</f>
        <v>116</v>
      </c>
      <c r="K316" s="13">
        <f>Econ!P316</f>
        <v>580</v>
      </c>
      <c r="L316" s="14">
        <f>Econ!Q316</f>
        <v>0</v>
      </c>
      <c r="M316" s="14">
        <f>Econ!R316</f>
        <v>0</v>
      </c>
      <c r="N316" s="13">
        <f>Econ!S316</f>
        <v>29</v>
      </c>
      <c r="O316" s="13">
        <f>Econ!T316</f>
        <v>3</v>
      </c>
      <c r="P316" s="7" t="str">
        <f>Econ!A316</f>
        <v>Pikeman</v>
      </c>
      <c r="Q316" s="10">
        <f>Econ!C316</f>
        <v>593.9794798</v>
      </c>
      <c r="R316" s="10">
        <f>Econ!E316</f>
        <v>13.19478763</v>
      </c>
      <c r="S316" s="10">
        <f>Econ!G316</f>
        <v>89.09692197</v>
      </c>
      <c r="T316" s="10">
        <f>Econ!I316</f>
        <v>59.37654434</v>
      </c>
    </row>
    <row r="317">
      <c r="A317" s="7" t="str">
        <f>Econ!A317&amp;if(Econ!B317&lt;10,"_0"&amp;Econ!B317,"_"&amp;Econ!B317)</f>
        <v>Pikeman_16</v>
      </c>
      <c r="B317" s="7" t="str">
        <f>"T"&amp;Econ!B317&amp;" "&amp;Econ!A317</f>
        <v>T16 Pikeman</v>
      </c>
      <c r="C317" s="8">
        <f>Econ!B317</f>
        <v>16</v>
      </c>
      <c r="D317" s="7"/>
      <c r="E317" s="9"/>
      <c r="F317" s="9"/>
      <c r="G317" s="10">
        <f>Econ!L317</f>
        <v>2478</v>
      </c>
      <c r="H317" s="11" t="str">
        <f>Econ!M317</f>
        <v/>
      </c>
      <c r="I317" s="11" t="str">
        <f>Econ!N317</f>
        <v/>
      </c>
      <c r="J317" s="12">
        <f>Econ!O317</f>
        <v>123</v>
      </c>
      <c r="K317" s="13">
        <f>Econ!P317</f>
        <v>619.5</v>
      </c>
      <c r="L317" s="14">
        <f>Econ!Q317</f>
        <v>0</v>
      </c>
      <c r="M317" s="14">
        <f>Econ!R317</f>
        <v>0</v>
      </c>
      <c r="N317" s="13">
        <f>Econ!S317</f>
        <v>30.75</v>
      </c>
      <c r="O317" s="13">
        <f>Econ!T317</f>
        <v>3</v>
      </c>
      <c r="P317" s="7" t="str">
        <f>Econ!A317</f>
        <v>Pikeman</v>
      </c>
      <c r="Q317" s="10">
        <f>Econ!C317</f>
        <v>623.6784538</v>
      </c>
      <c r="R317" s="10">
        <f>Econ!E317</f>
        <v>13.45868338</v>
      </c>
      <c r="S317" s="10">
        <f>Econ!G317</f>
        <v>93.55176807</v>
      </c>
      <c r="T317" s="10">
        <f>Econ!I317</f>
        <v>60.56407522</v>
      </c>
    </row>
    <row r="318">
      <c r="A318" s="7" t="str">
        <f>Econ!A318&amp;if(Econ!B318&lt;10,"_0"&amp;Econ!B318,"_"&amp;Econ!B318)</f>
        <v>Pikeman_17</v>
      </c>
      <c r="B318" s="7" t="str">
        <f>"T"&amp;Econ!B318&amp;" "&amp;Econ!A318</f>
        <v>T17 Pikeman</v>
      </c>
      <c r="C318" s="8">
        <f>Econ!B318</f>
        <v>17</v>
      </c>
      <c r="D318" s="7"/>
      <c r="E318" s="9"/>
      <c r="F318" s="9"/>
      <c r="G318" s="10">
        <f>Econ!L318</f>
        <v>2644</v>
      </c>
      <c r="H318" s="11" t="str">
        <f>Econ!M318</f>
        <v/>
      </c>
      <c r="I318" s="11" t="str">
        <f>Econ!N318</f>
        <v/>
      </c>
      <c r="J318" s="12">
        <f>Econ!O318</f>
        <v>131</v>
      </c>
      <c r="K318" s="13">
        <f>Econ!P318</f>
        <v>661</v>
      </c>
      <c r="L318" s="14">
        <f>Econ!Q318</f>
        <v>0</v>
      </c>
      <c r="M318" s="14">
        <f>Econ!R318</f>
        <v>0</v>
      </c>
      <c r="N318" s="13">
        <f>Econ!S318</f>
        <v>32.75</v>
      </c>
      <c r="O318" s="13">
        <f>Econ!T318</f>
        <v>3</v>
      </c>
      <c r="P318" s="7" t="str">
        <f>Econ!A318</f>
        <v>Pikeman</v>
      </c>
      <c r="Q318" s="10">
        <f>Econ!C318</f>
        <v>654.8623765</v>
      </c>
      <c r="R318" s="10">
        <f>Econ!E318</f>
        <v>13.72785705</v>
      </c>
      <c r="S318" s="10">
        <f>Econ!G318</f>
        <v>98.22935648</v>
      </c>
      <c r="T318" s="10">
        <f>Econ!I318</f>
        <v>61.77535673</v>
      </c>
    </row>
    <row r="319">
      <c r="A319" s="7" t="str">
        <f>Econ!A319&amp;if(Econ!B319&lt;10,"_0"&amp;Econ!B319,"_"&amp;Econ!B319)</f>
        <v>Pikeman_18</v>
      </c>
      <c r="B319" s="7" t="str">
        <f>"T"&amp;Econ!B319&amp;" "&amp;Econ!A319</f>
        <v>T18 Pikeman</v>
      </c>
      <c r="C319" s="8">
        <f>Econ!B319</f>
        <v>18</v>
      </c>
      <c r="D319" s="7"/>
      <c r="E319" s="9"/>
      <c r="F319" s="9"/>
      <c r="G319" s="10">
        <f>Econ!L319</f>
        <v>2817</v>
      </c>
      <c r="H319" s="11" t="str">
        <f>Econ!M319</f>
        <v/>
      </c>
      <c r="I319" s="11" t="str">
        <f>Econ!N319</f>
        <v/>
      </c>
      <c r="J319" s="12">
        <f>Econ!O319</f>
        <v>139</v>
      </c>
      <c r="K319" s="13">
        <f>Econ!P319</f>
        <v>704.25</v>
      </c>
      <c r="L319" s="14">
        <f>Econ!Q319</f>
        <v>0</v>
      </c>
      <c r="M319" s="14">
        <f>Econ!R319</f>
        <v>0</v>
      </c>
      <c r="N319" s="13">
        <f>Econ!S319</f>
        <v>34.75</v>
      </c>
      <c r="O319" s="13">
        <f>Econ!T319</f>
        <v>3</v>
      </c>
      <c r="P319" s="7" t="str">
        <f>Econ!A319</f>
        <v>Pikeman</v>
      </c>
      <c r="Q319" s="10">
        <f>Econ!C319</f>
        <v>687.6054953</v>
      </c>
      <c r="R319" s="10">
        <f>Econ!E319</f>
        <v>14.00241419</v>
      </c>
      <c r="S319" s="10">
        <f>Econ!G319</f>
        <v>103.1408243</v>
      </c>
      <c r="T319" s="10">
        <f>Econ!I319</f>
        <v>63.01086386</v>
      </c>
    </row>
    <row r="320">
      <c r="A320" s="7" t="str">
        <f>Econ!A320&amp;if(Econ!B320&lt;10,"_0"&amp;Econ!B320,"_"&amp;Econ!B320)</f>
        <v>Pikeman_19</v>
      </c>
      <c r="B320" s="7" t="str">
        <f>"T"&amp;Econ!B320&amp;" "&amp;Econ!A320</f>
        <v>T19 Pikeman</v>
      </c>
      <c r="C320" s="8">
        <f>Econ!B320</f>
        <v>19</v>
      </c>
      <c r="D320" s="7"/>
      <c r="E320" s="9"/>
      <c r="F320" s="9"/>
      <c r="G320" s="10">
        <f>Econ!L320</f>
        <v>2997</v>
      </c>
      <c r="H320" s="11" t="str">
        <f>Econ!M320</f>
        <v/>
      </c>
      <c r="I320" s="11" t="str">
        <f>Econ!N320</f>
        <v/>
      </c>
      <c r="J320" s="12">
        <f>Econ!O320</f>
        <v>147</v>
      </c>
      <c r="K320" s="13">
        <f>Econ!P320</f>
        <v>749.25</v>
      </c>
      <c r="L320" s="14">
        <f>Econ!Q320</f>
        <v>0</v>
      </c>
      <c r="M320" s="14">
        <f>Econ!R320</f>
        <v>0</v>
      </c>
      <c r="N320" s="13">
        <f>Econ!S320</f>
        <v>36.75</v>
      </c>
      <c r="O320" s="13">
        <f>Econ!T320</f>
        <v>3</v>
      </c>
      <c r="P320" s="7" t="str">
        <f>Econ!A320</f>
        <v>Pikeman</v>
      </c>
      <c r="Q320" s="10">
        <f>Econ!C320</f>
        <v>721.9857701</v>
      </c>
      <c r="R320" s="10">
        <f>Econ!E320</f>
        <v>14.28246248</v>
      </c>
      <c r="S320" s="10">
        <f>Econ!G320</f>
        <v>108.2978655</v>
      </c>
      <c r="T320" s="10">
        <f>Econ!I320</f>
        <v>64.27108114</v>
      </c>
    </row>
    <row r="321">
      <c r="A321" s="7" t="str">
        <f>Econ!A321&amp;if(Econ!B321&lt;10,"_0"&amp;Econ!B321,"_"&amp;Econ!B321)</f>
        <v>Pikeman_20</v>
      </c>
      <c r="B321" s="7" t="str">
        <f>"T"&amp;Econ!B321&amp;" "&amp;Econ!A321</f>
        <v>T20 Pikeman</v>
      </c>
      <c r="C321" s="8">
        <f>Econ!B321</f>
        <v>20</v>
      </c>
      <c r="D321" s="7"/>
      <c r="E321" s="9"/>
      <c r="F321" s="9"/>
      <c r="G321" s="10">
        <f>Econ!L321</f>
        <v>3184</v>
      </c>
      <c r="H321" s="11" t="str">
        <f>Econ!M321</f>
        <v/>
      </c>
      <c r="I321" s="11" t="str">
        <f>Econ!N321</f>
        <v/>
      </c>
      <c r="J321" s="12">
        <f>Econ!O321</f>
        <v>155</v>
      </c>
      <c r="K321" s="13">
        <f>Econ!P321</f>
        <v>796</v>
      </c>
      <c r="L321" s="14">
        <f>Econ!Q321</f>
        <v>0</v>
      </c>
      <c r="M321" s="14">
        <f>Econ!R321</f>
        <v>0</v>
      </c>
      <c r="N321" s="13">
        <f>Econ!S321</f>
        <v>38.75</v>
      </c>
      <c r="O321" s="13">
        <f>Econ!T321</f>
        <v>3</v>
      </c>
      <c r="P321" s="7" t="str">
        <f>Econ!A321</f>
        <v>Pikeman</v>
      </c>
      <c r="Q321" s="10">
        <f>Econ!C321</f>
        <v>758.0850586</v>
      </c>
      <c r="R321" s="10">
        <f>Econ!E321</f>
        <v>14.56811173</v>
      </c>
      <c r="S321" s="10">
        <f>Econ!G321</f>
        <v>113.7127588</v>
      </c>
      <c r="T321" s="10">
        <f>Econ!I321</f>
        <v>65.55650276</v>
      </c>
    </row>
    <row r="322">
      <c r="A322" s="7" t="str">
        <f>Econ!A322&amp;if(Econ!B322&lt;10,"_0"&amp;Econ!B322,"_"&amp;Econ!B322)</f>
        <v>Pikeman_21</v>
      </c>
      <c r="B322" s="7" t="str">
        <f>"T"&amp;Econ!B322&amp;" "&amp;Econ!A322</f>
        <v>T21 Pikeman</v>
      </c>
      <c r="C322" s="8">
        <f>Econ!B322</f>
        <v>21</v>
      </c>
      <c r="D322" s="7"/>
      <c r="E322" s="9"/>
      <c r="F322" s="9"/>
      <c r="G322" s="10">
        <f>Econ!L322</f>
        <v>3377</v>
      </c>
      <c r="H322" s="11" t="str">
        <f>Econ!M322</f>
        <v/>
      </c>
      <c r="I322" s="11" t="str">
        <f>Econ!N322</f>
        <v/>
      </c>
      <c r="J322" s="12">
        <f>Econ!O322</f>
        <v>164</v>
      </c>
      <c r="K322" s="13">
        <f>Econ!P322</f>
        <v>844.25</v>
      </c>
      <c r="L322" s="14">
        <f>Econ!Q322</f>
        <v>0</v>
      </c>
      <c r="M322" s="14">
        <f>Econ!R322</f>
        <v>0</v>
      </c>
      <c r="N322" s="13">
        <f>Econ!S322</f>
        <v>41</v>
      </c>
      <c r="O322" s="13">
        <f>Econ!T322</f>
        <v>3</v>
      </c>
      <c r="P322" s="7" t="str">
        <f>Econ!A322</f>
        <v>Pikeman</v>
      </c>
      <c r="Q322" s="10">
        <f>Econ!C322</f>
        <v>795.9893115</v>
      </c>
      <c r="R322" s="10">
        <f>Econ!E322</f>
        <v>14.85947396</v>
      </c>
      <c r="S322" s="10">
        <f>Econ!G322</f>
        <v>119.3983967</v>
      </c>
      <c r="T322" s="10">
        <f>Econ!I322</f>
        <v>66.86763282</v>
      </c>
    </row>
    <row r="323">
      <c r="A323" s="7" t="str">
        <f>Econ!A323&amp;if(Econ!B323&lt;10,"_0"&amp;Econ!B323,"_"&amp;Econ!B323)</f>
        <v>Pikeman_22</v>
      </c>
      <c r="B323" s="7" t="str">
        <f>"T"&amp;Econ!B323&amp;" "&amp;Econ!A323</f>
        <v>T22 Pikeman</v>
      </c>
      <c r="C323" s="8">
        <f>Econ!B323</f>
        <v>22</v>
      </c>
      <c r="D323" s="7"/>
      <c r="E323" s="9"/>
      <c r="F323" s="9"/>
      <c r="G323" s="10">
        <f>Econ!L323</f>
        <v>3577</v>
      </c>
      <c r="H323" s="11" t="str">
        <f>Econ!M323</f>
        <v/>
      </c>
      <c r="I323" s="11" t="str">
        <f>Econ!N323</f>
        <v/>
      </c>
      <c r="J323" s="12">
        <f>Econ!O323</f>
        <v>173</v>
      </c>
      <c r="K323" s="13">
        <f>Econ!P323</f>
        <v>894.25</v>
      </c>
      <c r="L323" s="14">
        <f>Econ!Q323</f>
        <v>0</v>
      </c>
      <c r="M323" s="14">
        <f>Econ!R323</f>
        <v>0</v>
      </c>
      <c r="N323" s="13">
        <f>Econ!S323</f>
        <v>43.25</v>
      </c>
      <c r="O323" s="13">
        <f>Econ!T323</f>
        <v>3</v>
      </c>
      <c r="P323" s="7" t="str">
        <f>Econ!A323</f>
        <v>Pikeman</v>
      </c>
      <c r="Q323" s="10">
        <f>Econ!C323</f>
        <v>835.7887771</v>
      </c>
      <c r="R323" s="10">
        <f>Econ!E323</f>
        <v>15.15666344</v>
      </c>
      <c r="S323" s="10">
        <f>Econ!G323</f>
        <v>125.3683166</v>
      </c>
      <c r="T323" s="10">
        <f>Econ!I323</f>
        <v>68.20498548</v>
      </c>
    </row>
    <row r="324">
      <c r="A324" s="7" t="str">
        <f>Econ!A324&amp;if(Econ!B324&lt;10,"_0"&amp;Econ!B324,"_"&amp;Econ!B324)</f>
        <v>Pikeman_23</v>
      </c>
      <c r="B324" s="7" t="str">
        <f>"T"&amp;Econ!B324&amp;" "&amp;Econ!A324</f>
        <v>T23 Pikeman</v>
      </c>
      <c r="C324" s="8">
        <f>Econ!B324</f>
        <v>23</v>
      </c>
      <c r="D324" s="7"/>
      <c r="E324" s="9"/>
      <c r="F324" s="9"/>
      <c r="G324" s="10">
        <f>Econ!L324</f>
        <v>3784</v>
      </c>
      <c r="H324" s="11" t="str">
        <f>Econ!M324</f>
        <v/>
      </c>
      <c r="I324" s="11" t="str">
        <f>Econ!N324</f>
        <v/>
      </c>
      <c r="J324" s="12">
        <f>Econ!O324</f>
        <v>182</v>
      </c>
      <c r="K324" s="13">
        <f>Econ!P324</f>
        <v>946</v>
      </c>
      <c r="L324" s="14">
        <f>Econ!Q324</f>
        <v>0</v>
      </c>
      <c r="M324" s="14">
        <f>Econ!R324</f>
        <v>0</v>
      </c>
      <c r="N324" s="13">
        <f>Econ!S324</f>
        <v>45.5</v>
      </c>
      <c r="O324" s="13">
        <f>Econ!T324</f>
        <v>3</v>
      </c>
      <c r="P324" s="7" t="str">
        <f>Econ!A324</f>
        <v>Pikeman</v>
      </c>
      <c r="Q324" s="10">
        <f>Econ!C324</f>
        <v>877.578216</v>
      </c>
      <c r="R324" s="10">
        <f>Econ!E324</f>
        <v>15.45979671</v>
      </c>
      <c r="S324" s="10">
        <f>Econ!G324</f>
        <v>131.6367324</v>
      </c>
      <c r="T324" s="10">
        <f>Econ!I324</f>
        <v>69.56908518</v>
      </c>
    </row>
    <row r="325">
      <c r="A325" s="7" t="str">
        <f>Econ!A325&amp;if(Econ!B325&lt;10,"_0"&amp;Econ!B325,"_"&amp;Econ!B325)</f>
        <v>Pikeman_24</v>
      </c>
      <c r="B325" s="7" t="str">
        <f>"T"&amp;Econ!B325&amp;" "&amp;Econ!A325</f>
        <v>T24 Pikeman</v>
      </c>
      <c r="C325" s="8">
        <f>Econ!B325</f>
        <v>24</v>
      </c>
      <c r="D325" s="7"/>
      <c r="E325" s="9"/>
      <c r="F325" s="9"/>
      <c r="G325" s="10">
        <f>Econ!L325</f>
        <v>3997</v>
      </c>
      <c r="H325" s="11" t="str">
        <f>Econ!M325</f>
        <v/>
      </c>
      <c r="I325" s="11" t="str">
        <f>Econ!N325</f>
        <v/>
      </c>
      <c r="J325" s="12">
        <f>Econ!O325</f>
        <v>191</v>
      </c>
      <c r="K325" s="13">
        <f>Econ!P325</f>
        <v>999.25</v>
      </c>
      <c r="L325" s="14">
        <f>Econ!Q325</f>
        <v>0</v>
      </c>
      <c r="M325" s="14">
        <f>Econ!R325</f>
        <v>0</v>
      </c>
      <c r="N325" s="13">
        <f>Econ!S325</f>
        <v>47.75</v>
      </c>
      <c r="O325" s="13">
        <f>Econ!T325</f>
        <v>3</v>
      </c>
      <c r="P325" s="7" t="str">
        <f>Econ!A325</f>
        <v>Pikeman</v>
      </c>
      <c r="Q325" s="10">
        <f>Econ!C325</f>
        <v>921.4571268</v>
      </c>
      <c r="R325" s="10">
        <f>Econ!E325</f>
        <v>15.76899264</v>
      </c>
      <c r="S325" s="10">
        <f>Econ!G325</f>
        <v>138.218569</v>
      </c>
      <c r="T325" s="10">
        <f>Econ!I325</f>
        <v>70.96046689</v>
      </c>
    </row>
    <row r="326">
      <c r="A326" s="7" t="str">
        <f>Econ!A326&amp;if(Econ!B326&lt;10,"_0"&amp;Econ!B326,"_"&amp;Econ!B326)</f>
        <v>Pikeman_25</v>
      </c>
      <c r="B326" s="7" t="str">
        <f>"T"&amp;Econ!B326&amp;" "&amp;Econ!A326</f>
        <v>T25 Pikeman</v>
      </c>
      <c r="C326" s="8">
        <f>Econ!B326</f>
        <v>25</v>
      </c>
      <c r="D326" s="7"/>
      <c r="E326" s="9"/>
      <c r="F326" s="9"/>
      <c r="G326" s="10">
        <f>Econ!L326</f>
        <v>4217</v>
      </c>
      <c r="H326" s="11" t="str">
        <f>Econ!M326</f>
        <v/>
      </c>
      <c r="I326" s="11" t="str">
        <f>Econ!N326</f>
        <v/>
      </c>
      <c r="J326" s="12">
        <f>Econ!O326</f>
        <v>201</v>
      </c>
      <c r="K326" s="13">
        <f>Econ!P326</f>
        <v>1054.25</v>
      </c>
      <c r="L326" s="14">
        <f>Econ!Q326</f>
        <v>0</v>
      </c>
      <c r="M326" s="14">
        <f>Econ!R326</f>
        <v>0</v>
      </c>
      <c r="N326" s="13">
        <f>Econ!S326</f>
        <v>50.25</v>
      </c>
      <c r="O326" s="13">
        <f>Econ!T326</f>
        <v>4</v>
      </c>
      <c r="P326" s="7" t="str">
        <f>Econ!A326</f>
        <v>Pikeman</v>
      </c>
      <c r="Q326" s="10">
        <f>Econ!C326</f>
        <v>967.5299831</v>
      </c>
      <c r="R326" s="10">
        <f>Econ!E326</f>
        <v>16.08437249</v>
      </c>
      <c r="S326" s="10">
        <f>Econ!G326</f>
        <v>145.1294975</v>
      </c>
      <c r="T326" s="10">
        <f>Econ!I326</f>
        <v>72.37967623</v>
      </c>
    </row>
    <row r="327">
      <c r="A327" s="7" t="str">
        <f>Econ!A327&amp;if(Econ!B327&lt;10,"_0"&amp;Econ!B327,"_"&amp;Econ!B327)</f>
        <v>Pikeman_26</v>
      </c>
      <c r="B327" s="7" t="str">
        <f>"T"&amp;Econ!B327&amp;" "&amp;Econ!A327</f>
        <v>T26 Pikeman</v>
      </c>
      <c r="C327" s="8">
        <f>Econ!B327</f>
        <v>26</v>
      </c>
      <c r="D327" s="7"/>
      <c r="E327" s="9"/>
      <c r="F327" s="9"/>
      <c r="G327" s="10">
        <f>Econ!L327</f>
        <v>4443</v>
      </c>
      <c r="H327" s="11" t="str">
        <f>Econ!M327</f>
        <v/>
      </c>
      <c r="I327" s="11" t="str">
        <f>Econ!N327</f>
        <v/>
      </c>
      <c r="J327" s="12">
        <f>Econ!O327</f>
        <v>211</v>
      </c>
      <c r="K327" s="13">
        <f>Econ!P327</f>
        <v>1110.75</v>
      </c>
      <c r="L327" s="14">
        <f>Econ!Q327</f>
        <v>0</v>
      </c>
      <c r="M327" s="14">
        <f>Econ!R327</f>
        <v>0</v>
      </c>
      <c r="N327" s="13">
        <f>Econ!S327</f>
        <v>52.75</v>
      </c>
      <c r="O327" s="13">
        <f>Econ!T327</f>
        <v>4</v>
      </c>
      <c r="P327" s="7" t="str">
        <f>Econ!A327</f>
        <v>Pikeman</v>
      </c>
      <c r="Q327" s="10">
        <f>Econ!C327</f>
        <v>1015.906482</v>
      </c>
      <c r="R327" s="10">
        <f>Econ!E327</f>
        <v>16.40605994</v>
      </c>
      <c r="S327" s="10">
        <f>Econ!G327</f>
        <v>152.3859723</v>
      </c>
      <c r="T327" s="10">
        <f>Econ!I327</f>
        <v>73.82726975</v>
      </c>
    </row>
    <row r="328">
      <c r="A328" s="7" t="str">
        <f>Econ!A328&amp;if(Econ!B328&lt;10,"_0"&amp;Econ!B328,"_"&amp;Econ!B328)</f>
        <v>Pikeman_27</v>
      </c>
      <c r="B328" s="7" t="str">
        <f>"T"&amp;Econ!B328&amp;" "&amp;Econ!A328</f>
        <v>T27 Pikeman</v>
      </c>
      <c r="C328" s="8">
        <f>Econ!B328</f>
        <v>27</v>
      </c>
      <c r="D328" s="7"/>
      <c r="E328" s="9"/>
      <c r="F328" s="9"/>
      <c r="G328" s="10">
        <f>Econ!L328</f>
        <v>4675</v>
      </c>
      <c r="H328" s="11" t="str">
        <f>Econ!M328</f>
        <v/>
      </c>
      <c r="I328" s="11" t="str">
        <f>Econ!N328</f>
        <v/>
      </c>
      <c r="J328" s="12">
        <f>Econ!O328</f>
        <v>221</v>
      </c>
      <c r="K328" s="13">
        <f>Econ!P328</f>
        <v>1168.75</v>
      </c>
      <c r="L328" s="14">
        <f>Econ!Q328</f>
        <v>0</v>
      </c>
      <c r="M328" s="14">
        <f>Econ!R328</f>
        <v>0</v>
      </c>
      <c r="N328" s="13">
        <f>Econ!S328</f>
        <v>55.25</v>
      </c>
      <c r="O328" s="13">
        <f>Econ!T328</f>
        <v>4</v>
      </c>
      <c r="P328" s="7" t="str">
        <f>Econ!A328</f>
        <v>Pikeman</v>
      </c>
      <c r="Q328" s="10">
        <f>Econ!C328</f>
        <v>1066.701806</v>
      </c>
      <c r="R328" s="10">
        <f>Econ!E328</f>
        <v>16.73418114</v>
      </c>
      <c r="S328" s="10">
        <f>Econ!G328</f>
        <v>160.005271</v>
      </c>
      <c r="T328" s="10">
        <f>Econ!I328</f>
        <v>75.30381515</v>
      </c>
    </row>
    <row r="329">
      <c r="A329" s="7" t="str">
        <f>Econ!A329&amp;if(Econ!B329&lt;10,"_0"&amp;Econ!B329,"_"&amp;Econ!B329)</f>
        <v>Pikeman_28</v>
      </c>
      <c r="B329" s="7" t="str">
        <f>"T"&amp;Econ!B329&amp;" "&amp;Econ!A329</f>
        <v>T28 Pikeman</v>
      </c>
      <c r="C329" s="8">
        <f>Econ!B329</f>
        <v>28</v>
      </c>
      <c r="D329" s="7"/>
      <c r="E329" s="9"/>
      <c r="F329" s="9"/>
      <c r="G329" s="10">
        <f>Econ!L329</f>
        <v>4913</v>
      </c>
      <c r="H329" s="11" t="str">
        <f>Econ!M329</f>
        <v/>
      </c>
      <c r="I329" s="11" t="str">
        <f>Econ!N329</f>
        <v/>
      </c>
      <c r="J329" s="12">
        <f>Econ!O329</f>
        <v>231</v>
      </c>
      <c r="K329" s="13">
        <f>Econ!P329</f>
        <v>1228.25</v>
      </c>
      <c r="L329" s="14">
        <f>Econ!Q329</f>
        <v>0</v>
      </c>
      <c r="M329" s="14">
        <f>Econ!R329</f>
        <v>0</v>
      </c>
      <c r="N329" s="13">
        <f>Econ!S329</f>
        <v>57.75</v>
      </c>
      <c r="O329" s="13">
        <f>Econ!T329</f>
        <v>4</v>
      </c>
      <c r="P329" s="7" t="str">
        <f>Econ!A329</f>
        <v>Pikeman</v>
      </c>
      <c r="Q329" s="10">
        <f>Econ!C329</f>
        <v>1120.036897</v>
      </c>
      <c r="R329" s="10">
        <f>Econ!E329</f>
        <v>17.06886477</v>
      </c>
      <c r="S329" s="10">
        <f>Econ!G329</f>
        <v>168.0055345</v>
      </c>
      <c r="T329" s="10">
        <f>Econ!I329</f>
        <v>76.80989145</v>
      </c>
    </row>
    <row r="330">
      <c r="A330" s="7" t="str">
        <f>Econ!A330&amp;if(Econ!B330&lt;10,"_0"&amp;Econ!B330,"_"&amp;Econ!B330)</f>
        <v>Pikeman_29</v>
      </c>
      <c r="B330" s="7" t="str">
        <f>"T"&amp;Econ!B330&amp;" "&amp;Econ!A330</f>
        <v>T29 Pikeman</v>
      </c>
      <c r="C330" s="8">
        <f>Econ!B330</f>
        <v>29</v>
      </c>
      <c r="D330" s="7"/>
      <c r="E330" s="9"/>
      <c r="F330" s="9"/>
      <c r="G330" s="10">
        <f>Econ!L330</f>
        <v>5158</v>
      </c>
      <c r="H330" s="11" t="str">
        <f>Econ!M330</f>
        <v/>
      </c>
      <c r="I330" s="11" t="str">
        <f>Econ!N330</f>
        <v/>
      </c>
      <c r="J330" s="12">
        <f>Econ!O330</f>
        <v>242</v>
      </c>
      <c r="K330" s="13">
        <f>Econ!P330</f>
        <v>1289.5</v>
      </c>
      <c r="L330" s="14">
        <f>Econ!Q330</f>
        <v>0</v>
      </c>
      <c r="M330" s="14">
        <f>Econ!R330</f>
        <v>0</v>
      </c>
      <c r="N330" s="13">
        <f>Econ!S330</f>
        <v>60.5</v>
      </c>
      <c r="O330" s="13">
        <f>Econ!T330</f>
        <v>4</v>
      </c>
      <c r="P330" s="7" t="str">
        <f>Econ!A330</f>
        <v>Pikeman</v>
      </c>
      <c r="Q330" s="10">
        <f>Econ!C330</f>
        <v>1176.038742</v>
      </c>
      <c r="R330" s="10">
        <f>Econ!E330</f>
        <v>17.41024206</v>
      </c>
      <c r="S330" s="10">
        <f>Econ!G330</f>
        <v>176.4058112</v>
      </c>
      <c r="T330" s="10">
        <f>Econ!I330</f>
        <v>78.34608928</v>
      </c>
    </row>
    <row r="331">
      <c r="A331" s="7" t="str">
        <f>Econ!A331&amp;if(Econ!B331&lt;10,"_0"&amp;Econ!B331,"_"&amp;Econ!B331)</f>
        <v>Pikeman_30</v>
      </c>
      <c r="B331" s="7" t="str">
        <f>"T"&amp;Econ!B331&amp;" "&amp;Econ!A331</f>
        <v>T30 Pikeman</v>
      </c>
      <c r="C331" s="8">
        <f>Econ!B331</f>
        <v>30</v>
      </c>
      <c r="D331" s="7"/>
      <c r="E331" s="9"/>
      <c r="F331" s="9"/>
      <c r="G331" s="10">
        <f>Econ!L331</f>
        <v>5409</v>
      </c>
      <c r="H331" s="11" t="str">
        <f>Econ!M331</f>
        <v/>
      </c>
      <c r="I331" s="11" t="str">
        <f>Econ!N331</f>
        <v/>
      </c>
      <c r="J331" s="12">
        <f>Econ!O331</f>
        <v>253</v>
      </c>
      <c r="K331" s="13">
        <f>Econ!P331</f>
        <v>1352.25</v>
      </c>
      <c r="L331" s="14">
        <f>Econ!Q331</f>
        <v>0</v>
      </c>
      <c r="M331" s="14">
        <f>Econ!R331</f>
        <v>0</v>
      </c>
      <c r="N331" s="13">
        <f>Econ!S331</f>
        <v>63.25</v>
      </c>
      <c r="O331" s="13">
        <f>Econ!T331</f>
        <v>4</v>
      </c>
      <c r="P331" s="7" t="str">
        <f>Econ!A331</f>
        <v>Pikeman</v>
      </c>
      <c r="Q331" s="10">
        <f>Econ!C331</f>
        <v>1234.840679</v>
      </c>
      <c r="R331" s="10">
        <f>Econ!E331</f>
        <v>17.7584469</v>
      </c>
      <c r="S331" s="10">
        <f>Econ!G331</f>
        <v>185.2261018</v>
      </c>
      <c r="T331" s="10">
        <f>Econ!I331</f>
        <v>79.91301106</v>
      </c>
    </row>
    <row r="332">
      <c r="A332" s="7" t="str">
        <f>Econ!A332&amp;if(Econ!B332&lt;10,"_0"&amp;Econ!B332,"_"&amp;Econ!B332)</f>
        <v>Pikeman_31</v>
      </c>
      <c r="B332" s="7" t="str">
        <f>"T"&amp;Econ!B332&amp;" "&amp;Econ!A332</f>
        <v>T31 Pikeman</v>
      </c>
      <c r="C332" s="8">
        <f>Econ!B332</f>
        <v>31</v>
      </c>
      <c r="D332" s="7"/>
      <c r="E332" s="9"/>
      <c r="F332" s="9"/>
      <c r="G332" s="10">
        <f>Econ!L332</f>
        <v>5666</v>
      </c>
      <c r="H332" s="11" t="str">
        <f>Econ!M332</f>
        <v/>
      </c>
      <c r="I332" s="11" t="str">
        <f>Econ!N332</f>
        <v/>
      </c>
      <c r="J332" s="12">
        <f>Econ!O332</f>
        <v>264</v>
      </c>
      <c r="K332" s="13">
        <f>Econ!P332</f>
        <v>1416.5</v>
      </c>
      <c r="L332" s="14">
        <f>Econ!Q332</f>
        <v>0</v>
      </c>
      <c r="M332" s="14">
        <f>Econ!R332</f>
        <v>0</v>
      </c>
      <c r="N332" s="13">
        <f>Econ!S332</f>
        <v>66</v>
      </c>
      <c r="O332" s="13">
        <f>Econ!T332</f>
        <v>4</v>
      </c>
      <c r="P332" s="7" t="str">
        <f>Econ!A332</f>
        <v>Pikeman</v>
      </c>
      <c r="Q332" s="10">
        <f>Econ!C332</f>
        <v>1296.582713</v>
      </c>
      <c r="R332" s="10">
        <f>Econ!E332</f>
        <v>18.11361584</v>
      </c>
      <c r="S332" s="10">
        <f>Econ!G332</f>
        <v>194.4874069</v>
      </c>
      <c r="T332" s="10">
        <f>Econ!I332</f>
        <v>81.51127128</v>
      </c>
    </row>
    <row r="333">
      <c r="A333" s="7" t="str">
        <f>Econ!A333&amp;if(Econ!B333&lt;10,"_0"&amp;Econ!B333,"_"&amp;Econ!B333)</f>
        <v>Pikeman_32</v>
      </c>
      <c r="B333" s="7" t="str">
        <f>"T"&amp;Econ!B333&amp;" "&amp;Econ!A333</f>
        <v>T32 Pikeman</v>
      </c>
      <c r="C333" s="8">
        <f>Econ!B333</f>
        <v>32</v>
      </c>
      <c r="D333" s="7"/>
      <c r="E333" s="9"/>
      <c r="F333" s="9"/>
      <c r="G333" s="10">
        <f>Econ!L333</f>
        <v>5929</v>
      </c>
      <c r="H333" s="11" t="str">
        <f>Econ!M333</f>
        <v/>
      </c>
      <c r="I333" s="11" t="str">
        <f>Econ!N333</f>
        <v/>
      </c>
      <c r="J333" s="12">
        <f>Econ!O333</f>
        <v>275</v>
      </c>
      <c r="K333" s="13">
        <f>Econ!P333</f>
        <v>1482.25</v>
      </c>
      <c r="L333" s="14">
        <f>Econ!Q333</f>
        <v>0</v>
      </c>
      <c r="M333" s="14">
        <f>Econ!R333</f>
        <v>0</v>
      </c>
      <c r="N333" s="13">
        <f>Econ!S333</f>
        <v>68.75</v>
      </c>
      <c r="O333" s="13">
        <f>Econ!T333</f>
        <v>4</v>
      </c>
      <c r="P333" s="7" t="str">
        <f>Econ!A333</f>
        <v>Pikeman</v>
      </c>
      <c r="Q333" s="10">
        <f>Econ!C333</f>
        <v>1361.411848</v>
      </c>
      <c r="R333" s="10">
        <f>Econ!E333</f>
        <v>18.47588816</v>
      </c>
      <c r="S333" s="10">
        <f>Econ!G333</f>
        <v>204.2117772</v>
      </c>
      <c r="T333" s="10">
        <f>Econ!I333</f>
        <v>83.14149671</v>
      </c>
    </row>
    <row r="334">
      <c r="A334" s="7" t="str">
        <f>Econ!A334&amp;if(Econ!B334&lt;10,"_0"&amp;Econ!B334,"_"&amp;Econ!B334)</f>
        <v>Pikeman_33</v>
      </c>
      <c r="B334" s="7" t="str">
        <f>"T"&amp;Econ!B334&amp;" "&amp;Econ!A334</f>
        <v>T33 Pikeman</v>
      </c>
      <c r="C334" s="8">
        <f>Econ!B334</f>
        <v>33</v>
      </c>
      <c r="D334" s="7"/>
      <c r="E334" s="9"/>
      <c r="F334" s="9"/>
      <c r="G334" s="10">
        <f>Econ!L334</f>
        <v>6197</v>
      </c>
      <c r="H334" s="11" t="str">
        <f>Econ!M334</f>
        <v/>
      </c>
      <c r="I334" s="11" t="str">
        <f>Econ!N334</f>
        <v/>
      </c>
      <c r="J334" s="12">
        <f>Econ!O334</f>
        <v>287</v>
      </c>
      <c r="K334" s="13">
        <f>Econ!P334</f>
        <v>1549.25</v>
      </c>
      <c r="L334" s="14">
        <f>Econ!Q334</f>
        <v>0</v>
      </c>
      <c r="M334" s="14">
        <f>Econ!R334</f>
        <v>0</v>
      </c>
      <c r="N334" s="13">
        <f>Econ!S334</f>
        <v>71.75</v>
      </c>
      <c r="O334" s="13">
        <f>Econ!T334</f>
        <v>4</v>
      </c>
      <c r="P334" s="7" t="str">
        <f>Econ!A334</f>
        <v>Pikeman</v>
      </c>
      <c r="Q334" s="10">
        <f>Econ!C334</f>
        <v>1429.482441</v>
      </c>
      <c r="R334" s="10">
        <f>Econ!E334</f>
        <v>18.84540592</v>
      </c>
      <c r="S334" s="10">
        <f>Econ!G334</f>
        <v>214.4223661</v>
      </c>
      <c r="T334" s="10">
        <f>Econ!I334</f>
        <v>84.80432664</v>
      </c>
    </row>
    <row r="335">
      <c r="A335" s="7" t="str">
        <f>Econ!A335&amp;if(Econ!B335&lt;10,"_0"&amp;Econ!B335,"_"&amp;Econ!B335)</f>
        <v>Pikeman_34</v>
      </c>
      <c r="B335" s="7" t="str">
        <f>"T"&amp;Econ!B335&amp;" "&amp;Econ!A335</f>
        <v>T34 Pikeman</v>
      </c>
      <c r="C335" s="8">
        <f>Econ!B335</f>
        <v>34</v>
      </c>
      <c r="D335" s="7"/>
      <c r="E335" s="9"/>
      <c r="F335" s="9"/>
      <c r="G335" s="10">
        <f>Econ!L335</f>
        <v>6471</v>
      </c>
      <c r="H335" s="11" t="str">
        <f>Econ!M335</f>
        <v/>
      </c>
      <c r="I335" s="11" t="str">
        <f>Econ!N335</f>
        <v/>
      </c>
      <c r="J335" s="12">
        <f>Econ!O335</f>
        <v>299</v>
      </c>
      <c r="K335" s="13">
        <f>Econ!P335</f>
        <v>1617.75</v>
      </c>
      <c r="L335" s="14">
        <f>Econ!Q335</f>
        <v>0</v>
      </c>
      <c r="M335" s="14">
        <f>Econ!R335</f>
        <v>0</v>
      </c>
      <c r="N335" s="13">
        <f>Econ!S335</f>
        <v>74.75</v>
      </c>
      <c r="O335" s="13">
        <f>Econ!T335</f>
        <v>4</v>
      </c>
      <c r="P335" s="7" t="str">
        <f>Econ!A335</f>
        <v>Pikeman</v>
      </c>
      <c r="Q335" s="10">
        <f>Econ!C335</f>
        <v>1500.956563</v>
      </c>
      <c r="R335" s="10">
        <f>Econ!E335</f>
        <v>19.22231404</v>
      </c>
      <c r="S335" s="10">
        <f>Econ!G335</f>
        <v>225.1434844</v>
      </c>
      <c r="T335" s="10">
        <f>Econ!I335</f>
        <v>86.50041318</v>
      </c>
    </row>
    <row r="336">
      <c r="A336" s="7" t="str">
        <f>Econ!A336&amp;if(Econ!B336&lt;10,"_0"&amp;Econ!B336,"_"&amp;Econ!B336)</f>
        <v>Pikeman_35</v>
      </c>
      <c r="B336" s="7" t="str">
        <f>"T"&amp;Econ!B336&amp;" "&amp;Econ!A336</f>
        <v>T35 Pikeman</v>
      </c>
      <c r="C336" s="8">
        <f>Econ!B336</f>
        <v>35</v>
      </c>
      <c r="D336" s="7"/>
      <c r="E336" s="9"/>
      <c r="F336" s="9"/>
      <c r="G336" s="10">
        <f>Econ!L336</f>
        <v>6751</v>
      </c>
      <c r="H336" s="11" t="str">
        <f>Econ!M336</f>
        <v/>
      </c>
      <c r="I336" s="11" t="str">
        <f>Econ!N336</f>
        <v/>
      </c>
      <c r="J336" s="12">
        <f>Econ!O336</f>
        <v>311</v>
      </c>
      <c r="K336" s="13">
        <f>Econ!P336</f>
        <v>1687.75</v>
      </c>
      <c r="L336" s="14">
        <f>Econ!Q336</f>
        <v>0</v>
      </c>
      <c r="M336" s="14">
        <f>Econ!R336</f>
        <v>0</v>
      </c>
      <c r="N336" s="13">
        <f>Econ!S336</f>
        <v>77.75</v>
      </c>
      <c r="O336" s="13">
        <f>Econ!T336</f>
        <v>5</v>
      </c>
      <c r="P336" s="7" t="str">
        <f>Econ!A336</f>
        <v>Pikeman</v>
      </c>
      <c r="Q336" s="10">
        <f>Econ!C336</f>
        <v>1576.004391</v>
      </c>
      <c r="R336" s="10">
        <f>Econ!E336</f>
        <v>19.60676032</v>
      </c>
      <c r="S336" s="10">
        <f>Econ!G336</f>
        <v>236.4006586</v>
      </c>
      <c r="T336" s="10">
        <f>Econ!I336</f>
        <v>88.23042144</v>
      </c>
    </row>
    <row r="337">
      <c r="A337" s="7" t="str">
        <f>Econ!A337&amp;if(Econ!B337&lt;10,"_0"&amp;Econ!B337,"_"&amp;Econ!B337)</f>
        <v>Pikeman_36</v>
      </c>
      <c r="B337" s="7" t="str">
        <f>"T"&amp;Econ!B337&amp;" "&amp;Econ!A337</f>
        <v>T36 Pikeman</v>
      </c>
      <c r="C337" s="8">
        <f>Econ!B337</f>
        <v>36</v>
      </c>
      <c r="D337" s="7"/>
      <c r="E337" s="9"/>
      <c r="F337" s="9"/>
      <c r="G337" s="10">
        <f>Econ!L337</f>
        <v>7037</v>
      </c>
      <c r="H337" s="11" t="str">
        <f>Econ!M337</f>
        <v/>
      </c>
      <c r="I337" s="11" t="str">
        <f>Econ!N337</f>
        <v/>
      </c>
      <c r="J337" s="12">
        <f>Econ!O337</f>
        <v>323</v>
      </c>
      <c r="K337" s="13">
        <f>Econ!P337</f>
        <v>1759.25</v>
      </c>
      <c r="L337" s="14">
        <f>Econ!Q337</f>
        <v>0</v>
      </c>
      <c r="M337" s="14">
        <f>Econ!R337</f>
        <v>0</v>
      </c>
      <c r="N337" s="13">
        <f>Econ!S337</f>
        <v>80.75</v>
      </c>
      <c r="O337" s="13">
        <f>Econ!T337</f>
        <v>5</v>
      </c>
      <c r="P337" s="7" t="str">
        <f>Econ!A337</f>
        <v>Pikeman</v>
      </c>
      <c r="Q337" s="10">
        <f>Econ!C337</f>
        <v>1654.80461</v>
      </c>
      <c r="R337" s="10">
        <f>Econ!E337</f>
        <v>19.99889553</v>
      </c>
      <c r="S337" s="10">
        <f>Econ!G337</f>
        <v>248.2206915</v>
      </c>
      <c r="T337" s="10">
        <f>Econ!I337</f>
        <v>89.99502987</v>
      </c>
    </row>
    <row r="338">
      <c r="A338" s="7" t="str">
        <f>Econ!A338&amp;if(Econ!B338&lt;10,"_0"&amp;Econ!B338,"_"&amp;Econ!B338)</f>
        <v>Pikeman_37</v>
      </c>
      <c r="B338" s="7" t="str">
        <f>"T"&amp;Econ!B338&amp;" "&amp;Econ!A338</f>
        <v>T37 Pikeman</v>
      </c>
      <c r="C338" s="8">
        <f>Econ!B338</f>
        <v>37</v>
      </c>
      <c r="D338" s="7"/>
      <c r="E338" s="9"/>
      <c r="F338" s="9"/>
      <c r="G338" s="10">
        <f>Econ!L338</f>
        <v>7328</v>
      </c>
      <c r="H338" s="11" t="str">
        <f>Econ!M338</f>
        <v/>
      </c>
      <c r="I338" s="11" t="str">
        <f>Econ!N338</f>
        <v/>
      </c>
      <c r="J338" s="12">
        <f>Econ!O338</f>
        <v>336</v>
      </c>
      <c r="K338" s="13">
        <f>Econ!P338</f>
        <v>1832</v>
      </c>
      <c r="L338" s="14">
        <f>Econ!Q338</f>
        <v>0</v>
      </c>
      <c r="M338" s="14">
        <f>Econ!R338</f>
        <v>0</v>
      </c>
      <c r="N338" s="13">
        <f>Econ!S338</f>
        <v>84</v>
      </c>
      <c r="O338" s="13">
        <f>Econ!T338</f>
        <v>5</v>
      </c>
      <c r="P338" s="7" t="str">
        <f>Econ!A338</f>
        <v>Pikeman</v>
      </c>
      <c r="Q338" s="10">
        <f>Econ!C338</f>
        <v>1737.544841</v>
      </c>
      <c r="R338" s="10">
        <f>Econ!E338</f>
        <v>20.39887344</v>
      </c>
      <c r="S338" s="10">
        <f>Econ!G338</f>
        <v>260.6317261</v>
      </c>
      <c r="T338" s="10">
        <f>Econ!I338</f>
        <v>91.79493047</v>
      </c>
    </row>
    <row r="339">
      <c r="A339" s="7" t="str">
        <f>Econ!A339&amp;if(Econ!B339&lt;10,"_0"&amp;Econ!B339,"_"&amp;Econ!B339)</f>
        <v>Pikeman_38</v>
      </c>
      <c r="B339" s="7" t="str">
        <f>"T"&amp;Econ!B339&amp;" "&amp;Econ!A339</f>
        <v>T38 Pikeman</v>
      </c>
      <c r="C339" s="8">
        <f>Econ!B339</f>
        <v>38</v>
      </c>
      <c r="D339" s="7"/>
      <c r="E339" s="9"/>
      <c r="F339" s="9"/>
      <c r="G339" s="10">
        <f>Econ!L339</f>
        <v>7625</v>
      </c>
      <c r="H339" s="11" t="str">
        <f>Econ!M339</f>
        <v/>
      </c>
      <c r="I339" s="11" t="str">
        <f>Econ!N339</f>
        <v/>
      </c>
      <c r="J339" s="12">
        <f>Econ!O339</f>
        <v>349</v>
      </c>
      <c r="K339" s="13">
        <f>Econ!P339</f>
        <v>1906.25</v>
      </c>
      <c r="L339" s="14">
        <f>Econ!Q339</f>
        <v>0</v>
      </c>
      <c r="M339" s="14">
        <f>Econ!R339</f>
        <v>0</v>
      </c>
      <c r="N339" s="13">
        <f>Econ!S339</f>
        <v>87.25</v>
      </c>
      <c r="O339" s="13">
        <f>Econ!T339</f>
        <v>5</v>
      </c>
      <c r="P339" s="7" t="str">
        <f>Econ!A339</f>
        <v>Pikeman</v>
      </c>
      <c r="Q339" s="10">
        <f>Econ!C339</f>
        <v>1824.422083</v>
      </c>
      <c r="R339" s="10">
        <f>Econ!E339</f>
        <v>20.80685091</v>
      </c>
      <c r="S339" s="10">
        <f>Econ!G339</f>
        <v>273.6633124</v>
      </c>
      <c r="T339" s="10">
        <f>Econ!I339</f>
        <v>93.63082908</v>
      </c>
    </row>
    <row r="340">
      <c r="A340" s="7" t="str">
        <f>Econ!A340&amp;if(Econ!B340&lt;10,"_0"&amp;Econ!B340,"_"&amp;Econ!B340)</f>
        <v>Pikeman_39</v>
      </c>
      <c r="B340" s="7" t="str">
        <f>"T"&amp;Econ!B340&amp;" "&amp;Econ!A340</f>
        <v>T39 Pikeman</v>
      </c>
      <c r="C340" s="8">
        <f>Econ!B340</f>
        <v>39</v>
      </c>
      <c r="D340" s="7"/>
      <c r="E340" s="9"/>
      <c r="F340" s="9"/>
      <c r="G340" s="10">
        <f>Econ!L340</f>
        <v>7928</v>
      </c>
      <c r="H340" s="11" t="str">
        <f>Econ!M340</f>
        <v/>
      </c>
      <c r="I340" s="11" t="str">
        <f>Econ!N340</f>
        <v/>
      </c>
      <c r="J340" s="12">
        <f>Econ!O340</f>
        <v>362</v>
      </c>
      <c r="K340" s="13">
        <f>Econ!P340</f>
        <v>1982</v>
      </c>
      <c r="L340" s="14">
        <f>Econ!Q340</f>
        <v>0</v>
      </c>
      <c r="M340" s="14">
        <f>Econ!R340</f>
        <v>0</v>
      </c>
      <c r="N340" s="13">
        <f>Econ!S340</f>
        <v>90.5</v>
      </c>
      <c r="O340" s="13">
        <f>Econ!T340</f>
        <v>5</v>
      </c>
      <c r="P340" s="7" t="str">
        <f>Econ!A340</f>
        <v>Pikeman</v>
      </c>
      <c r="Q340" s="10">
        <f>Econ!C340</f>
        <v>1915.643187</v>
      </c>
      <c r="R340" s="10">
        <f>Econ!E340</f>
        <v>21.22298792</v>
      </c>
      <c r="S340" s="10">
        <f>Econ!G340</f>
        <v>287.346478</v>
      </c>
      <c r="T340" s="10">
        <f>Econ!I340</f>
        <v>95.50344566</v>
      </c>
    </row>
    <row r="341">
      <c r="A341" s="7" t="str">
        <f>Econ!A341&amp;if(Econ!B341&lt;10,"_0"&amp;Econ!B341,"_"&amp;Econ!B341)</f>
        <v>Pikeman_40</v>
      </c>
      <c r="B341" s="7" t="str">
        <f>"T"&amp;Econ!B341&amp;" "&amp;Econ!A341</f>
        <v>T40 Pikeman</v>
      </c>
      <c r="C341" s="8">
        <f>Econ!B341</f>
        <v>40</v>
      </c>
      <c r="D341" s="7"/>
      <c r="E341" s="9"/>
      <c r="F341" s="9"/>
      <c r="G341" s="10">
        <f>Econ!L341</f>
        <v>8236</v>
      </c>
      <c r="H341" s="11" t="str">
        <f>Econ!M341</f>
        <v/>
      </c>
      <c r="I341" s="11" t="str">
        <f>Econ!N341</f>
        <v/>
      </c>
      <c r="J341" s="12">
        <f>Econ!O341</f>
        <v>375</v>
      </c>
      <c r="K341" s="13">
        <f>Econ!P341</f>
        <v>2059</v>
      </c>
      <c r="L341" s="14">
        <f>Econ!Q341</f>
        <v>0</v>
      </c>
      <c r="M341" s="14">
        <f>Econ!R341</f>
        <v>0</v>
      </c>
      <c r="N341" s="13">
        <f>Econ!S341</f>
        <v>93.75</v>
      </c>
      <c r="O341" s="13">
        <f>Econ!T341</f>
        <v>5</v>
      </c>
      <c r="P341" s="7" t="str">
        <f>Econ!A341</f>
        <v>Pikeman</v>
      </c>
      <c r="Q341" s="10">
        <f>Econ!C341</f>
        <v>2011.425346</v>
      </c>
      <c r="R341" s="10">
        <f>Econ!E341</f>
        <v>21.64744768</v>
      </c>
      <c r="S341" s="10">
        <f>Econ!G341</f>
        <v>301.7138019</v>
      </c>
      <c r="T341" s="10">
        <f>Econ!I341</f>
        <v>97.41351457</v>
      </c>
    </row>
    <row r="342">
      <c r="A342" s="7" t="str">
        <f>Econ!A342&amp;if(Econ!B342&lt;10,"_0"&amp;Econ!B342,"_"&amp;Econ!B342)</f>
        <v>Pikeman_41</v>
      </c>
      <c r="B342" s="7" t="str">
        <f>"T"&amp;Econ!B342&amp;" "&amp;Econ!A342</f>
        <v>T41 Pikeman</v>
      </c>
      <c r="C342" s="8">
        <f>Econ!B342</f>
        <v>41</v>
      </c>
      <c r="D342" s="7"/>
      <c r="E342" s="9"/>
      <c r="F342" s="9"/>
      <c r="G342" s="10">
        <f>Econ!L342</f>
        <v>8550</v>
      </c>
      <c r="H342" s="11" t="str">
        <f>Econ!M342</f>
        <v/>
      </c>
      <c r="I342" s="11" t="str">
        <f>Econ!N342</f>
        <v/>
      </c>
      <c r="J342" s="12">
        <f>Econ!O342</f>
        <v>389</v>
      </c>
      <c r="K342" s="13">
        <f>Econ!P342</f>
        <v>2137.5</v>
      </c>
      <c r="L342" s="14">
        <f>Econ!Q342</f>
        <v>0</v>
      </c>
      <c r="M342" s="14">
        <f>Econ!R342</f>
        <v>0</v>
      </c>
      <c r="N342" s="13">
        <f>Econ!S342</f>
        <v>97.25</v>
      </c>
      <c r="O342" s="13">
        <f>Econ!T342</f>
        <v>5</v>
      </c>
      <c r="P342" s="7" t="str">
        <f>Econ!A342</f>
        <v>Pikeman</v>
      </c>
      <c r="Q342" s="10">
        <f>Econ!C342</f>
        <v>2111.996614</v>
      </c>
      <c r="R342" s="10">
        <f>Econ!E342</f>
        <v>22.08039664</v>
      </c>
      <c r="S342" s="10">
        <f>Econ!G342</f>
        <v>316.799492</v>
      </c>
      <c r="T342" s="10">
        <f>Econ!I342</f>
        <v>99.36178486</v>
      </c>
    </row>
    <row r="343">
      <c r="A343" s="7" t="str">
        <f>Econ!A343&amp;if(Econ!B343&lt;10,"_0"&amp;Econ!B343,"_"&amp;Econ!B343)</f>
        <v>Pikeman_42</v>
      </c>
      <c r="B343" s="7" t="str">
        <f>"T"&amp;Econ!B343&amp;" "&amp;Econ!A343</f>
        <v>T42 Pikeman</v>
      </c>
      <c r="C343" s="8">
        <f>Econ!B343</f>
        <v>42</v>
      </c>
      <c r="D343" s="7"/>
      <c r="E343" s="9"/>
      <c r="F343" s="9"/>
      <c r="G343" s="10">
        <f>Econ!L343</f>
        <v>8869</v>
      </c>
      <c r="H343" s="11" t="str">
        <f>Econ!M343</f>
        <v/>
      </c>
      <c r="I343" s="11" t="str">
        <f>Econ!N343</f>
        <v/>
      </c>
      <c r="J343" s="12">
        <f>Econ!O343</f>
        <v>403</v>
      </c>
      <c r="K343" s="13">
        <f>Econ!P343</f>
        <v>2217.25</v>
      </c>
      <c r="L343" s="14">
        <f>Econ!Q343</f>
        <v>0</v>
      </c>
      <c r="M343" s="14">
        <f>Econ!R343</f>
        <v>0</v>
      </c>
      <c r="N343" s="13">
        <f>Econ!S343</f>
        <v>100.75</v>
      </c>
      <c r="O343" s="13">
        <f>Econ!T343</f>
        <v>5</v>
      </c>
      <c r="P343" s="7" t="str">
        <f>Econ!A343</f>
        <v>Pikeman</v>
      </c>
      <c r="Q343" s="10">
        <f>Econ!C343</f>
        <v>2217.596444</v>
      </c>
      <c r="R343" s="10">
        <f>Econ!E343</f>
        <v>22.52200457</v>
      </c>
      <c r="S343" s="10">
        <f>Econ!G343</f>
        <v>332.6394666</v>
      </c>
      <c r="T343" s="10">
        <f>Econ!I343</f>
        <v>101.3490206</v>
      </c>
    </row>
    <row r="344">
      <c r="A344" s="7" t="str">
        <f>Econ!A344&amp;if(Econ!B344&lt;10,"_0"&amp;Econ!B344,"_"&amp;Econ!B344)</f>
        <v>Pikeman_43</v>
      </c>
      <c r="B344" s="7" t="str">
        <f>"T"&amp;Econ!B344&amp;" "&amp;Econ!A344</f>
        <v>T43 Pikeman</v>
      </c>
      <c r="C344" s="8">
        <f>Econ!B344</f>
        <v>43</v>
      </c>
      <c r="D344" s="7"/>
      <c r="E344" s="9"/>
      <c r="F344" s="9"/>
      <c r="G344" s="10">
        <f>Econ!L344</f>
        <v>9193</v>
      </c>
      <c r="H344" s="11" t="str">
        <f>Econ!M344</f>
        <v/>
      </c>
      <c r="I344" s="11" t="str">
        <f>Econ!N344</f>
        <v/>
      </c>
      <c r="J344" s="12">
        <f>Econ!O344</f>
        <v>417</v>
      </c>
      <c r="K344" s="13">
        <f>Econ!P344</f>
        <v>2298.25</v>
      </c>
      <c r="L344" s="14">
        <f>Econ!Q344</f>
        <v>0</v>
      </c>
      <c r="M344" s="14">
        <f>Econ!R344</f>
        <v>0</v>
      </c>
      <c r="N344" s="13">
        <f>Econ!S344</f>
        <v>104.25</v>
      </c>
      <c r="O344" s="13">
        <f>Econ!T344</f>
        <v>5</v>
      </c>
      <c r="P344" s="7" t="str">
        <f>Econ!A344</f>
        <v>Pikeman</v>
      </c>
      <c r="Q344" s="10">
        <f>Econ!C344</f>
        <v>2328.476267</v>
      </c>
      <c r="R344" s="10">
        <f>Econ!E344</f>
        <v>22.97244466</v>
      </c>
      <c r="S344" s="10">
        <f>Econ!G344</f>
        <v>349.27144</v>
      </c>
      <c r="T344" s="10">
        <f>Econ!I344</f>
        <v>103.376001</v>
      </c>
    </row>
    <row r="345">
      <c r="A345" s="7" t="str">
        <f>Econ!A345&amp;if(Econ!B345&lt;10,"_0"&amp;Econ!B345,"_"&amp;Econ!B345)</f>
        <v>Pikeman_44</v>
      </c>
      <c r="B345" s="7" t="str">
        <f>"T"&amp;Econ!B345&amp;" "&amp;Econ!A345</f>
        <v>T44 Pikeman</v>
      </c>
      <c r="C345" s="8">
        <f>Econ!B345</f>
        <v>44</v>
      </c>
      <c r="D345" s="7"/>
      <c r="E345" s="9"/>
      <c r="F345" s="9"/>
      <c r="G345" s="10">
        <f>Econ!L345</f>
        <v>9523</v>
      </c>
      <c r="H345" s="11" t="str">
        <f>Econ!M345</f>
        <v/>
      </c>
      <c r="I345" s="11" t="str">
        <f>Econ!N345</f>
        <v/>
      </c>
      <c r="J345" s="12">
        <f>Econ!O345</f>
        <v>431</v>
      </c>
      <c r="K345" s="13">
        <f>Econ!P345</f>
        <v>2380.75</v>
      </c>
      <c r="L345" s="14">
        <f>Econ!Q345</f>
        <v>0</v>
      </c>
      <c r="M345" s="14">
        <f>Econ!R345</f>
        <v>0</v>
      </c>
      <c r="N345" s="13">
        <f>Econ!S345</f>
        <v>107.75</v>
      </c>
      <c r="O345" s="13">
        <f>Econ!T345</f>
        <v>5</v>
      </c>
      <c r="P345" s="7" t="str">
        <f>Econ!A345</f>
        <v>Pikeman</v>
      </c>
      <c r="Q345" s="10">
        <f>Econ!C345</f>
        <v>2444.90008</v>
      </c>
      <c r="R345" s="10">
        <f>Econ!E345</f>
        <v>23.43189355</v>
      </c>
      <c r="S345" s="10">
        <f>Econ!G345</f>
        <v>366.735012</v>
      </c>
      <c r="T345" s="10">
        <f>Econ!I345</f>
        <v>105.443521</v>
      </c>
    </row>
    <row r="346">
      <c r="A346" s="7" t="str">
        <f>Econ!A346&amp;if(Econ!B346&lt;10,"_0"&amp;Econ!B346,"_"&amp;Econ!B346)</f>
        <v>Pikeman_45</v>
      </c>
      <c r="B346" s="7" t="str">
        <f>"T"&amp;Econ!B346&amp;" "&amp;Econ!A346</f>
        <v>T45 Pikeman</v>
      </c>
      <c r="C346" s="8">
        <f>Econ!B346</f>
        <v>45</v>
      </c>
      <c r="D346" s="7"/>
      <c r="E346" s="9"/>
      <c r="F346" s="9"/>
      <c r="G346" s="10">
        <f>Econ!L346</f>
        <v>9858</v>
      </c>
      <c r="H346" s="11" t="str">
        <f>Econ!M346</f>
        <v/>
      </c>
      <c r="I346" s="11" t="str">
        <f>Econ!N346</f>
        <v/>
      </c>
      <c r="J346" s="12">
        <f>Econ!O346</f>
        <v>445</v>
      </c>
      <c r="K346" s="13">
        <f>Econ!P346</f>
        <v>2464.5</v>
      </c>
      <c r="L346" s="14">
        <f>Econ!Q346</f>
        <v>0</v>
      </c>
      <c r="M346" s="14">
        <f>Econ!R346</f>
        <v>0</v>
      </c>
      <c r="N346" s="13">
        <f>Econ!S346</f>
        <v>111.25</v>
      </c>
      <c r="O346" s="13">
        <f>Econ!T346</f>
        <v>6</v>
      </c>
      <c r="P346" s="7" t="str">
        <f>Econ!A346</f>
        <v>Pikeman</v>
      </c>
      <c r="Q346" s="10">
        <f>Econ!C346</f>
        <v>2567.145084</v>
      </c>
      <c r="R346" s="10">
        <f>Econ!E346</f>
        <v>23.90053142</v>
      </c>
      <c r="S346" s="10">
        <f>Econ!G346</f>
        <v>385.0717626</v>
      </c>
      <c r="T346" s="10">
        <f>Econ!I346</f>
        <v>107.5523914</v>
      </c>
    </row>
    <row r="347">
      <c r="A347" s="7" t="str">
        <f>Econ!A347&amp;if(Econ!B347&lt;10,"_0"&amp;Econ!B347,"_"&amp;Econ!B347)</f>
        <v>Pikeman_46</v>
      </c>
      <c r="B347" s="7" t="str">
        <f>"T"&amp;Econ!B347&amp;" "&amp;Econ!A347</f>
        <v>T46 Pikeman</v>
      </c>
      <c r="C347" s="8">
        <f>Econ!B347</f>
        <v>46</v>
      </c>
      <c r="D347" s="7"/>
      <c r="E347" s="9"/>
      <c r="F347" s="9"/>
      <c r="G347" s="10">
        <f>Econ!L347</f>
        <v>10198</v>
      </c>
      <c r="H347" s="11" t="str">
        <f>Econ!M347</f>
        <v/>
      </c>
      <c r="I347" s="11" t="str">
        <f>Econ!N347</f>
        <v/>
      </c>
      <c r="J347" s="12">
        <f>Econ!O347</f>
        <v>460</v>
      </c>
      <c r="K347" s="13">
        <f>Econ!P347</f>
        <v>2549.5</v>
      </c>
      <c r="L347" s="14">
        <f>Econ!Q347</f>
        <v>0</v>
      </c>
      <c r="M347" s="14">
        <f>Econ!R347</f>
        <v>0</v>
      </c>
      <c r="N347" s="13">
        <f>Econ!S347</f>
        <v>115</v>
      </c>
      <c r="O347" s="13">
        <f>Econ!T347</f>
        <v>6</v>
      </c>
      <c r="P347" s="7" t="str">
        <f>Econ!A347</f>
        <v>Pikeman</v>
      </c>
      <c r="Q347" s="10">
        <f>Econ!C347</f>
        <v>2695.502338</v>
      </c>
      <c r="R347" s="10">
        <f>Econ!E347</f>
        <v>24.37854205</v>
      </c>
      <c r="S347" s="10">
        <f>Econ!G347</f>
        <v>404.3253507</v>
      </c>
      <c r="T347" s="10">
        <f>Econ!I347</f>
        <v>109.7034392</v>
      </c>
    </row>
    <row r="348">
      <c r="A348" s="7" t="str">
        <f>Econ!A348&amp;if(Econ!B348&lt;10,"_0"&amp;Econ!B348,"_"&amp;Econ!B348)</f>
        <v>Pikeman_47</v>
      </c>
      <c r="B348" s="7" t="str">
        <f>"T"&amp;Econ!B348&amp;" "&amp;Econ!A348</f>
        <v>T47 Pikeman</v>
      </c>
      <c r="C348" s="8">
        <f>Econ!B348</f>
        <v>47</v>
      </c>
      <c r="D348" s="7"/>
      <c r="E348" s="9"/>
      <c r="F348" s="9"/>
      <c r="G348" s="10">
        <f>Econ!L348</f>
        <v>10544</v>
      </c>
      <c r="H348" s="11" t="str">
        <f>Econ!M348</f>
        <v/>
      </c>
      <c r="I348" s="11" t="str">
        <f>Econ!N348</f>
        <v/>
      </c>
      <c r="J348" s="12">
        <f>Econ!O348</f>
        <v>475</v>
      </c>
      <c r="K348" s="13">
        <f>Econ!P348</f>
        <v>2636</v>
      </c>
      <c r="L348" s="14">
        <f>Econ!Q348</f>
        <v>0</v>
      </c>
      <c r="M348" s="14">
        <f>Econ!R348</f>
        <v>0</v>
      </c>
      <c r="N348" s="13">
        <f>Econ!S348</f>
        <v>118.75</v>
      </c>
      <c r="O348" s="13">
        <f>Econ!T348</f>
        <v>6</v>
      </c>
      <c r="P348" s="7" t="str">
        <f>Econ!A348</f>
        <v>Pikeman</v>
      </c>
      <c r="Q348" s="10">
        <f>Econ!C348</f>
        <v>2830.277455</v>
      </c>
      <c r="R348" s="10">
        <f>Econ!E348</f>
        <v>24.86611289</v>
      </c>
      <c r="S348" s="10">
        <f>Econ!G348</f>
        <v>424.5416182</v>
      </c>
      <c r="T348" s="10">
        <f>Econ!I348</f>
        <v>111.897508</v>
      </c>
    </row>
    <row r="349">
      <c r="A349" s="7" t="str">
        <f>Econ!A349&amp;if(Econ!B349&lt;10,"_0"&amp;Econ!B349,"_"&amp;Econ!B349)</f>
        <v>Pikeman_48</v>
      </c>
      <c r="B349" s="7" t="str">
        <f>"T"&amp;Econ!B349&amp;" "&amp;Econ!A349</f>
        <v>T48 Pikeman</v>
      </c>
      <c r="C349" s="8">
        <f>Econ!B349</f>
        <v>48</v>
      </c>
      <c r="D349" s="7"/>
      <c r="E349" s="9"/>
      <c r="F349" s="9"/>
      <c r="G349" s="10">
        <f>Econ!L349</f>
        <v>10895</v>
      </c>
      <c r="H349" s="11" t="str">
        <f>Econ!M349</f>
        <v/>
      </c>
      <c r="I349" s="11" t="str">
        <f>Econ!N349</f>
        <v/>
      </c>
      <c r="J349" s="12">
        <f>Econ!O349</f>
        <v>490</v>
      </c>
      <c r="K349" s="13">
        <f>Econ!P349</f>
        <v>2723.75</v>
      </c>
      <c r="L349" s="14">
        <f>Econ!Q349</f>
        <v>0</v>
      </c>
      <c r="M349" s="14">
        <f>Econ!R349</f>
        <v>0</v>
      </c>
      <c r="N349" s="13">
        <f>Econ!S349</f>
        <v>122.5</v>
      </c>
      <c r="O349" s="13">
        <f>Econ!T349</f>
        <v>6</v>
      </c>
      <c r="P349" s="7" t="str">
        <f>Econ!A349</f>
        <v>Pikeman</v>
      </c>
      <c r="Q349" s="10">
        <f>Econ!C349</f>
        <v>2971.791328</v>
      </c>
      <c r="R349" s="10">
        <f>Econ!E349</f>
        <v>25.36343515</v>
      </c>
      <c r="S349" s="10">
        <f>Econ!G349</f>
        <v>445.7686992</v>
      </c>
      <c r="T349" s="10">
        <f>Econ!I349</f>
        <v>114.1354582</v>
      </c>
    </row>
    <row r="350">
      <c r="A350" s="7" t="str">
        <f>Econ!A350&amp;if(Econ!B350&lt;10,"_0"&amp;Econ!B350,"_"&amp;Econ!B350)</f>
        <v>Pikeman_49</v>
      </c>
      <c r="B350" s="7" t="str">
        <f>"T"&amp;Econ!B350&amp;" "&amp;Econ!A350</f>
        <v>T49 Pikeman</v>
      </c>
      <c r="C350" s="8">
        <f>Econ!B350</f>
        <v>49</v>
      </c>
      <c r="D350" s="7"/>
      <c r="E350" s="9"/>
      <c r="F350" s="9"/>
      <c r="G350" s="10">
        <f>Econ!L350</f>
        <v>11251</v>
      </c>
      <c r="H350" s="11" t="str">
        <f>Econ!M350</f>
        <v/>
      </c>
      <c r="I350" s="11" t="str">
        <f>Econ!N350</f>
        <v/>
      </c>
      <c r="J350" s="12">
        <f>Econ!O350</f>
        <v>505</v>
      </c>
      <c r="K350" s="13">
        <f>Econ!P350</f>
        <v>2812.75</v>
      </c>
      <c r="L350" s="14">
        <f>Econ!Q350</f>
        <v>0</v>
      </c>
      <c r="M350" s="14">
        <f>Econ!R350</f>
        <v>0</v>
      </c>
      <c r="N350" s="13">
        <f>Econ!S350</f>
        <v>126.25</v>
      </c>
      <c r="O350" s="13">
        <f>Econ!T350</f>
        <v>6</v>
      </c>
      <c r="P350" s="7" t="str">
        <f>Econ!A350</f>
        <v>Pikeman</v>
      </c>
      <c r="Q350" s="10">
        <f>Econ!C350</f>
        <v>3120.380894</v>
      </c>
      <c r="R350" s="10">
        <f>Econ!E350</f>
        <v>25.87070385</v>
      </c>
      <c r="S350" s="10">
        <f>Econ!G350</f>
        <v>468.0571341</v>
      </c>
      <c r="T350" s="10">
        <f>Econ!I350</f>
        <v>116.4181673</v>
      </c>
    </row>
    <row r="351">
      <c r="A351" s="7" t="str">
        <f>Econ!A351&amp;if(Econ!B351&lt;10,"_0"&amp;Econ!B351,"_"&amp;Econ!B351)</f>
        <v>Pikeman_50</v>
      </c>
      <c r="B351" s="7" t="str">
        <f>"T"&amp;Econ!B351&amp;" "&amp;Econ!A351</f>
        <v>T50 Pikeman</v>
      </c>
      <c r="C351" s="8">
        <f>Econ!B351</f>
        <v>50</v>
      </c>
      <c r="D351" s="7"/>
      <c r="E351" s="9"/>
      <c r="F351" s="9"/>
      <c r="G351" s="10">
        <f>Econ!L351</f>
        <v>11612</v>
      </c>
      <c r="H351" s="11" t="str">
        <f>Econ!M351</f>
        <v/>
      </c>
      <c r="I351" s="11" t="str">
        <f>Econ!N351</f>
        <v/>
      </c>
      <c r="J351" s="12">
        <f>Econ!O351</f>
        <v>520</v>
      </c>
      <c r="K351" s="13">
        <f>Econ!P351</f>
        <v>2903</v>
      </c>
      <c r="L351" s="14">
        <f>Econ!Q351</f>
        <v>0</v>
      </c>
      <c r="M351" s="14">
        <f>Econ!R351</f>
        <v>0</v>
      </c>
      <c r="N351" s="13">
        <f>Econ!S351</f>
        <v>130</v>
      </c>
      <c r="O351" s="13">
        <f>Econ!T351</f>
        <v>6</v>
      </c>
      <c r="P351" s="7" t="str">
        <f>Econ!A351</f>
        <v>Pikeman</v>
      </c>
      <c r="Q351" s="10">
        <f>Econ!C351</f>
        <v>3276.399939</v>
      </c>
      <c r="R351" s="10">
        <f>Econ!E351</f>
        <v>26.38811793</v>
      </c>
      <c r="S351" s="10">
        <f>Econ!G351</f>
        <v>491.4599908</v>
      </c>
      <c r="T351" s="10">
        <f>Econ!I351</f>
        <v>118.7465307</v>
      </c>
    </row>
    <row r="352">
      <c r="A352" s="7" t="str">
        <f>Econ!A352&amp;if(Econ!B352&lt;10,"_0"&amp;Econ!B352,"_"&amp;Econ!B352)</f>
        <v>Pikeman_51</v>
      </c>
      <c r="B352" s="7" t="str">
        <f>"T"&amp;Econ!B352&amp;" "&amp;Econ!A352</f>
        <v>T51 Pikeman</v>
      </c>
      <c r="C352" s="8">
        <f>Econ!B352</f>
        <v>51</v>
      </c>
      <c r="D352" s="7"/>
      <c r="E352" s="9"/>
      <c r="F352" s="9"/>
      <c r="G352" s="10">
        <f>Econ!L352</f>
        <v>11978</v>
      </c>
      <c r="H352" s="11" t="str">
        <f>Econ!M352</f>
        <v/>
      </c>
      <c r="I352" s="11" t="str">
        <f>Econ!N352</f>
        <v/>
      </c>
      <c r="J352" s="12">
        <f>Econ!O352</f>
        <v>536</v>
      </c>
      <c r="K352" s="13">
        <f>Econ!P352</f>
        <v>2994.5</v>
      </c>
      <c r="L352" s="14">
        <f>Econ!Q352</f>
        <v>0</v>
      </c>
      <c r="M352" s="14">
        <f>Econ!R352</f>
        <v>0</v>
      </c>
      <c r="N352" s="13">
        <f>Econ!S352</f>
        <v>134</v>
      </c>
      <c r="O352" s="13">
        <f>Econ!T352</f>
        <v>6</v>
      </c>
      <c r="P352" s="7" t="str">
        <f>Econ!A352</f>
        <v>Pikeman</v>
      </c>
      <c r="Q352" s="10">
        <f>Econ!C352</f>
        <v>3440.219936</v>
      </c>
      <c r="R352" s="10">
        <f>Econ!E352</f>
        <v>26.91588029</v>
      </c>
      <c r="S352" s="10">
        <f>Econ!G352</f>
        <v>516.0329904</v>
      </c>
      <c r="T352" s="10">
        <f>Econ!I352</f>
        <v>121.1214613</v>
      </c>
    </row>
    <row r="353">
      <c r="A353" s="7" t="str">
        <f>Econ!A353&amp;if(Econ!B353&lt;10,"_0"&amp;Econ!B353,"_"&amp;Econ!B353)</f>
        <v>Pikeman_52</v>
      </c>
      <c r="B353" s="7" t="str">
        <f>"T"&amp;Econ!B353&amp;" "&amp;Econ!A353</f>
        <v>T52 Pikeman</v>
      </c>
      <c r="C353" s="8">
        <f>Econ!B353</f>
        <v>52</v>
      </c>
      <c r="D353" s="7"/>
      <c r="E353" s="9"/>
      <c r="F353" s="9"/>
      <c r="G353" s="10">
        <f>Econ!L353</f>
        <v>12350</v>
      </c>
      <c r="H353" s="11" t="str">
        <f>Econ!M353</f>
        <v/>
      </c>
      <c r="I353" s="11" t="str">
        <f>Econ!N353</f>
        <v/>
      </c>
      <c r="J353" s="12">
        <f>Econ!O353</f>
        <v>552</v>
      </c>
      <c r="K353" s="13">
        <f>Econ!P353</f>
        <v>3087.5</v>
      </c>
      <c r="L353" s="14">
        <f>Econ!Q353</f>
        <v>0</v>
      </c>
      <c r="M353" s="14">
        <f>Econ!R353</f>
        <v>0</v>
      </c>
      <c r="N353" s="13">
        <f>Econ!S353</f>
        <v>138</v>
      </c>
      <c r="O353" s="13">
        <f>Econ!T353</f>
        <v>6</v>
      </c>
      <c r="P353" s="7" t="str">
        <f>Econ!A353</f>
        <v>Pikeman</v>
      </c>
      <c r="Q353" s="10">
        <f>Econ!C353</f>
        <v>3612.230933</v>
      </c>
      <c r="R353" s="10">
        <f>Econ!E353</f>
        <v>27.4541979</v>
      </c>
      <c r="S353" s="10">
        <f>Econ!G353</f>
        <v>541.8346399</v>
      </c>
      <c r="T353" s="10">
        <f>Econ!I353</f>
        <v>123.5438905</v>
      </c>
    </row>
    <row r="354">
      <c r="A354" s="7" t="str">
        <f>Econ!A354&amp;if(Econ!B354&lt;10,"_0"&amp;Econ!B354,"_"&amp;Econ!B354)</f>
        <v>Pikeman_53</v>
      </c>
      <c r="B354" s="7" t="str">
        <f>"T"&amp;Econ!B354&amp;" "&amp;Econ!A354</f>
        <v>T53 Pikeman</v>
      </c>
      <c r="C354" s="8">
        <f>Econ!B354</f>
        <v>53</v>
      </c>
      <c r="D354" s="7"/>
      <c r="E354" s="9"/>
      <c r="F354" s="9"/>
      <c r="G354" s="10">
        <f>Econ!L354</f>
        <v>12727</v>
      </c>
      <c r="H354" s="11" t="str">
        <f>Econ!M354</f>
        <v/>
      </c>
      <c r="I354" s="11" t="str">
        <f>Econ!N354</f>
        <v/>
      </c>
      <c r="J354" s="12">
        <f>Econ!O354</f>
        <v>568</v>
      </c>
      <c r="K354" s="13">
        <f>Econ!P354</f>
        <v>3181.75</v>
      </c>
      <c r="L354" s="14">
        <f>Econ!Q354</f>
        <v>0</v>
      </c>
      <c r="M354" s="14">
        <f>Econ!R354</f>
        <v>0</v>
      </c>
      <c r="N354" s="13">
        <f>Econ!S354</f>
        <v>142</v>
      </c>
      <c r="O354" s="13">
        <f>Econ!T354</f>
        <v>6</v>
      </c>
      <c r="P354" s="7" t="str">
        <f>Econ!A354</f>
        <v>Pikeman</v>
      </c>
      <c r="Q354" s="10">
        <f>Econ!C354</f>
        <v>3792.842479</v>
      </c>
      <c r="R354" s="10">
        <f>Econ!E354</f>
        <v>28.00328185</v>
      </c>
      <c r="S354" s="10">
        <f>Econ!G354</f>
        <v>568.9263719</v>
      </c>
      <c r="T354" s="10">
        <f>Econ!I354</f>
        <v>126.0147683</v>
      </c>
    </row>
    <row r="355">
      <c r="A355" s="7" t="str">
        <f>Econ!A355&amp;if(Econ!B355&lt;10,"_0"&amp;Econ!B355,"_"&amp;Econ!B355)</f>
        <v>Pikeman_54</v>
      </c>
      <c r="B355" s="7" t="str">
        <f>"T"&amp;Econ!B355&amp;" "&amp;Econ!A355</f>
        <v>T54 Pikeman</v>
      </c>
      <c r="C355" s="8">
        <f>Econ!B355</f>
        <v>54</v>
      </c>
      <c r="D355" s="7"/>
      <c r="E355" s="9"/>
      <c r="F355" s="9"/>
      <c r="G355" s="10">
        <f>Econ!L355</f>
        <v>13109</v>
      </c>
      <c r="H355" s="11" t="str">
        <f>Econ!M355</f>
        <v/>
      </c>
      <c r="I355" s="11" t="str">
        <f>Econ!N355</f>
        <v/>
      </c>
      <c r="J355" s="12">
        <f>Econ!O355</f>
        <v>584</v>
      </c>
      <c r="K355" s="13">
        <f>Econ!P355</f>
        <v>3277.25</v>
      </c>
      <c r="L355" s="14">
        <f>Econ!Q355</f>
        <v>0</v>
      </c>
      <c r="M355" s="14">
        <f>Econ!R355</f>
        <v>0</v>
      </c>
      <c r="N355" s="13">
        <f>Econ!S355</f>
        <v>146</v>
      </c>
      <c r="O355" s="13">
        <f>Econ!T355</f>
        <v>6</v>
      </c>
      <c r="P355" s="7" t="str">
        <f>Econ!A355</f>
        <v>Pikeman</v>
      </c>
      <c r="Q355" s="10">
        <f>Econ!C355</f>
        <v>3982.484603</v>
      </c>
      <c r="R355" s="10">
        <f>Econ!E355</f>
        <v>28.56334749</v>
      </c>
      <c r="S355" s="10">
        <f>Econ!G355</f>
        <v>597.3726905</v>
      </c>
      <c r="T355" s="10">
        <f>Econ!I355</f>
        <v>128.5350637</v>
      </c>
    </row>
    <row r="356">
      <c r="A356" s="7" t="str">
        <f>Econ!A356&amp;if(Econ!B356&lt;10,"_0"&amp;Econ!B356,"_"&amp;Econ!B356)</f>
        <v>Pikeman_55</v>
      </c>
      <c r="B356" s="7" t="str">
        <f>"T"&amp;Econ!B356&amp;" "&amp;Econ!A356</f>
        <v>T55 Pikeman</v>
      </c>
      <c r="C356" s="8">
        <f>Econ!B356</f>
        <v>55</v>
      </c>
      <c r="D356" s="7"/>
      <c r="E356" s="9"/>
      <c r="F356" s="9"/>
      <c r="G356" s="10">
        <f>Econ!L356</f>
        <v>13496</v>
      </c>
      <c r="H356" s="11" t="str">
        <f>Econ!M356</f>
        <v/>
      </c>
      <c r="I356" s="11" t="str">
        <f>Econ!N356</f>
        <v/>
      </c>
      <c r="J356" s="12">
        <f>Econ!O356</f>
        <v>600</v>
      </c>
      <c r="K356" s="13">
        <f>Econ!P356</f>
        <v>3374</v>
      </c>
      <c r="L356" s="14">
        <f>Econ!Q356</f>
        <v>0</v>
      </c>
      <c r="M356" s="14">
        <f>Econ!R356</f>
        <v>0</v>
      </c>
      <c r="N356" s="13">
        <f>Econ!S356</f>
        <v>150</v>
      </c>
      <c r="O356" s="13">
        <f>Econ!T356</f>
        <v>7</v>
      </c>
      <c r="P356" s="7" t="str">
        <f>Econ!A356</f>
        <v>Pikeman</v>
      </c>
      <c r="Q356" s="10">
        <f>Econ!C356</f>
        <v>4181.608833</v>
      </c>
      <c r="R356" s="10">
        <f>Econ!E356</f>
        <v>29.13461444</v>
      </c>
      <c r="S356" s="10">
        <f>Econ!G356</f>
        <v>627.241325</v>
      </c>
      <c r="T356" s="10">
        <f>Econ!I356</f>
        <v>131.105765</v>
      </c>
    </row>
    <row r="357">
      <c r="A357" s="7" t="str">
        <f>Econ!A357&amp;if(Econ!B357&lt;10,"_0"&amp;Econ!B357,"_"&amp;Econ!B357)</f>
        <v>Pikeman_56</v>
      </c>
      <c r="B357" s="7" t="str">
        <f>"T"&amp;Econ!B357&amp;" "&amp;Econ!A357</f>
        <v>T56 Pikeman</v>
      </c>
      <c r="C357" s="8">
        <f>Econ!B357</f>
        <v>56</v>
      </c>
      <c r="D357" s="7"/>
      <c r="E357" s="9"/>
      <c r="F357" s="9"/>
      <c r="G357" s="10">
        <f>Econ!L357</f>
        <v>13888</v>
      </c>
      <c r="H357" s="11" t="str">
        <f>Econ!M357</f>
        <v/>
      </c>
      <c r="I357" s="11" t="str">
        <f>Econ!N357</f>
        <v/>
      </c>
      <c r="J357" s="12">
        <f>Econ!O357</f>
        <v>617</v>
      </c>
      <c r="K357" s="13">
        <f>Econ!P357</f>
        <v>3472</v>
      </c>
      <c r="L357" s="14">
        <f>Econ!Q357</f>
        <v>0</v>
      </c>
      <c r="M357" s="14">
        <f>Econ!R357</f>
        <v>0</v>
      </c>
      <c r="N357" s="13">
        <f>Econ!S357</f>
        <v>154.25</v>
      </c>
      <c r="O357" s="13">
        <f>Econ!T357</f>
        <v>7</v>
      </c>
      <c r="P357" s="7" t="str">
        <f>Econ!A357</f>
        <v>Pikeman</v>
      </c>
      <c r="Q357" s="10">
        <f>Econ!C357</f>
        <v>4390.689275</v>
      </c>
      <c r="R357" s="10">
        <f>Econ!E357</f>
        <v>29.71730673</v>
      </c>
      <c r="S357" s="10">
        <f>Econ!G357</f>
        <v>658.6033912</v>
      </c>
      <c r="T357" s="10">
        <f>Econ!I357</f>
        <v>133.7278803</v>
      </c>
    </row>
    <row r="358">
      <c r="A358" s="7" t="str">
        <f>Econ!A358&amp;if(Econ!B358&lt;10,"_0"&amp;Econ!B358,"_"&amp;Econ!B358)</f>
        <v>Pikeman_57</v>
      </c>
      <c r="B358" s="7" t="str">
        <f>"T"&amp;Econ!B358&amp;" "&amp;Econ!A358</f>
        <v>T57 Pikeman</v>
      </c>
      <c r="C358" s="8">
        <f>Econ!B358</f>
        <v>57</v>
      </c>
      <c r="D358" s="7"/>
      <c r="E358" s="9"/>
      <c r="F358" s="9"/>
      <c r="G358" s="10">
        <f>Econ!L358</f>
        <v>14285</v>
      </c>
      <c r="H358" s="11" t="str">
        <f>Econ!M358</f>
        <v/>
      </c>
      <c r="I358" s="11" t="str">
        <f>Econ!N358</f>
        <v/>
      </c>
      <c r="J358" s="12">
        <f>Econ!O358</f>
        <v>634</v>
      </c>
      <c r="K358" s="13">
        <f>Econ!P358</f>
        <v>3571.25</v>
      </c>
      <c r="L358" s="14">
        <f>Econ!Q358</f>
        <v>0</v>
      </c>
      <c r="M358" s="14">
        <f>Econ!R358</f>
        <v>0</v>
      </c>
      <c r="N358" s="13">
        <f>Econ!S358</f>
        <v>158.5</v>
      </c>
      <c r="O358" s="13">
        <f>Econ!T358</f>
        <v>7</v>
      </c>
      <c r="P358" s="7" t="str">
        <f>Econ!A358</f>
        <v>Pikeman</v>
      </c>
      <c r="Q358" s="10">
        <f>Econ!C358</f>
        <v>4610.223739</v>
      </c>
      <c r="R358" s="10">
        <f>Econ!E358</f>
        <v>30.31165286</v>
      </c>
      <c r="S358" s="10">
        <f>Econ!G358</f>
        <v>691.5335608</v>
      </c>
      <c r="T358" s="10">
        <f>Econ!I358</f>
        <v>136.4024379</v>
      </c>
    </row>
    <row r="359">
      <c r="A359" s="7" t="str">
        <f>Econ!A359&amp;if(Econ!B359&lt;10,"_0"&amp;Econ!B359,"_"&amp;Econ!B359)</f>
        <v>Pikeman_58</v>
      </c>
      <c r="B359" s="7" t="str">
        <f>"T"&amp;Econ!B359&amp;" "&amp;Econ!A359</f>
        <v>T58 Pikeman</v>
      </c>
      <c r="C359" s="8">
        <f>Econ!B359</f>
        <v>58</v>
      </c>
      <c r="D359" s="7"/>
      <c r="E359" s="9"/>
      <c r="F359" s="9"/>
      <c r="G359" s="10">
        <f>Econ!L359</f>
        <v>14687</v>
      </c>
      <c r="H359" s="11" t="str">
        <f>Econ!M359</f>
        <v/>
      </c>
      <c r="I359" s="11" t="str">
        <f>Econ!N359</f>
        <v/>
      </c>
      <c r="J359" s="12">
        <f>Econ!O359</f>
        <v>651</v>
      </c>
      <c r="K359" s="13">
        <f>Econ!P359</f>
        <v>3671.75</v>
      </c>
      <c r="L359" s="14">
        <f>Econ!Q359</f>
        <v>0</v>
      </c>
      <c r="M359" s="14">
        <f>Econ!R359</f>
        <v>0</v>
      </c>
      <c r="N359" s="13">
        <f>Econ!S359</f>
        <v>162.75</v>
      </c>
      <c r="O359" s="13">
        <f>Econ!T359</f>
        <v>7</v>
      </c>
      <c r="P359" s="7" t="str">
        <f>Econ!A359</f>
        <v>Pikeman</v>
      </c>
      <c r="Q359" s="10">
        <f>Econ!C359</f>
        <v>4840.734926</v>
      </c>
      <c r="R359" s="10">
        <f>Econ!E359</f>
        <v>30.91788592</v>
      </c>
      <c r="S359" s="10">
        <f>Econ!G359</f>
        <v>726.1102388</v>
      </c>
      <c r="T359" s="10">
        <f>Econ!I359</f>
        <v>139.1304866</v>
      </c>
    </row>
    <row r="360">
      <c r="A360" s="7" t="str">
        <f>Econ!A360&amp;if(Econ!B360&lt;10,"_0"&amp;Econ!B360,"_"&amp;Econ!B360)</f>
        <v>Pikeman_59</v>
      </c>
      <c r="B360" s="7" t="str">
        <f>"T"&amp;Econ!B360&amp;" "&amp;Econ!A360</f>
        <v>T59 Pikeman</v>
      </c>
      <c r="C360" s="8">
        <f>Econ!B360</f>
        <v>59</v>
      </c>
      <c r="D360" s="7"/>
      <c r="E360" s="9"/>
      <c r="F360" s="9"/>
      <c r="G360" s="10">
        <f>Econ!L360</f>
        <v>15093</v>
      </c>
      <c r="H360" s="11" t="str">
        <f>Econ!M360</f>
        <v/>
      </c>
      <c r="I360" s="11" t="str">
        <f>Econ!N360</f>
        <v/>
      </c>
      <c r="J360" s="12">
        <f>Econ!O360</f>
        <v>668</v>
      </c>
      <c r="K360" s="13">
        <f>Econ!P360</f>
        <v>3773.25</v>
      </c>
      <c r="L360" s="14">
        <f>Econ!Q360</f>
        <v>0</v>
      </c>
      <c r="M360" s="14">
        <f>Econ!R360</f>
        <v>0</v>
      </c>
      <c r="N360" s="13">
        <f>Econ!S360</f>
        <v>167</v>
      </c>
      <c r="O360" s="13">
        <f>Econ!T360</f>
        <v>7</v>
      </c>
      <c r="P360" s="7" t="str">
        <f>Econ!A360</f>
        <v>Pikeman</v>
      </c>
      <c r="Q360" s="10">
        <f>Econ!C360</f>
        <v>5082.771672</v>
      </c>
      <c r="R360" s="10">
        <f>Econ!E360</f>
        <v>31.53624364</v>
      </c>
      <c r="S360" s="10">
        <f>Econ!G360</f>
        <v>762.4157508</v>
      </c>
      <c r="T360" s="10">
        <f>Econ!I360</f>
        <v>141.9130964</v>
      </c>
    </row>
    <row r="361">
      <c r="A361" s="7" t="str">
        <f>Econ!A361&amp;if(Econ!B361&lt;10,"_0"&amp;Econ!B361,"_"&amp;Econ!B361)</f>
        <v>Pikeman_60</v>
      </c>
      <c r="B361" s="7" t="str">
        <f>"T"&amp;Econ!B361&amp;" "&amp;Econ!A361</f>
        <v>T60 Pikeman</v>
      </c>
      <c r="C361" s="8">
        <f>Econ!B361</f>
        <v>60</v>
      </c>
      <c r="D361" s="7"/>
      <c r="E361" s="9"/>
      <c r="F361" s="9"/>
      <c r="G361" s="10">
        <f>Econ!L361</f>
        <v>15504</v>
      </c>
      <c r="H361" s="11" t="str">
        <f>Econ!M361</f>
        <v/>
      </c>
      <c r="I361" s="11" t="str">
        <f>Econ!N361</f>
        <v/>
      </c>
      <c r="J361" s="12">
        <f>Econ!O361</f>
        <v>685</v>
      </c>
      <c r="K361" s="13">
        <f>Econ!P361</f>
        <v>3876</v>
      </c>
      <c r="L361" s="14">
        <f>Econ!Q361</f>
        <v>0</v>
      </c>
      <c r="M361" s="14">
        <f>Econ!R361</f>
        <v>0</v>
      </c>
      <c r="N361" s="13">
        <f>Econ!S361</f>
        <v>171.25</v>
      </c>
      <c r="O361" s="13">
        <f>Econ!T361</f>
        <v>7</v>
      </c>
      <c r="P361" s="7" t="str">
        <f>Econ!A361</f>
        <v>Pikeman</v>
      </c>
      <c r="Q361" s="10">
        <f>Econ!C361</f>
        <v>5336.910255</v>
      </c>
      <c r="R361" s="10">
        <f>Econ!E361</f>
        <v>32.16696851</v>
      </c>
      <c r="S361" s="10">
        <f>Econ!G361</f>
        <v>800.5365383</v>
      </c>
      <c r="T361" s="10">
        <f>Econ!I361</f>
        <v>144.7513583</v>
      </c>
    </row>
    <row r="362">
      <c r="A362" s="7" t="str">
        <f>Econ!A362&amp;if(Econ!B362&lt;10,"_0"&amp;Econ!B362,"_"&amp;Econ!B362)</f>
        <v>Pikeman_61</v>
      </c>
      <c r="B362" s="7" t="str">
        <f>"T"&amp;Econ!B362&amp;" "&amp;Econ!A362</f>
        <v>T61 Pikeman</v>
      </c>
      <c r="C362" s="8">
        <f>Econ!B362</f>
        <v>61</v>
      </c>
      <c r="D362" s="7"/>
      <c r="E362" s="9"/>
      <c r="F362" s="9"/>
      <c r="G362" s="10">
        <f>Econ!L362</f>
        <v>15920</v>
      </c>
      <c r="H362" s="11" t="str">
        <f>Econ!M362</f>
        <v/>
      </c>
      <c r="I362" s="11" t="str">
        <f>Econ!N362</f>
        <v/>
      </c>
      <c r="J362" s="12">
        <f>Econ!O362</f>
        <v>703</v>
      </c>
      <c r="K362" s="13">
        <f>Econ!P362</f>
        <v>3980</v>
      </c>
      <c r="L362" s="14">
        <f>Econ!Q362</f>
        <v>0</v>
      </c>
      <c r="M362" s="14">
        <f>Econ!R362</f>
        <v>0</v>
      </c>
      <c r="N362" s="13">
        <f>Econ!S362</f>
        <v>175.75</v>
      </c>
      <c r="O362" s="13">
        <f>Econ!T362</f>
        <v>7</v>
      </c>
      <c r="P362" s="7" t="str">
        <f>Econ!A362</f>
        <v>Pikeman</v>
      </c>
      <c r="Q362" s="10">
        <f>Econ!C362</f>
        <v>5603.755768</v>
      </c>
      <c r="R362" s="10">
        <f>Econ!E362</f>
        <v>32.81030788</v>
      </c>
      <c r="S362" s="10">
        <f>Econ!G362</f>
        <v>840.5633652</v>
      </c>
      <c r="T362" s="10">
        <f>Econ!I362</f>
        <v>147.6463855</v>
      </c>
    </row>
    <row r="363">
      <c r="A363" s="7" t="str">
        <f>Econ!A363&amp;if(Econ!B363&lt;10,"_0"&amp;Econ!B363,"_"&amp;Econ!B363)</f>
        <v>Pikeman_62</v>
      </c>
      <c r="B363" s="7" t="str">
        <f>"T"&amp;Econ!B363&amp;" "&amp;Econ!A363</f>
        <v>T62 Pikeman</v>
      </c>
      <c r="C363" s="8">
        <f>Econ!B363</f>
        <v>62</v>
      </c>
      <c r="D363" s="7"/>
      <c r="E363" s="9"/>
      <c r="F363" s="9"/>
      <c r="G363" s="10">
        <f>Econ!L363</f>
        <v>16341</v>
      </c>
      <c r="H363" s="11" t="str">
        <f>Econ!M363</f>
        <v/>
      </c>
      <c r="I363" s="11" t="str">
        <f>Econ!N363</f>
        <v/>
      </c>
      <c r="J363" s="12">
        <f>Econ!O363</f>
        <v>721</v>
      </c>
      <c r="K363" s="13">
        <f>Econ!P363</f>
        <v>4085.25</v>
      </c>
      <c r="L363" s="14">
        <f>Econ!Q363</f>
        <v>0</v>
      </c>
      <c r="M363" s="14">
        <f>Econ!R363</f>
        <v>0</v>
      </c>
      <c r="N363" s="13">
        <f>Econ!S363</f>
        <v>180.25</v>
      </c>
      <c r="O363" s="13">
        <f>Econ!T363</f>
        <v>7</v>
      </c>
      <c r="P363" s="7" t="str">
        <f>Econ!A363</f>
        <v>Pikeman</v>
      </c>
      <c r="Q363" s="10">
        <f>Econ!C363</f>
        <v>5883.943557</v>
      </c>
      <c r="R363" s="10">
        <f>Econ!E363</f>
        <v>33.46651404</v>
      </c>
      <c r="S363" s="10">
        <f>Econ!G363</f>
        <v>882.5915335</v>
      </c>
      <c r="T363" s="10">
        <f>Econ!I363</f>
        <v>150.5993132</v>
      </c>
    </row>
    <row r="364">
      <c r="A364" s="7" t="str">
        <f>Econ!A364&amp;if(Econ!B364&lt;10,"_0"&amp;Econ!B364,"_"&amp;Econ!B364)</f>
        <v>Pikeman_63</v>
      </c>
      <c r="B364" s="7" t="str">
        <f>"T"&amp;Econ!B364&amp;" "&amp;Econ!A364</f>
        <v>T63 Pikeman</v>
      </c>
      <c r="C364" s="8">
        <f>Econ!B364</f>
        <v>63</v>
      </c>
      <c r="D364" s="7"/>
      <c r="E364" s="9"/>
      <c r="F364" s="9"/>
      <c r="G364" s="10">
        <f>Econ!L364</f>
        <v>16767</v>
      </c>
      <c r="H364" s="11" t="str">
        <f>Econ!M364</f>
        <v/>
      </c>
      <c r="I364" s="11" t="str">
        <f>Econ!N364</f>
        <v/>
      </c>
      <c r="J364" s="12">
        <f>Econ!O364</f>
        <v>739</v>
      </c>
      <c r="K364" s="13">
        <f>Econ!P364</f>
        <v>4191.75</v>
      </c>
      <c r="L364" s="14">
        <f>Econ!Q364</f>
        <v>0</v>
      </c>
      <c r="M364" s="14">
        <f>Econ!R364</f>
        <v>0</v>
      </c>
      <c r="N364" s="13">
        <f>Econ!S364</f>
        <v>184.75</v>
      </c>
      <c r="O364" s="13">
        <f>Econ!T364</f>
        <v>7</v>
      </c>
      <c r="P364" s="7" t="str">
        <f>Econ!A364</f>
        <v>Pikeman</v>
      </c>
      <c r="Q364" s="10">
        <f>Econ!C364</f>
        <v>6178.140734</v>
      </c>
      <c r="R364" s="10">
        <f>Econ!E364</f>
        <v>34.13584432</v>
      </c>
      <c r="S364" s="10">
        <f>Econ!G364</f>
        <v>926.7211102</v>
      </c>
      <c r="T364" s="10">
        <f>Econ!I364</f>
        <v>153.6112994</v>
      </c>
    </row>
    <row r="365">
      <c r="A365" s="7" t="str">
        <f>Econ!A365&amp;if(Econ!B365&lt;10,"_0"&amp;Econ!B365,"_"&amp;Econ!B365)</f>
        <v>Pikeman_64</v>
      </c>
      <c r="B365" s="7" t="str">
        <f>"T"&amp;Econ!B365&amp;" "&amp;Econ!A365</f>
        <v>T64 Pikeman</v>
      </c>
      <c r="C365" s="8">
        <f>Econ!B365</f>
        <v>64</v>
      </c>
      <c r="D365" s="7"/>
      <c r="E365" s="9"/>
      <c r="F365" s="9"/>
      <c r="G365" s="10">
        <f>Econ!L365</f>
        <v>17198</v>
      </c>
      <c r="H365" s="11" t="str">
        <f>Econ!M365</f>
        <v/>
      </c>
      <c r="I365" s="11" t="str">
        <f>Econ!N365</f>
        <v/>
      </c>
      <c r="J365" s="12">
        <f>Econ!O365</f>
        <v>757</v>
      </c>
      <c r="K365" s="13">
        <f>Econ!P365</f>
        <v>4299.5</v>
      </c>
      <c r="L365" s="14">
        <f>Econ!Q365</f>
        <v>0</v>
      </c>
      <c r="M365" s="14">
        <f>Econ!R365</f>
        <v>0</v>
      </c>
      <c r="N365" s="13">
        <f>Econ!S365</f>
        <v>189.25</v>
      </c>
      <c r="O365" s="13">
        <f>Econ!T365</f>
        <v>7</v>
      </c>
      <c r="P365" s="7" t="str">
        <f>Econ!A365</f>
        <v>Pikeman</v>
      </c>
      <c r="Q365" s="10">
        <f>Econ!C365</f>
        <v>6487.047771</v>
      </c>
      <c r="R365" s="10">
        <f>Econ!E365</f>
        <v>34.81856121</v>
      </c>
      <c r="S365" s="10">
        <f>Econ!G365</f>
        <v>973.0571657</v>
      </c>
      <c r="T365" s="10">
        <f>Econ!I365</f>
        <v>156.6835254</v>
      </c>
    </row>
    <row r="366">
      <c r="A366" s="7" t="str">
        <f>Econ!A366&amp;if(Econ!B366&lt;10,"_0"&amp;Econ!B366,"_"&amp;Econ!B366)</f>
        <v>Pikeman_65</v>
      </c>
      <c r="B366" s="7" t="str">
        <f>"T"&amp;Econ!B366&amp;" "&amp;Econ!A366</f>
        <v>T65 Pikeman</v>
      </c>
      <c r="C366" s="8">
        <f>Econ!B366</f>
        <v>65</v>
      </c>
      <c r="D366" s="7"/>
      <c r="E366" s="9"/>
      <c r="F366" s="9"/>
      <c r="G366" s="10">
        <f>Econ!L366</f>
        <v>17633</v>
      </c>
      <c r="H366" s="11" t="str">
        <f>Econ!M366</f>
        <v/>
      </c>
      <c r="I366" s="11" t="str">
        <f>Econ!N366</f>
        <v/>
      </c>
      <c r="J366" s="12">
        <f>Econ!O366</f>
        <v>775</v>
      </c>
      <c r="K366" s="13">
        <f>Econ!P366</f>
        <v>4408.25</v>
      </c>
      <c r="L366" s="14">
        <f>Econ!Q366</f>
        <v>0</v>
      </c>
      <c r="M366" s="14">
        <f>Econ!R366</f>
        <v>0</v>
      </c>
      <c r="N366" s="13">
        <f>Econ!S366</f>
        <v>193.75</v>
      </c>
      <c r="O366" s="13">
        <f>Econ!T366</f>
        <v>8</v>
      </c>
      <c r="P366" s="7" t="str">
        <f>Econ!A366</f>
        <v>Pikeman</v>
      </c>
      <c r="Q366" s="10">
        <f>Econ!C366</f>
        <v>6811.40016</v>
      </c>
      <c r="R366" s="10">
        <f>Econ!E366</f>
        <v>35.51493243</v>
      </c>
      <c r="S366" s="10">
        <f>Econ!G366</f>
        <v>1021.710024</v>
      </c>
      <c r="T366" s="10">
        <f>Econ!I366</f>
        <v>159.8171959</v>
      </c>
    </row>
    <row r="367">
      <c r="A367" s="7" t="str">
        <f>Econ!A367&amp;if(Econ!B367&lt;10,"_0"&amp;Econ!B367,"_"&amp;Econ!B367)</f>
        <v>Pikeman_66</v>
      </c>
      <c r="B367" s="7" t="str">
        <f>"T"&amp;Econ!B367&amp;" "&amp;Econ!A367</f>
        <v>T66 Pikeman</v>
      </c>
      <c r="C367" s="8">
        <f>Econ!B367</f>
        <v>66</v>
      </c>
      <c r="D367" s="7"/>
      <c r="E367" s="9"/>
      <c r="F367" s="9"/>
      <c r="G367" s="10">
        <f>Econ!L367</f>
        <v>18073</v>
      </c>
      <c r="H367" s="11" t="str">
        <f>Econ!M367</f>
        <v/>
      </c>
      <c r="I367" s="11" t="str">
        <f>Econ!N367</f>
        <v/>
      </c>
      <c r="J367" s="12">
        <f>Econ!O367</f>
        <v>794</v>
      </c>
      <c r="K367" s="13">
        <f>Econ!P367</f>
        <v>4518.25</v>
      </c>
      <c r="L367" s="14">
        <f>Econ!Q367</f>
        <v>0</v>
      </c>
      <c r="M367" s="14">
        <f>Econ!R367</f>
        <v>0</v>
      </c>
      <c r="N367" s="13">
        <f>Econ!S367</f>
        <v>198.5</v>
      </c>
      <c r="O367" s="13">
        <f>Econ!T367</f>
        <v>8</v>
      </c>
      <c r="P367" s="7" t="str">
        <f>Econ!A367</f>
        <v>Pikeman</v>
      </c>
      <c r="Q367" s="10">
        <f>Econ!C367</f>
        <v>7151.970168</v>
      </c>
      <c r="R367" s="10">
        <f>Econ!E367</f>
        <v>36.22523108</v>
      </c>
      <c r="S367" s="10">
        <f>Econ!G367</f>
        <v>1072.795525</v>
      </c>
      <c r="T367" s="10">
        <f>Econ!I367</f>
        <v>163.0135399</v>
      </c>
    </row>
    <row r="368">
      <c r="A368" s="7" t="str">
        <f>Econ!A368&amp;if(Econ!B368&lt;10,"_0"&amp;Econ!B368,"_"&amp;Econ!B368)</f>
        <v>Pikeman_67</v>
      </c>
      <c r="B368" s="7" t="str">
        <f>"T"&amp;Econ!B368&amp;" "&amp;Econ!A368</f>
        <v>T67 Pikeman</v>
      </c>
      <c r="C368" s="8">
        <f>Econ!B368</f>
        <v>67</v>
      </c>
      <c r="D368" s="7"/>
      <c r="E368" s="9"/>
      <c r="F368" s="9"/>
      <c r="G368" s="10">
        <f>Econ!L368</f>
        <v>18518</v>
      </c>
      <c r="H368" s="11" t="str">
        <f>Econ!M368</f>
        <v/>
      </c>
      <c r="I368" s="11" t="str">
        <f>Econ!N368</f>
        <v/>
      </c>
      <c r="J368" s="12">
        <f>Econ!O368</f>
        <v>813</v>
      </c>
      <c r="K368" s="13">
        <f>Econ!P368</f>
        <v>4629.5</v>
      </c>
      <c r="L368" s="14">
        <f>Econ!Q368</f>
        <v>0</v>
      </c>
      <c r="M368" s="14">
        <f>Econ!R368</f>
        <v>0</v>
      </c>
      <c r="N368" s="13">
        <f>Econ!S368</f>
        <v>203.25</v>
      </c>
      <c r="O368" s="13">
        <f>Econ!T368</f>
        <v>8</v>
      </c>
      <c r="P368" s="7" t="str">
        <f>Econ!A368</f>
        <v>Pikeman</v>
      </c>
      <c r="Q368" s="10">
        <f>Econ!C368</f>
        <v>7509.568676</v>
      </c>
      <c r="R368" s="10">
        <f>Econ!E368</f>
        <v>36.9497357</v>
      </c>
      <c r="S368" s="10">
        <f>Econ!G368</f>
        <v>1126.435301</v>
      </c>
      <c r="T368" s="10">
        <f>Econ!I368</f>
        <v>166.2738107</v>
      </c>
    </row>
    <row r="369">
      <c r="A369" s="7" t="str">
        <f>Econ!A369&amp;if(Econ!B369&lt;10,"_0"&amp;Econ!B369,"_"&amp;Econ!B369)</f>
        <v>Pikeman_68</v>
      </c>
      <c r="B369" s="7" t="str">
        <f>"T"&amp;Econ!B369&amp;" "&amp;Econ!A369</f>
        <v>T68 Pikeman</v>
      </c>
      <c r="C369" s="8">
        <f>Econ!B369</f>
        <v>68</v>
      </c>
      <c r="D369" s="7"/>
      <c r="E369" s="9"/>
      <c r="F369" s="9"/>
      <c r="G369" s="10">
        <f>Econ!L369</f>
        <v>18968</v>
      </c>
      <c r="H369" s="11" t="str">
        <f>Econ!M369</f>
        <v/>
      </c>
      <c r="I369" s="11" t="str">
        <f>Econ!N369</f>
        <v/>
      </c>
      <c r="J369" s="12">
        <f>Econ!O369</f>
        <v>832</v>
      </c>
      <c r="K369" s="13">
        <f>Econ!P369</f>
        <v>4742</v>
      </c>
      <c r="L369" s="14">
        <f>Econ!Q369</f>
        <v>0</v>
      </c>
      <c r="M369" s="14">
        <f>Econ!R369</f>
        <v>0</v>
      </c>
      <c r="N369" s="13">
        <f>Econ!S369</f>
        <v>208</v>
      </c>
      <c r="O369" s="13">
        <f>Econ!T369</f>
        <v>8</v>
      </c>
      <c r="P369" s="7" t="str">
        <f>Econ!A369</f>
        <v>Pikeman</v>
      </c>
      <c r="Q369" s="10">
        <f>Econ!C369</f>
        <v>7885.04711</v>
      </c>
      <c r="R369" s="10">
        <f>Econ!E369</f>
        <v>37.68873042</v>
      </c>
      <c r="S369" s="10">
        <f>Econ!G369</f>
        <v>1182.757066</v>
      </c>
      <c r="T369" s="10">
        <f>Econ!I369</f>
        <v>169.5992869</v>
      </c>
    </row>
    <row r="370">
      <c r="A370" s="7" t="str">
        <f>Econ!A370&amp;if(Econ!B370&lt;10,"_0"&amp;Econ!B370,"_"&amp;Econ!B370)</f>
        <v>Pikeman_69</v>
      </c>
      <c r="B370" s="7" t="str">
        <f>"T"&amp;Econ!B370&amp;" "&amp;Econ!A370</f>
        <v>T69 Pikeman</v>
      </c>
      <c r="C370" s="8">
        <f>Econ!B370</f>
        <v>69</v>
      </c>
      <c r="D370" s="7"/>
      <c r="E370" s="9"/>
      <c r="F370" s="9"/>
      <c r="G370" s="10">
        <f>Econ!L370</f>
        <v>19422</v>
      </c>
      <c r="H370" s="11" t="str">
        <f>Econ!M370</f>
        <v/>
      </c>
      <c r="I370" s="11" t="str">
        <f>Econ!N370</f>
        <v/>
      </c>
      <c r="J370" s="12">
        <f>Econ!O370</f>
        <v>851</v>
      </c>
      <c r="K370" s="13">
        <f>Econ!P370</f>
        <v>4855.5</v>
      </c>
      <c r="L370" s="14">
        <f>Econ!Q370</f>
        <v>0</v>
      </c>
      <c r="M370" s="14">
        <f>Econ!R370</f>
        <v>0</v>
      </c>
      <c r="N370" s="13">
        <f>Econ!S370</f>
        <v>212.75</v>
      </c>
      <c r="O370" s="13">
        <f>Econ!T370</f>
        <v>8</v>
      </c>
      <c r="P370" s="7" t="str">
        <f>Econ!A370</f>
        <v>Pikeman</v>
      </c>
      <c r="Q370" s="10">
        <f>Econ!C370</f>
        <v>8279.299465</v>
      </c>
      <c r="R370" s="10">
        <f>Econ!E370</f>
        <v>38.44250503</v>
      </c>
      <c r="S370" s="10">
        <f>Econ!G370</f>
        <v>1241.89492</v>
      </c>
      <c r="T370" s="10">
        <f>Econ!I370</f>
        <v>172.9912726</v>
      </c>
    </row>
    <row r="371">
      <c r="A371" s="7" t="str">
        <f>Econ!A371&amp;if(Econ!B371&lt;10,"_0"&amp;Econ!B371,"_"&amp;Econ!B371)</f>
        <v>Pikeman_70</v>
      </c>
      <c r="B371" s="7" t="str">
        <f>"T"&amp;Econ!B371&amp;" "&amp;Econ!A371</f>
        <v>T70 Pikeman</v>
      </c>
      <c r="C371" s="8">
        <f>Econ!B371</f>
        <v>70</v>
      </c>
      <c r="D371" s="7"/>
      <c r="E371" s="9"/>
      <c r="F371" s="9"/>
      <c r="G371" s="10">
        <f>Econ!L371</f>
        <v>19881</v>
      </c>
      <c r="H371" s="11" t="str">
        <f>Econ!M371</f>
        <v/>
      </c>
      <c r="I371" s="11" t="str">
        <f>Econ!N371</f>
        <v/>
      </c>
      <c r="J371" s="12">
        <f>Econ!O371</f>
        <v>870</v>
      </c>
      <c r="K371" s="13">
        <f>Econ!P371</f>
        <v>4970.25</v>
      </c>
      <c r="L371" s="14">
        <f>Econ!Q371</f>
        <v>0</v>
      </c>
      <c r="M371" s="14">
        <f>Econ!R371</f>
        <v>0</v>
      </c>
      <c r="N371" s="13">
        <f>Econ!S371</f>
        <v>217.5</v>
      </c>
      <c r="O371" s="13">
        <f>Econ!T371</f>
        <v>8</v>
      </c>
      <c r="P371" s="7" t="str">
        <f>Econ!A371</f>
        <v>Pikeman</v>
      </c>
      <c r="Q371" s="10">
        <f>Econ!C371</f>
        <v>8693.264439</v>
      </c>
      <c r="R371" s="10">
        <f>Econ!E371</f>
        <v>39.21135513</v>
      </c>
      <c r="S371" s="10">
        <f>Econ!G371</f>
        <v>1303.989666</v>
      </c>
      <c r="T371" s="10">
        <f>Econ!I371</f>
        <v>176.4510981</v>
      </c>
    </row>
    <row r="372">
      <c r="A372" s="7" t="str">
        <f>Econ!A372&amp;if(Econ!B372&lt;10,"_0"&amp;Econ!B372,"_"&amp;Econ!B372)</f>
        <v>Pikeman_71</v>
      </c>
      <c r="B372" s="7" t="str">
        <f>"T"&amp;Econ!B372&amp;" "&amp;Econ!A372</f>
        <v>T71 Pikeman</v>
      </c>
      <c r="C372" s="8">
        <f>Econ!B372</f>
        <v>71</v>
      </c>
      <c r="D372" s="7"/>
      <c r="E372" s="9"/>
      <c r="F372" s="9"/>
      <c r="G372" s="10">
        <f>Econ!L372</f>
        <v>20345</v>
      </c>
      <c r="H372" s="11" t="str">
        <f>Econ!M372</f>
        <v/>
      </c>
      <c r="I372" s="11" t="str">
        <f>Econ!N372</f>
        <v/>
      </c>
      <c r="J372" s="12">
        <f>Econ!O372</f>
        <v>890</v>
      </c>
      <c r="K372" s="13">
        <f>Econ!P372</f>
        <v>5086.25</v>
      </c>
      <c r="L372" s="14">
        <f>Econ!Q372</f>
        <v>0</v>
      </c>
      <c r="M372" s="14">
        <f>Econ!R372</f>
        <v>0</v>
      </c>
      <c r="N372" s="13">
        <f>Econ!S372</f>
        <v>222.5</v>
      </c>
      <c r="O372" s="13">
        <f>Econ!T372</f>
        <v>8</v>
      </c>
      <c r="P372" s="7" t="str">
        <f>Econ!A372</f>
        <v>Pikeman</v>
      </c>
      <c r="Q372" s="10">
        <f>Econ!C372</f>
        <v>9127.927661</v>
      </c>
      <c r="R372" s="10">
        <f>Econ!E372</f>
        <v>39.99558223</v>
      </c>
      <c r="S372" s="10">
        <f>Econ!G372</f>
        <v>1369.189149</v>
      </c>
      <c r="T372" s="10">
        <f>Econ!I372</f>
        <v>179.98012</v>
      </c>
    </row>
    <row r="373">
      <c r="A373" s="7" t="str">
        <f>Econ!A373&amp;if(Econ!B373&lt;10,"_0"&amp;Econ!B373,"_"&amp;Econ!B373)</f>
        <v>Pikeman_72</v>
      </c>
      <c r="B373" s="7" t="str">
        <f>"T"&amp;Econ!B373&amp;" "&amp;Econ!A373</f>
        <v>T72 Pikeman</v>
      </c>
      <c r="C373" s="8">
        <f>Econ!B373</f>
        <v>72</v>
      </c>
      <c r="D373" s="7"/>
      <c r="E373" s="9"/>
      <c r="F373" s="9"/>
      <c r="G373" s="10">
        <f>Econ!L373</f>
        <v>20813</v>
      </c>
      <c r="H373" s="11" t="str">
        <f>Econ!M373</f>
        <v/>
      </c>
      <c r="I373" s="11" t="str">
        <f>Econ!N373</f>
        <v/>
      </c>
      <c r="J373" s="12">
        <f>Econ!O373</f>
        <v>910</v>
      </c>
      <c r="K373" s="13">
        <f>Econ!P373</f>
        <v>5203.25</v>
      </c>
      <c r="L373" s="14">
        <f>Econ!Q373</f>
        <v>0</v>
      </c>
      <c r="M373" s="14">
        <f>Econ!R373</f>
        <v>0</v>
      </c>
      <c r="N373" s="13">
        <f>Econ!S373</f>
        <v>227.5</v>
      </c>
      <c r="O373" s="13">
        <f>Econ!T373</f>
        <v>8</v>
      </c>
      <c r="P373" s="7" t="str">
        <f>Econ!A373</f>
        <v>Pikeman</v>
      </c>
      <c r="Q373" s="10">
        <f>Econ!C373</f>
        <v>9584.324044</v>
      </c>
      <c r="R373" s="10">
        <f>Econ!E373</f>
        <v>40.79549387</v>
      </c>
      <c r="S373" s="10">
        <f>Econ!G373</f>
        <v>1437.648607</v>
      </c>
      <c r="T373" s="10">
        <f>Econ!I373</f>
        <v>183.5797224</v>
      </c>
    </row>
    <row r="374">
      <c r="A374" s="7" t="str">
        <f>Econ!A374&amp;if(Econ!B374&lt;10,"_0"&amp;Econ!B374,"_"&amp;Econ!B374)</f>
        <v>Pikeman_73</v>
      </c>
      <c r="B374" s="7" t="str">
        <f>"T"&amp;Econ!B374&amp;" "&amp;Econ!A374</f>
        <v>T73 Pikeman</v>
      </c>
      <c r="C374" s="8">
        <f>Econ!B374</f>
        <v>73</v>
      </c>
      <c r="D374" s="7"/>
      <c r="E374" s="9"/>
      <c r="F374" s="9"/>
      <c r="G374" s="10">
        <f>Econ!L374</f>
        <v>21286</v>
      </c>
      <c r="H374" s="11" t="str">
        <f>Econ!M374</f>
        <v/>
      </c>
      <c r="I374" s="11" t="str">
        <f>Econ!N374</f>
        <v/>
      </c>
      <c r="J374" s="12">
        <f>Econ!O374</f>
        <v>930</v>
      </c>
      <c r="K374" s="13">
        <f>Econ!P374</f>
        <v>5321.5</v>
      </c>
      <c r="L374" s="14">
        <f>Econ!Q374</f>
        <v>0</v>
      </c>
      <c r="M374" s="14">
        <f>Econ!R374</f>
        <v>0</v>
      </c>
      <c r="N374" s="13">
        <f>Econ!S374</f>
        <v>232.5</v>
      </c>
      <c r="O374" s="13">
        <f>Econ!T374</f>
        <v>8</v>
      </c>
      <c r="P374" s="7" t="str">
        <f>Econ!A374</f>
        <v>Pikeman</v>
      </c>
      <c r="Q374" s="10">
        <f>Econ!C374</f>
        <v>10063.54025</v>
      </c>
      <c r="R374" s="10">
        <f>Econ!E374</f>
        <v>41.61140375</v>
      </c>
      <c r="S374" s="10">
        <f>Econ!G374</f>
        <v>1509.531037</v>
      </c>
      <c r="T374" s="10">
        <f>Econ!I374</f>
        <v>187.2513169</v>
      </c>
    </row>
    <row r="375">
      <c r="A375" s="7" t="str">
        <f>Econ!A375&amp;if(Econ!B375&lt;10,"_0"&amp;Econ!B375,"_"&amp;Econ!B375)</f>
        <v>Pikeman_74</v>
      </c>
      <c r="B375" s="7" t="str">
        <f>"T"&amp;Econ!B375&amp;" "&amp;Econ!A375</f>
        <v>T74 Pikeman</v>
      </c>
      <c r="C375" s="8">
        <f>Econ!B375</f>
        <v>74</v>
      </c>
      <c r="D375" s="7"/>
      <c r="E375" s="9"/>
      <c r="F375" s="9"/>
      <c r="G375" s="10">
        <f>Econ!L375</f>
        <v>21763</v>
      </c>
      <c r="H375" s="11" t="str">
        <f>Econ!M375</f>
        <v/>
      </c>
      <c r="I375" s="11" t="str">
        <f>Econ!N375</f>
        <v/>
      </c>
      <c r="J375" s="12">
        <f>Econ!O375</f>
        <v>950</v>
      </c>
      <c r="K375" s="13">
        <f>Econ!P375</f>
        <v>5440.75</v>
      </c>
      <c r="L375" s="14">
        <f>Econ!Q375</f>
        <v>0</v>
      </c>
      <c r="M375" s="14">
        <f>Econ!R375</f>
        <v>0</v>
      </c>
      <c r="N375" s="13">
        <f>Econ!S375</f>
        <v>237.5</v>
      </c>
      <c r="O375" s="13">
        <f>Econ!T375</f>
        <v>8</v>
      </c>
      <c r="P375" s="7" t="str">
        <f>Econ!A375</f>
        <v>Pikeman</v>
      </c>
      <c r="Q375" s="10">
        <f>Econ!C375</f>
        <v>10566.71726</v>
      </c>
      <c r="R375" s="10">
        <f>Econ!E375</f>
        <v>42.44363183</v>
      </c>
      <c r="S375" s="10">
        <f>Econ!G375</f>
        <v>1585.007589</v>
      </c>
      <c r="T375" s="10">
        <f>Econ!I375</f>
        <v>190.9963432</v>
      </c>
    </row>
    <row r="376">
      <c r="A376" s="7" t="str">
        <f>Econ!A376&amp;if(Econ!B376&lt;10,"_0"&amp;Econ!B376,"_"&amp;Econ!B376)</f>
        <v>Pikeman_75</v>
      </c>
      <c r="B376" s="7" t="str">
        <f>"T"&amp;Econ!B376&amp;" "&amp;Econ!A376</f>
        <v>T75 Pikeman</v>
      </c>
      <c r="C376" s="8">
        <f>Econ!B376</f>
        <v>75</v>
      </c>
      <c r="D376" s="7"/>
      <c r="E376" s="9"/>
      <c r="F376" s="9"/>
      <c r="G376" s="10">
        <f>Econ!L376</f>
        <v>22245</v>
      </c>
      <c r="H376" s="11" t="str">
        <f>Econ!M376</f>
        <v/>
      </c>
      <c r="I376" s="11" t="str">
        <f>Econ!N376</f>
        <v/>
      </c>
      <c r="J376" s="12">
        <f>Econ!O376</f>
        <v>970</v>
      </c>
      <c r="K376" s="13">
        <f>Econ!P376</f>
        <v>5561.25</v>
      </c>
      <c r="L376" s="14">
        <f>Econ!Q376</f>
        <v>0</v>
      </c>
      <c r="M376" s="14">
        <f>Econ!R376</f>
        <v>0</v>
      </c>
      <c r="N376" s="13">
        <f>Econ!S376</f>
        <v>242.5</v>
      </c>
      <c r="O376" s="13">
        <f>Econ!T376</f>
        <v>9</v>
      </c>
      <c r="P376" s="7" t="str">
        <f>Econ!A376</f>
        <v>Pikeman</v>
      </c>
      <c r="Q376" s="10">
        <f>Econ!C376</f>
        <v>11095.05312</v>
      </c>
      <c r="R376" s="10">
        <f>Econ!E376</f>
        <v>43.29250446</v>
      </c>
      <c r="S376" s="10">
        <f>Econ!G376</f>
        <v>1664.257968</v>
      </c>
      <c r="T376" s="10">
        <f>Econ!I376</f>
        <v>194.8162701</v>
      </c>
    </row>
    <row r="377">
      <c r="A377" s="7" t="str">
        <f>Econ!A377&amp;if(Econ!B377&lt;10,"_0"&amp;Econ!B377,"_"&amp;Econ!B377)</f>
        <v>Pikeman_76</v>
      </c>
      <c r="B377" s="7" t="str">
        <f>"T"&amp;Econ!B377&amp;" "&amp;Econ!A377</f>
        <v>T76 Pikeman</v>
      </c>
      <c r="C377" s="8">
        <f>Econ!B377</f>
        <v>76</v>
      </c>
      <c r="D377" s="7"/>
      <c r="E377" s="9"/>
      <c r="F377" s="9"/>
      <c r="G377" s="10">
        <f>Econ!L377</f>
        <v>22731</v>
      </c>
      <c r="H377" s="11" t="str">
        <f>Econ!M377</f>
        <v/>
      </c>
      <c r="I377" s="11" t="str">
        <f>Econ!N377</f>
        <v/>
      </c>
      <c r="J377" s="12">
        <f>Econ!O377</f>
        <v>990</v>
      </c>
      <c r="K377" s="13">
        <f>Econ!P377</f>
        <v>5682.75</v>
      </c>
      <c r="L377" s="14">
        <f>Econ!Q377</f>
        <v>0</v>
      </c>
      <c r="M377" s="14">
        <f>Econ!R377</f>
        <v>0</v>
      </c>
      <c r="N377" s="13">
        <f>Econ!S377</f>
        <v>247.5</v>
      </c>
      <c r="O377" s="13">
        <f>Econ!T377</f>
        <v>9</v>
      </c>
      <c r="P377" s="7" t="str">
        <f>Econ!A377</f>
        <v>Pikeman</v>
      </c>
      <c r="Q377" s="10">
        <f>Econ!C377</f>
        <v>11649.80578</v>
      </c>
      <c r="R377" s="10">
        <f>Econ!E377</f>
        <v>44.15835455</v>
      </c>
      <c r="S377" s="10">
        <f>Econ!G377</f>
        <v>1747.470867</v>
      </c>
      <c r="T377" s="10">
        <f>Econ!I377</f>
        <v>198.7125955</v>
      </c>
    </row>
    <row r="378">
      <c r="A378" s="7" t="str">
        <f>Econ!A378&amp;if(Econ!B378&lt;10,"_0"&amp;Econ!B378,"_"&amp;Econ!B378)</f>
        <v>Pikeman_77</v>
      </c>
      <c r="B378" s="7" t="str">
        <f>"T"&amp;Econ!B378&amp;" "&amp;Econ!A378</f>
        <v>T77 Pikeman</v>
      </c>
      <c r="C378" s="8">
        <f>Econ!B378</f>
        <v>77</v>
      </c>
      <c r="D378" s="7"/>
      <c r="E378" s="9"/>
      <c r="F378" s="9"/>
      <c r="G378" s="10">
        <f>Econ!L378</f>
        <v>23222</v>
      </c>
      <c r="H378" s="11" t="str">
        <f>Econ!M378</f>
        <v/>
      </c>
      <c r="I378" s="11" t="str">
        <f>Econ!N378</f>
        <v/>
      </c>
      <c r="J378" s="12">
        <f>Econ!O378</f>
        <v>1011</v>
      </c>
      <c r="K378" s="13">
        <f>Econ!P378</f>
        <v>5805.5</v>
      </c>
      <c r="L378" s="14">
        <f>Econ!Q378</f>
        <v>0</v>
      </c>
      <c r="M378" s="14">
        <f>Econ!R378</f>
        <v>0</v>
      </c>
      <c r="N378" s="13">
        <f>Econ!S378</f>
        <v>252.75</v>
      </c>
      <c r="O378" s="13">
        <f>Econ!T378</f>
        <v>9</v>
      </c>
      <c r="P378" s="7" t="str">
        <f>Econ!A378</f>
        <v>Pikeman</v>
      </c>
      <c r="Q378" s="10">
        <f>Econ!C378</f>
        <v>12232.29607</v>
      </c>
      <c r="R378" s="10">
        <f>Econ!E378</f>
        <v>45.04152164</v>
      </c>
      <c r="S378" s="10">
        <f>Econ!G378</f>
        <v>1834.84441</v>
      </c>
      <c r="T378" s="10">
        <f>Econ!I378</f>
        <v>202.6868474</v>
      </c>
    </row>
    <row r="379">
      <c r="A379" s="7" t="str">
        <f>Econ!A379&amp;if(Econ!B379&lt;10,"_0"&amp;Econ!B379,"_"&amp;Econ!B379)</f>
        <v>Pikeman_78</v>
      </c>
      <c r="B379" s="7" t="str">
        <f>"T"&amp;Econ!B379&amp;" "&amp;Econ!A379</f>
        <v>T78 Pikeman</v>
      </c>
      <c r="C379" s="8">
        <f>Econ!B379</f>
        <v>78</v>
      </c>
      <c r="D379" s="7"/>
      <c r="E379" s="9"/>
      <c r="F379" s="9"/>
      <c r="G379" s="10">
        <f>Econ!L379</f>
        <v>23717</v>
      </c>
      <c r="H379" s="11" t="str">
        <f>Econ!M379</f>
        <v/>
      </c>
      <c r="I379" s="11" t="str">
        <f>Econ!N379</f>
        <v/>
      </c>
      <c r="J379" s="12">
        <f>Econ!O379</f>
        <v>1032</v>
      </c>
      <c r="K379" s="13">
        <f>Econ!P379</f>
        <v>5929.25</v>
      </c>
      <c r="L379" s="14">
        <f>Econ!Q379</f>
        <v>0</v>
      </c>
      <c r="M379" s="14">
        <f>Econ!R379</f>
        <v>0</v>
      </c>
      <c r="N379" s="13">
        <f>Econ!S379</f>
        <v>258</v>
      </c>
      <c r="O379" s="13">
        <f>Econ!T379</f>
        <v>9</v>
      </c>
      <c r="P379" s="7" t="str">
        <f>Econ!A379</f>
        <v>Pikeman</v>
      </c>
      <c r="Q379" s="10">
        <f>Econ!C379</f>
        <v>12843.91087</v>
      </c>
      <c r="R379" s="10">
        <f>Econ!E379</f>
        <v>45.94235208</v>
      </c>
      <c r="S379" s="10">
        <f>Econ!G379</f>
        <v>1926.58663</v>
      </c>
      <c r="T379" s="10">
        <f>Econ!I379</f>
        <v>206.7405843</v>
      </c>
    </row>
    <row r="380">
      <c r="A380" s="7" t="str">
        <f>Econ!A380&amp;if(Econ!B380&lt;10,"_0"&amp;Econ!B380,"_"&amp;Econ!B380)</f>
        <v>Pikeman_79</v>
      </c>
      <c r="B380" s="7" t="str">
        <f>"T"&amp;Econ!B380&amp;" "&amp;Econ!A380</f>
        <v>T79 Pikeman</v>
      </c>
      <c r="C380" s="8">
        <f>Econ!B380</f>
        <v>79</v>
      </c>
      <c r="D380" s="7"/>
      <c r="E380" s="9"/>
      <c r="F380" s="9"/>
      <c r="G380" s="10">
        <f>Econ!L380</f>
        <v>24217</v>
      </c>
      <c r="H380" s="11" t="str">
        <f>Econ!M380</f>
        <v/>
      </c>
      <c r="I380" s="11" t="str">
        <f>Econ!N380</f>
        <v/>
      </c>
      <c r="J380" s="12">
        <f>Econ!O380</f>
        <v>1053</v>
      </c>
      <c r="K380" s="13">
        <f>Econ!P380</f>
        <v>6054.25</v>
      </c>
      <c r="L380" s="14">
        <f>Econ!Q380</f>
        <v>0</v>
      </c>
      <c r="M380" s="14">
        <f>Econ!R380</f>
        <v>0</v>
      </c>
      <c r="N380" s="13">
        <f>Econ!S380</f>
        <v>263.25</v>
      </c>
      <c r="O380" s="13">
        <f>Econ!T380</f>
        <v>9</v>
      </c>
      <c r="P380" s="7" t="str">
        <f>Econ!A380</f>
        <v>Pikeman</v>
      </c>
      <c r="Q380" s="10">
        <f>Econ!C380</f>
        <v>13486.10641</v>
      </c>
      <c r="R380" s="10">
        <f>Econ!E380</f>
        <v>46.86119912</v>
      </c>
      <c r="S380" s="10">
        <f>Econ!G380</f>
        <v>2022.915962</v>
      </c>
      <c r="T380" s="10">
        <f>Econ!I380</f>
        <v>210.875396</v>
      </c>
    </row>
    <row r="381">
      <c r="A381" s="7" t="str">
        <f>Econ!A381&amp;if(Econ!B381&lt;10,"_0"&amp;Econ!B381,"_"&amp;Econ!B381)</f>
        <v>Pikeman_80</v>
      </c>
      <c r="B381" s="7" t="str">
        <f>"T"&amp;Econ!B381&amp;" "&amp;Econ!A381</f>
        <v>T80 Pikeman</v>
      </c>
      <c r="C381" s="8">
        <f>Econ!B381</f>
        <v>80</v>
      </c>
      <c r="D381" s="7"/>
      <c r="E381" s="9"/>
      <c r="F381" s="9"/>
      <c r="G381" s="10">
        <f>Econ!L381</f>
        <v>24721</v>
      </c>
      <c r="H381" s="11" t="str">
        <f>Econ!M381</f>
        <v/>
      </c>
      <c r="I381" s="11" t="str">
        <f>Econ!N381</f>
        <v/>
      </c>
      <c r="J381" s="12">
        <f>Econ!O381</f>
        <v>1074</v>
      </c>
      <c r="K381" s="13">
        <f>Econ!P381</f>
        <v>6180.25</v>
      </c>
      <c r="L381" s="14">
        <f>Econ!Q381</f>
        <v>0</v>
      </c>
      <c r="M381" s="14">
        <f>Econ!R381</f>
        <v>0</v>
      </c>
      <c r="N381" s="13">
        <f>Econ!S381</f>
        <v>268.5</v>
      </c>
      <c r="O381" s="13">
        <f>Econ!T381</f>
        <v>9</v>
      </c>
      <c r="P381" s="7" t="str">
        <f>Econ!A381</f>
        <v>Pikeman</v>
      </c>
      <c r="Q381" s="10">
        <f>Econ!C381</f>
        <v>14160.41173</v>
      </c>
      <c r="R381" s="10">
        <f>Econ!E381</f>
        <v>47.7984231</v>
      </c>
      <c r="S381" s="10">
        <f>Econ!G381</f>
        <v>2124.06176</v>
      </c>
      <c r="T381" s="10">
        <f>Econ!I381</f>
        <v>215.0929039</v>
      </c>
    </row>
    <row r="382">
      <c r="A382" s="7" t="str">
        <f>Econ!A382&amp;if(Econ!B382&lt;10,"_0"&amp;Econ!B382,"_"&amp;Econ!B382)</f>
        <v>Pikeman_81</v>
      </c>
      <c r="B382" s="7" t="str">
        <f>"T"&amp;Econ!B382&amp;" "&amp;Econ!A382</f>
        <v>T81 Pikeman</v>
      </c>
      <c r="C382" s="8">
        <f>Econ!B382</f>
        <v>81</v>
      </c>
      <c r="D382" s="7"/>
      <c r="E382" s="9"/>
      <c r="F382" s="9"/>
      <c r="G382" s="10">
        <f>Econ!L382</f>
        <v>25230</v>
      </c>
      <c r="H382" s="11" t="str">
        <f>Econ!M382</f>
        <v/>
      </c>
      <c r="I382" s="11" t="str">
        <f>Econ!N382</f>
        <v/>
      </c>
      <c r="J382" s="12">
        <f>Econ!O382</f>
        <v>1095</v>
      </c>
      <c r="K382" s="13">
        <f>Econ!P382</f>
        <v>6307.5</v>
      </c>
      <c r="L382" s="14">
        <f>Econ!Q382</f>
        <v>0</v>
      </c>
      <c r="M382" s="14">
        <f>Econ!R382</f>
        <v>0</v>
      </c>
      <c r="N382" s="13">
        <f>Econ!S382</f>
        <v>273.75</v>
      </c>
      <c r="O382" s="13">
        <f>Econ!T382</f>
        <v>9</v>
      </c>
      <c r="P382" s="7" t="str">
        <f>Econ!A382</f>
        <v>Pikeman</v>
      </c>
      <c r="Q382" s="10">
        <f>Econ!C382</f>
        <v>14868.43232</v>
      </c>
      <c r="R382" s="10">
        <f>Econ!E382</f>
        <v>48.75439156</v>
      </c>
      <c r="S382" s="10">
        <f>Econ!G382</f>
        <v>2230.264848</v>
      </c>
      <c r="T382" s="10">
        <f>Econ!I382</f>
        <v>219.394762</v>
      </c>
    </row>
    <row r="383">
      <c r="A383" s="7" t="str">
        <f>Econ!A383&amp;if(Econ!B383&lt;10,"_0"&amp;Econ!B383,"_"&amp;Econ!B383)</f>
        <v>Pikeman_82</v>
      </c>
      <c r="B383" s="7" t="str">
        <f>"T"&amp;Econ!B383&amp;" "&amp;Econ!A383</f>
        <v>T82 Pikeman</v>
      </c>
      <c r="C383" s="8">
        <f>Econ!B383</f>
        <v>82</v>
      </c>
      <c r="D383" s="7"/>
      <c r="E383" s="9"/>
      <c r="F383" s="9"/>
      <c r="G383" s="10">
        <f>Econ!L383</f>
        <v>25743</v>
      </c>
      <c r="H383" s="11" t="str">
        <f>Econ!M383</f>
        <v/>
      </c>
      <c r="I383" s="11" t="str">
        <f>Econ!N383</f>
        <v/>
      </c>
      <c r="J383" s="12">
        <f>Econ!O383</f>
        <v>1116</v>
      </c>
      <c r="K383" s="13">
        <f>Econ!P383</f>
        <v>6435.75</v>
      </c>
      <c r="L383" s="14">
        <f>Econ!Q383</f>
        <v>0</v>
      </c>
      <c r="M383" s="14">
        <f>Econ!R383</f>
        <v>0</v>
      </c>
      <c r="N383" s="13">
        <f>Econ!S383</f>
        <v>279</v>
      </c>
      <c r="O383" s="13">
        <f>Econ!T383</f>
        <v>9</v>
      </c>
      <c r="P383" s="7" t="str">
        <f>Econ!A383</f>
        <v>Pikeman</v>
      </c>
      <c r="Q383" s="10">
        <f>Econ!C383</f>
        <v>15611.85394</v>
      </c>
      <c r="R383" s="10">
        <f>Econ!E383</f>
        <v>49.72947939</v>
      </c>
      <c r="S383" s="10">
        <f>Econ!G383</f>
        <v>2341.77809</v>
      </c>
      <c r="T383" s="10">
        <f>Econ!I383</f>
        <v>223.7826573</v>
      </c>
    </row>
    <row r="384">
      <c r="A384" s="7" t="str">
        <f>Econ!A384&amp;if(Econ!B384&lt;10,"_0"&amp;Econ!B384,"_"&amp;Econ!B384)</f>
        <v>Pikeman_83</v>
      </c>
      <c r="B384" s="7" t="str">
        <f>"T"&amp;Econ!B384&amp;" "&amp;Econ!A384</f>
        <v>T83 Pikeman</v>
      </c>
      <c r="C384" s="8">
        <f>Econ!B384</f>
        <v>83</v>
      </c>
      <c r="D384" s="7"/>
      <c r="E384" s="9"/>
      <c r="F384" s="9"/>
      <c r="G384" s="10">
        <f>Econ!L384</f>
        <v>26261</v>
      </c>
      <c r="H384" s="11" t="str">
        <f>Econ!M384</f>
        <v/>
      </c>
      <c r="I384" s="11" t="str">
        <f>Econ!N384</f>
        <v/>
      </c>
      <c r="J384" s="12">
        <f>Econ!O384</f>
        <v>1138</v>
      </c>
      <c r="K384" s="13">
        <f>Econ!P384</f>
        <v>6565.25</v>
      </c>
      <c r="L384" s="14">
        <f>Econ!Q384</f>
        <v>0</v>
      </c>
      <c r="M384" s="14">
        <f>Econ!R384</f>
        <v>0</v>
      </c>
      <c r="N384" s="13">
        <f>Econ!S384</f>
        <v>284.5</v>
      </c>
      <c r="O384" s="13">
        <f>Econ!T384</f>
        <v>9</v>
      </c>
      <c r="P384" s="7" t="str">
        <f>Econ!A384</f>
        <v>Pikeman</v>
      </c>
      <c r="Q384" s="10">
        <f>Econ!C384</f>
        <v>16392.44663</v>
      </c>
      <c r="R384" s="10">
        <f>Econ!E384</f>
        <v>50.72406898</v>
      </c>
      <c r="S384" s="10">
        <f>Econ!G384</f>
        <v>2458.866995</v>
      </c>
      <c r="T384" s="10">
        <f>Econ!I384</f>
        <v>228.2583104</v>
      </c>
    </row>
    <row r="385">
      <c r="A385" s="7" t="str">
        <f>Econ!A385&amp;if(Econ!B385&lt;10,"_0"&amp;Econ!B385,"_"&amp;Econ!B385)</f>
        <v>Pikeman_84</v>
      </c>
      <c r="B385" s="7" t="str">
        <f>"T"&amp;Econ!B385&amp;" "&amp;Econ!A385</f>
        <v>T84 Pikeman</v>
      </c>
      <c r="C385" s="8">
        <f>Econ!B385</f>
        <v>84</v>
      </c>
      <c r="D385" s="7"/>
      <c r="E385" s="9"/>
      <c r="F385" s="9"/>
      <c r="G385" s="10">
        <f>Econ!L385</f>
        <v>26783</v>
      </c>
      <c r="H385" s="11" t="str">
        <f>Econ!M385</f>
        <v/>
      </c>
      <c r="I385" s="11" t="str">
        <f>Econ!N385</f>
        <v/>
      </c>
      <c r="J385" s="12">
        <f>Econ!O385</f>
        <v>1160</v>
      </c>
      <c r="K385" s="13">
        <f>Econ!P385</f>
        <v>6695.75</v>
      </c>
      <c r="L385" s="14">
        <f>Econ!Q385</f>
        <v>0</v>
      </c>
      <c r="M385" s="14">
        <f>Econ!R385</f>
        <v>0</v>
      </c>
      <c r="N385" s="13">
        <f>Econ!S385</f>
        <v>290</v>
      </c>
      <c r="O385" s="13">
        <f>Econ!T385</f>
        <v>9</v>
      </c>
      <c r="P385" s="7" t="str">
        <f>Econ!A385</f>
        <v>Pikeman</v>
      </c>
      <c r="Q385" s="10">
        <f>Econ!C385</f>
        <v>17212.06896</v>
      </c>
      <c r="R385" s="10">
        <f>Econ!E385</f>
        <v>51.73855036</v>
      </c>
      <c r="S385" s="10">
        <f>Econ!G385</f>
        <v>2581.810345</v>
      </c>
      <c r="T385" s="10">
        <f>Econ!I385</f>
        <v>232.8234766</v>
      </c>
    </row>
    <row r="386">
      <c r="A386" s="7" t="str">
        <f>Econ!A386&amp;if(Econ!B386&lt;10,"_0"&amp;Econ!B386,"_"&amp;Econ!B386)</f>
        <v>Pikeman_85</v>
      </c>
      <c r="B386" s="7" t="str">
        <f>"T"&amp;Econ!B386&amp;" "&amp;Econ!A386</f>
        <v>T85 Pikeman</v>
      </c>
      <c r="C386" s="8">
        <f>Econ!B386</f>
        <v>85</v>
      </c>
      <c r="D386" s="7"/>
      <c r="E386" s="9"/>
      <c r="F386" s="9"/>
      <c r="G386" s="10">
        <f>Econ!L386</f>
        <v>27309</v>
      </c>
      <c r="H386" s="11" t="str">
        <f>Econ!M386</f>
        <v/>
      </c>
      <c r="I386" s="11" t="str">
        <f>Econ!N386</f>
        <v/>
      </c>
      <c r="J386" s="12">
        <f>Econ!O386</f>
        <v>1182</v>
      </c>
      <c r="K386" s="13">
        <f>Econ!P386</f>
        <v>6827.25</v>
      </c>
      <c r="L386" s="14">
        <f>Econ!Q386</f>
        <v>0</v>
      </c>
      <c r="M386" s="14">
        <f>Econ!R386</f>
        <v>0</v>
      </c>
      <c r="N386" s="13">
        <f>Econ!S386</f>
        <v>295.5</v>
      </c>
      <c r="O386" s="13">
        <f>Econ!T386</f>
        <v>10</v>
      </c>
      <c r="P386" s="7" t="str">
        <f>Econ!A386</f>
        <v>Pikeman</v>
      </c>
      <c r="Q386" s="10">
        <f>Econ!C386</f>
        <v>18072.67241</v>
      </c>
      <c r="R386" s="10">
        <f>Econ!E386</f>
        <v>52.77332137</v>
      </c>
      <c r="S386" s="10">
        <f>Econ!G386</f>
        <v>2710.900862</v>
      </c>
      <c r="T386" s="10">
        <f>Econ!I386</f>
        <v>237.4799462</v>
      </c>
    </row>
    <row r="387">
      <c r="A387" s="7" t="str">
        <f>Econ!A387&amp;if(Econ!B387&lt;10,"_0"&amp;Econ!B387,"_"&amp;Econ!B387)</f>
        <v>Pikeman_86</v>
      </c>
      <c r="B387" s="7" t="str">
        <f>"T"&amp;Econ!B387&amp;" "&amp;Econ!A387</f>
        <v>T86 Pikeman</v>
      </c>
      <c r="C387" s="8">
        <f>Econ!B387</f>
        <v>86</v>
      </c>
      <c r="D387" s="7"/>
      <c r="E387" s="9"/>
      <c r="F387" s="9"/>
      <c r="G387" s="10">
        <f>Econ!L387</f>
        <v>27840</v>
      </c>
      <c r="H387" s="11" t="str">
        <f>Econ!M387</f>
        <v/>
      </c>
      <c r="I387" s="11" t="str">
        <f>Econ!N387</f>
        <v/>
      </c>
      <c r="J387" s="12">
        <f>Econ!O387</f>
        <v>1204</v>
      </c>
      <c r="K387" s="13">
        <f>Econ!P387</f>
        <v>6960</v>
      </c>
      <c r="L387" s="14">
        <f>Econ!Q387</f>
        <v>0</v>
      </c>
      <c r="M387" s="14">
        <f>Econ!R387</f>
        <v>0</v>
      </c>
      <c r="N387" s="13">
        <f>Econ!S387</f>
        <v>301</v>
      </c>
      <c r="O387" s="13">
        <f>Econ!T387</f>
        <v>10</v>
      </c>
      <c r="P387" s="7" t="str">
        <f>Econ!A387</f>
        <v>Pikeman</v>
      </c>
      <c r="Q387" s="10">
        <f>Econ!C387</f>
        <v>18976.30603</v>
      </c>
      <c r="R387" s="10">
        <f>Econ!E387</f>
        <v>53.82878779</v>
      </c>
      <c r="S387" s="10">
        <f>Econ!G387</f>
        <v>2846.445905</v>
      </c>
      <c r="T387" s="10">
        <f>Econ!I387</f>
        <v>242.2295451</v>
      </c>
    </row>
    <row r="388">
      <c r="A388" s="7" t="str">
        <f>Econ!A388&amp;if(Econ!B388&lt;10,"_0"&amp;Econ!B388,"_"&amp;Econ!B388)</f>
        <v>Pikeman_87</v>
      </c>
      <c r="B388" s="7" t="str">
        <f>"T"&amp;Econ!B388&amp;" "&amp;Econ!A388</f>
        <v>T87 Pikeman</v>
      </c>
      <c r="C388" s="8">
        <f>Econ!B388</f>
        <v>87</v>
      </c>
      <c r="D388" s="7"/>
      <c r="E388" s="9"/>
      <c r="F388" s="9"/>
      <c r="G388" s="10">
        <f>Econ!L388</f>
        <v>28375</v>
      </c>
      <c r="H388" s="11" t="str">
        <f>Econ!M388</f>
        <v/>
      </c>
      <c r="I388" s="11" t="str">
        <f>Econ!N388</f>
        <v/>
      </c>
      <c r="J388" s="12">
        <f>Econ!O388</f>
        <v>1226</v>
      </c>
      <c r="K388" s="13">
        <f>Econ!P388</f>
        <v>7093.75</v>
      </c>
      <c r="L388" s="14">
        <f>Econ!Q388</f>
        <v>0</v>
      </c>
      <c r="M388" s="14">
        <f>Econ!R388</f>
        <v>0</v>
      </c>
      <c r="N388" s="13">
        <f>Econ!S388</f>
        <v>306.5</v>
      </c>
      <c r="O388" s="13">
        <f>Econ!T388</f>
        <v>10</v>
      </c>
      <c r="P388" s="7" t="str">
        <f>Econ!A388</f>
        <v>Pikeman</v>
      </c>
      <c r="Q388" s="10">
        <f>Econ!C388</f>
        <v>19925.12134</v>
      </c>
      <c r="R388" s="10">
        <f>Econ!E388</f>
        <v>54.90536355</v>
      </c>
      <c r="S388" s="10">
        <f>Econ!G388</f>
        <v>2988.7682</v>
      </c>
      <c r="T388" s="10">
        <f>Econ!I388</f>
        <v>247.074136</v>
      </c>
    </row>
    <row r="389">
      <c r="A389" s="7" t="str">
        <f>Econ!A389&amp;if(Econ!B389&lt;10,"_0"&amp;Econ!B389,"_"&amp;Econ!B389)</f>
        <v>Pikeman_88</v>
      </c>
      <c r="B389" s="7" t="str">
        <f>"T"&amp;Econ!B389&amp;" "&amp;Econ!A389</f>
        <v>T88 Pikeman</v>
      </c>
      <c r="C389" s="8">
        <f>Econ!B389</f>
        <v>88</v>
      </c>
      <c r="D389" s="7"/>
      <c r="E389" s="9"/>
      <c r="F389" s="9"/>
      <c r="G389" s="10">
        <f>Econ!L389</f>
        <v>28915</v>
      </c>
      <c r="H389" s="11" t="str">
        <f>Econ!M389</f>
        <v/>
      </c>
      <c r="I389" s="11" t="str">
        <f>Econ!N389</f>
        <v/>
      </c>
      <c r="J389" s="12">
        <f>Econ!O389</f>
        <v>1249</v>
      </c>
      <c r="K389" s="13">
        <f>Econ!P389</f>
        <v>7228.75</v>
      </c>
      <c r="L389" s="14">
        <f>Econ!Q389</f>
        <v>0</v>
      </c>
      <c r="M389" s="14">
        <f>Econ!R389</f>
        <v>0</v>
      </c>
      <c r="N389" s="13">
        <f>Econ!S389</f>
        <v>312.25</v>
      </c>
      <c r="O389" s="13">
        <f>Econ!T389</f>
        <v>10</v>
      </c>
      <c r="P389" s="7" t="str">
        <f>Econ!A389</f>
        <v>Pikeman</v>
      </c>
      <c r="Q389" s="10">
        <f>Econ!C389</f>
        <v>20921.3774</v>
      </c>
      <c r="R389" s="10">
        <f>Econ!E389</f>
        <v>56.00347082</v>
      </c>
      <c r="S389" s="10">
        <f>Econ!G389</f>
        <v>3138.20661</v>
      </c>
      <c r="T389" s="10">
        <f>Econ!I389</f>
        <v>252.0156187</v>
      </c>
    </row>
    <row r="390">
      <c r="A390" s="7" t="str">
        <f>Econ!A390&amp;if(Econ!B390&lt;10,"_0"&amp;Econ!B390,"_"&amp;Econ!B390)</f>
        <v>Pikeman_89</v>
      </c>
      <c r="B390" s="7" t="str">
        <f>"T"&amp;Econ!B390&amp;" "&amp;Econ!A390</f>
        <v>T89 Pikeman</v>
      </c>
      <c r="C390" s="8">
        <f>Econ!B390</f>
        <v>89</v>
      </c>
      <c r="D390" s="7"/>
      <c r="E390" s="9"/>
      <c r="F390" s="9"/>
      <c r="G390" s="10">
        <f>Econ!L390</f>
        <v>29459</v>
      </c>
      <c r="H390" s="11" t="str">
        <f>Econ!M390</f>
        <v/>
      </c>
      <c r="I390" s="11" t="str">
        <f>Econ!N390</f>
        <v/>
      </c>
      <c r="J390" s="12">
        <f>Econ!O390</f>
        <v>1272</v>
      </c>
      <c r="K390" s="13">
        <f>Econ!P390</f>
        <v>7364.75</v>
      </c>
      <c r="L390" s="14">
        <f>Econ!Q390</f>
        <v>0</v>
      </c>
      <c r="M390" s="14">
        <f>Econ!R390</f>
        <v>0</v>
      </c>
      <c r="N390" s="13">
        <f>Econ!S390</f>
        <v>318</v>
      </c>
      <c r="O390" s="13">
        <f>Econ!T390</f>
        <v>10</v>
      </c>
      <c r="P390" s="7" t="str">
        <f>Econ!A390</f>
        <v>Pikeman</v>
      </c>
      <c r="Q390" s="10">
        <f>Econ!C390</f>
        <v>21967.44627</v>
      </c>
      <c r="R390" s="10">
        <f>Econ!E390</f>
        <v>57.12354024</v>
      </c>
      <c r="S390" s="10">
        <f>Econ!G390</f>
        <v>3295.116941</v>
      </c>
      <c r="T390" s="10">
        <f>Econ!I390</f>
        <v>257.0559311</v>
      </c>
    </row>
    <row r="391">
      <c r="A391" s="7" t="str">
        <f>Econ!A391&amp;if(Econ!B391&lt;10,"_0"&amp;Econ!B391,"_"&amp;Econ!B391)</f>
        <v>Pikeman_90</v>
      </c>
      <c r="B391" s="7" t="str">
        <f>"T"&amp;Econ!B391&amp;" "&amp;Econ!A391</f>
        <v>T90 Pikeman</v>
      </c>
      <c r="C391" s="8">
        <f>Econ!B391</f>
        <v>90</v>
      </c>
      <c r="D391" s="7"/>
      <c r="E391" s="9"/>
      <c r="F391" s="9"/>
      <c r="G391" s="10">
        <f>Econ!L391</f>
        <v>30007</v>
      </c>
      <c r="H391" s="11" t="str">
        <f>Econ!M391</f>
        <v/>
      </c>
      <c r="I391" s="11" t="str">
        <f>Econ!N391</f>
        <v/>
      </c>
      <c r="J391" s="12">
        <f>Econ!O391</f>
        <v>1295</v>
      </c>
      <c r="K391" s="13">
        <f>Econ!P391</f>
        <v>7501.75</v>
      </c>
      <c r="L391" s="14">
        <f>Econ!Q391</f>
        <v>0</v>
      </c>
      <c r="M391" s="14">
        <f>Econ!R391</f>
        <v>0</v>
      </c>
      <c r="N391" s="13">
        <f>Econ!S391</f>
        <v>323.75</v>
      </c>
      <c r="O391" s="13">
        <f>Econ!T391</f>
        <v>10</v>
      </c>
      <c r="P391" s="7" t="str">
        <f>Econ!A391</f>
        <v>Pikeman</v>
      </c>
      <c r="Q391" s="10">
        <f>Econ!C391</f>
        <v>23065.81859</v>
      </c>
      <c r="R391" s="10">
        <f>Econ!E391</f>
        <v>58.26601104</v>
      </c>
      <c r="S391" s="10">
        <f>Econ!G391</f>
        <v>3459.872788</v>
      </c>
      <c r="T391" s="10">
        <f>Econ!I391</f>
        <v>262.1970497</v>
      </c>
    </row>
    <row r="392">
      <c r="A392" s="7" t="str">
        <f>Econ!A392&amp;if(Econ!B392&lt;10,"_0"&amp;Econ!B392,"_"&amp;Econ!B392)</f>
        <v>Pikeman_91</v>
      </c>
      <c r="B392" s="7" t="str">
        <f>"T"&amp;Econ!B392&amp;" "&amp;Econ!A392</f>
        <v>T91 Pikeman</v>
      </c>
      <c r="C392" s="8">
        <f>Econ!B392</f>
        <v>91</v>
      </c>
      <c r="D392" s="7"/>
      <c r="E392" s="9"/>
      <c r="F392" s="9"/>
      <c r="G392" s="10">
        <f>Econ!L392</f>
        <v>30559</v>
      </c>
      <c r="H392" s="11" t="str">
        <f>Econ!M392</f>
        <v/>
      </c>
      <c r="I392" s="11" t="str">
        <f>Econ!N392</f>
        <v/>
      </c>
      <c r="J392" s="12">
        <f>Econ!O392</f>
        <v>1318</v>
      </c>
      <c r="K392" s="13">
        <f>Econ!P392</f>
        <v>7639.75</v>
      </c>
      <c r="L392" s="14">
        <f>Econ!Q392</f>
        <v>0</v>
      </c>
      <c r="M392" s="14">
        <f>Econ!R392</f>
        <v>0</v>
      </c>
      <c r="N392" s="13">
        <f>Econ!S392</f>
        <v>329.5</v>
      </c>
      <c r="O392" s="13">
        <f>Econ!T392</f>
        <v>10</v>
      </c>
      <c r="P392" s="7" t="str">
        <f>Econ!A392</f>
        <v>Pikeman</v>
      </c>
      <c r="Q392" s="10">
        <f>Econ!C392</f>
        <v>24219.10951</v>
      </c>
      <c r="R392" s="10">
        <f>Econ!E392</f>
        <v>59.43133126</v>
      </c>
      <c r="S392" s="10">
        <f>Econ!G392</f>
        <v>3632.866427</v>
      </c>
      <c r="T392" s="10">
        <f>Econ!I392</f>
        <v>267.4409907</v>
      </c>
    </row>
    <row r="393">
      <c r="A393" s="7" t="str">
        <f>Econ!A393&amp;if(Econ!B393&lt;10,"_0"&amp;Econ!B393,"_"&amp;Econ!B393)</f>
        <v>Pikeman_92</v>
      </c>
      <c r="B393" s="7" t="str">
        <f>"T"&amp;Econ!B393&amp;" "&amp;Econ!A393</f>
        <v>T92 Pikeman</v>
      </c>
      <c r="C393" s="8">
        <f>Econ!B393</f>
        <v>92</v>
      </c>
      <c r="D393" s="7"/>
      <c r="E393" s="9"/>
      <c r="F393" s="9"/>
      <c r="G393" s="10">
        <f>Econ!L393</f>
        <v>31116</v>
      </c>
      <c r="H393" s="11" t="str">
        <f>Econ!M393</f>
        <v/>
      </c>
      <c r="I393" s="11" t="str">
        <f>Econ!N393</f>
        <v/>
      </c>
      <c r="J393" s="12">
        <f>Econ!O393</f>
        <v>1341</v>
      </c>
      <c r="K393" s="13">
        <f>Econ!P393</f>
        <v>7779</v>
      </c>
      <c r="L393" s="14">
        <f>Econ!Q393</f>
        <v>0</v>
      </c>
      <c r="M393" s="14">
        <f>Econ!R393</f>
        <v>0</v>
      </c>
      <c r="N393" s="13">
        <f>Econ!S393</f>
        <v>335.25</v>
      </c>
      <c r="O393" s="13">
        <f>Econ!T393</f>
        <v>10</v>
      </c>
      <c r="P393" s="7" t="str">
        <f>Econ!A393</f>
        <v>Pikeman</v>
      </c>
      <c r="Q393" s="10">
        <f>Econ!C393</f>
        <v>25430.06499</v>
      </c>
      <c r="R393" s="10">
        <f>Econ!E393</f>
        <v>60.61995789</v>
      </c>
      <c r="S393" s="10">
        <f>Econ!G393</f>
        <v>3814.509749</v>
      </c>
      <c r="T393" s="10">
        <f>Econ!I393</f>
        <v>272.7898105</v>
      </c>
    </row>
    <row r="394">
      <c r="A394" s="7" t="str">
        <f>Econ!A394&amp;if(Econ!B394&lt;10,"_0"&amp;Econ!B394,"_"&amp;Econ!B394)</f>
        <v>Pikeman_93</v>
      </c>
      <c r="B394" s="7" t="str">
        <f>"T"&amp;Econ!B394&amp;" "&amp;Econ!A394</f>
        <v>T93 Pikeman</v>
      </c>
      <c r="C394" s="8">
        <f>Econ!B394</f>
        <v>93</v>
      </c>
      <c r="D394" s="7"/>
      <c r="E394" s="9"/>
      <c r="F394" s="9"/>
      <c r="G394" s="10">
        <f>Econ!L394</f>
        <v>31677</v>
      </c>
      <c r="H394" s="11" t="str">
        <f>Econ!M394</f>
        <v/>
      </c>
      <c r="I394" s="11" t="str">
        <f>Econ!N394</f>
        <v/>
      </c>
      <c r="J394" s="12">
        <f>Econ!O394</f>
        <v>1364</v>
      </c>
      <c r="K394" s="13">
        <f>Econ!P394</f>
        <v>7919.25</v>
      </c>
      <c r="L394" s="14">
        <f>Econ!Q394</f>
        <v>0</v>
      </c>
      <c r="M394" s="14">
        <f>Econ!R394</f>
        <v>0</v>
      </c>
      <c r="N394" s="13">
        <f>Econ!S394</f>
        <v>341</v>
      </c>
      <c r="O394" s="13">
        <f>Econ!T394</f>
        <v>10</v>
      </c>
      <c r="P394" s="7" t="str">
        <f>Econ!A394</f>
        <v>Pikeman</v>
      </c>
      <c r="Q394" s="10">
        <f>Econ!C394</f>
        <v>26701.56824</v>
      </c>
      <c r="R394" s="10">
        <f>Econ!E394</f>
        <v>61.83235705</v>
      </c>
      <c r="S394" s="10">
        <f>Econ!G394</f>
        <v>4005.235236</v>
      </c>
      <c r="T394" s="10">
        <f>Econ!I394</f>
        <v>278.2456067</v>
      </c>
    </row>
    <row r="395">
      <c r="A395" s="7" t="str">
        <f>Econ!A395&amp;if(Econ!B395&lt;10,"_0"&amp;Econ!B395,"_"&amp;Econ!B395)</f>
        <v>Pikeman_94</v>
      </c>
      <c r="B395" s="7" t="str">
        <f>"T"&amp;Econ!B395&amp;" "&amp;Econ!A395</f>
        <v>T94 Pikeman</v>
      </c>
      <c r="C395" s="8">
        <f>Econ!B395</f>
        <v>94</v>
      </c>
      <c r="D395" s="7"/>
      <c r="E395" s="9"/>
      <c r="F395" s="9"/>
      <c r="G395" s="10">
        <f>Econ!L395</f>
        <v>32242</v>
      </c>
      <c r="H395" s="11" t="str">
        <f>Econ!M395</f>
        <v/>
      </c>
      <c r="I395" s="11" t="str">
        <f>Econ!N395</f>
        <v/>
      </c>
      <c r="J395" s="12">
        <f>Econ!O395</f>
        <v>1388</v>
      </c>
      <c r="K395" s="13">
        <f>Econ!P395</f>
        <v>8060.5</v>
      </c>
      <c r="L395" s="14">
        <f>Econ!Q395</f>
        <v>0</v>
      </c>
      <c r="M395" s="14">
        <f>Econ!R395</f>
        <v>0</v>
      </c>
      <c r="N395" s="13">
        <f>Econ!S395</f>
        <v>347</v>
      </c>
      <c r="O395" s="13">
        <f>Econ!T395</f>
        <v>10</v>
      </c>
      <c r="P395" s="7" t="str">
        <f>Econ!A395</f>
        <v>Pikeman</v>
      </c>
      <c r="Q395" s="10">
        <f>Econ!C395</f>
        <v>28036.64665</v>
      </c>
      <c r="R395" s="10">
        <f>Econ!E395</f>
        <v>63.06900419</v>
      </c>
      <c r="S395" s="10">
        <f>Econ!G395</f>
        <v>4205.496998</v>
      </c>
      <c r="T395" s="10">
        <f>Econ!I395</f>
        <v>283.8105188</v>
      </c>
    </row>
    <row r="396">
      <c r="A396" s="7" t="str">
        <f>Econ!A396&amp;if(Econ!B396&lt;10,"_0"&amp;Econ!B396,"_"&amp;Econ!B396)</f>
        <v>Pikeman_95</v>
      </c>
      <c r="B396" s="7" t="str">
        <f>"T"&amp;Econ!B396&amp;" "&amp;Econ!A396</f>
        <v>T95 Pikeman</v>
      </c>
      <c r="C396" s="8">
        <f>Econ!B396</f>
        <v>95</v>
      </c>
      <c r="D396" s="7"/>
      <c r="E396" s="9"/>
      <c r="F396" s="9"/>
      <c r="G396" s="10">
        <f>Econ!L396</f>
        <v>32812</v>
      </c>
      <c r="H396" s="11" t="str">
        <f>Econ!M396</f>
        <v/>
      </c>
      <c r="I396" s="11" t="str">
        <f>Econ!N396</f>
        <v/>
      </c>
      <c r="J396" s="12">
        <f>Econ!O396</f>
        <v>1412</v>
      </c>
      <c r="K396" s="13">
        <f>Econ!P396</f>
        <v>8203</v>
      </c>
      <c r="L396" s="14">
        <f>Econ!Q396</f>
        <v>0</v>
      </c>
      <c r="M396" s="14">
        <f>Econ!R396</f>
        <v>0</v>
      </c>
      <c r="N396" s="13">
        <f>Econ!S396</f>
        <v>353</v>
      </c>
      <c r="O396" s="13">
        <f>Econ!T396</f>
        <v>11</v>
      </c>
      <c r="P396" s="7" t="str">
        <f>Econ!A396</f>
        <v>Pikeman</v>
      </c>
      <c r="Q396" s="10">
        <f>Econ!C396</f>
        <v>29438.47898</v>
      </c>
      <c r="R396" s="10">
        <f>Econ!E396</f>
        <v>64.33038427</v>
      </c>
      <c r="S396" s="10">
        <f>Econ!G396</f>
        <v>4415.771848</v>
      </c>
      <c r="T396" s="10">
        <f>Econ!I396</f>
        <v>289.4867292</v>
      </c>
    </row>
    <row r="397">
      <c r="A397" s="7" t="str">
        <f>Econ!A397&amp;if(Econ!B397&lt;10,"_0"&amp;Econ!B397,"_"&amp;Econ!B397)</f>
        <v>Pikeman_96</v>
      </c>
      <c r="B397" s="7" t="str">
        <f>"T"&amp;Econ!B397&amp;" "&amp;Econ!A397</f>
        <v>T96 Pikeman</v>
      </c>
      <c r="C397" s="8">
        <f>Econ!B397</f>
        <v>96</v>
      </c>
      <c r="D397" s="7"/>
      <c r="E397" s="9"/>
      <c r="F397" s="9"/>
      <c r="G397" s="10">
        <f>Econ!L397</f>
        <v>33386</v>
      </c>
      <c r="H397" s="11" t="str">
        <f>Econ!M397</f>
        <v/>
      </c>
      <c r="I397" s="11" t="str">
        <f>Econ!N397</f>
        <v/>
      </c>
      <c r="J397" s="12">
        <f>Econ!O397</f>
        <v>1436</v>
      </c>
      <c r="K397" s="13">
        <f>Econ!P397</f>
        <v>8346.5</v>
      </c>
      <c r="L397" s="14">
        <f>Econ!Q397</f>
        <v>0</v>
      </c>
      <c r="M397" s="14">
        <f>Econ!R397</f>
        <v>0</v>
      </c>
      <c r="N397" s="13">
        <f>Econ!S397</f>
        <v>359</v>
      </c>
      <c r="O397" s="13">
        <f>Econ!T397</f>
        <v>11</v>
      </c>
      <c r="P397" s="7" t="str">
        <f>Econ!A397</f>
        <v>Pikeman</v>
      </c>
      <c r="Q397" s="10">
        <f>Econ!C397</f>
        <v>30910.40293</v>
      </c>
      <c r="R397" s="10">
        <f>Econ!E397</f>
        <v>65.61699196</v>
      </c>
      <c r="S397" s="10">
        <f>Econ!G397</f>
        <v>4636.56044</v>
      </c>
      <c r="T397" s="10">
        <f>Econ!I397</f>
        <v>295.2764638</v>
      </c>
    </row>
    <row r="398">
      <c r="A398" s="7" t="str">
        <f>Econ!A398&amp;if(Econ!B398&lt;10,"_0"&amp;Econ!B398,"_"&amp;Econ!B398)</f>
        <v>Pikeman_97</v>
      </c>
      <c r="B398" s="7" t="str">
        <f>"T"&amp;Econ!B398&amp;" "&amp;Econ!A398</f>
        <v>T97 Pikeman</v>
      </c>
      <c r="C398" s="8">
        <f>Econ!B398</f>
        <v>97</v>
      </c>
      <c r="D398" s="7"/>
      <c r="E398" s="9"/>
      <c r="F398" s="9"/>
      <c r="G398" s="10">
        <f>Econ!L398</f>
        <v>33964</v>
      </c>
      <c r="H398" s="11" t="str">
        <f>Econ!M398</f>
        <v/>
      </c>
      <c r="I398" s="11" t="str">
        <f>Econ!N398</f>
        <v/>
      </c>
      <c r="J398" s="12">
        <f>Econ!O398</f>
        <v>1460</v>
      </c>
      <c r="K398" s="13">
        <f>Econ!P398</f>
        <v>8491</v>
      </c>
      <c r="L398" s="14">
        <f>Econ!Q398</f>
        <v>0</v>
      </c>
      <c r="M398" s="14">
        <f>Econ!R398</f>
        <v>0</v>
      </c>
      <c r="N398" s="13">
        <f>Econ!S398</f>
        <v>365</v>
      </c>
      <c r="O398" s="13">
        <f>Econ!T398</f>
        <v>11</v>
      </c>
      <c r="P398" s="7" t="str">
        <f>Econ!A398</f>
        <v>Pikeman</v>
      </c>
      <c r="Q398" s="10">
        <f>Econ!C398</f>
        <v>32455.92308</v>
      </c>
      <c r="R398" s="10">
        <f>Econ!E398</f>
        <v>66.9293318</v>
      </c>
      <c r="S398" s="10">
        <f>Econ!G398</f>
        <v>4868.388462</v>
      </c>
      <c r="T398" s="10">
        <f>Econ!I398</f>
        <v>301.1819931</v>
      </c>
    </row>
    <row r="399">
      <c r="A399" s="7" t="str">
        <f>Econ!A399&amp;if(Econ!B399&lt;10,"_0"&amp;Econ!B399,"_"&amp;Econ!B399)</f>
        <v>Pikeman_98</v>
      </c>
      <c r="B399" s="7" t="str">
        <f>"T"&amp;Econ!B399&amp;" "&amp;Econ!A399</f>
        <v>T98 Pikeman</v>
      </c>
      <c r="C399" s="8">
        <f>Econ!B399</f>
        <v>98</v>
      </c>
      <c r="D399" s="7"/>
      <c r="E399" s="9"/>
      <c r="F399" s="9"/>
      <c r="G399" s="10">
        <f>Econ!L399</f>
        <v>34546</v>
      </c>
      <c r="H399" s="11" t="str">
        <f>Econ!M399</f>
        <v/>
      </c>
      <c r="I399" s="11" t="str">
        <f>Econ!N399</f>
        <v/>
      </c>
      <c r="J399" s="12">
        <f>Econ!O399</f>
        <v>1484</v>
      </c>
      <c r="K399" s="13">
        <f>Econ!P399</f>
        <v>8636.5</v>
      </c>
      <c r="L399" s="14">
        <f>Econ!Q399</f>
        <v>0</v>
      </c>
      <c r="M399" s="14">
        <f>Econ!R399</f>
        <v>0</v>
      </c>
      <c r="N399" s="13">
        <f>Econ!S399</f>
        <v>371</v>
      </c>
      <c r="O399" s="13">
        <f>Econ!T399</f>
        <v>11</v>
      </c>
      <c r="P399" s="7" t="str">
        <f>Econ!A399</f>
        <v>Pikeman</v>
      </c>
      <c r="Q399" s="10">
        <f>Econ!C399</f>
        <v>34078.71923</v>
      </c>
      <c r="R399" s="10">
        <f>Econ!E399</f>
        <v>68.26791843</v>
      </c>
      <c r="S399" s="10">
        <f>Econ!G399</f>
        <v>5111.807885</v>
      </c>
      <c r="T399" s="10">
        <f>Econ!I399</f>
        <v>307.2056329</v>
      </c>
    </row>
    <row r="400">
      <c r="A400" s="7" t="str">
        <f>Econ!A400&amp;if(Econ!B400&lt;10,"_0"&amp;Econ!B400,"_"&amp;Econ!B400)</f>
        <v>Pikeman_99</v>
      </c>
      <c r="B400" s="7" t="str">
        <f>"T"&amp;Econ!B400&amp;" "&amp;Econ!A400</f>
        <v>T99 Pikeman</v>
      </c>
      <c r="C400" s="8">
        <f>Econ!B400</f>
        <v>99</v>
      </c>
      <c r="D400" s="7"/>
      <c r="E400" s="9"/>
      <c r="F400" s="9"/>
      <c r="G400" s="10">
        <f>Econ!L400</f>
        <v>35132</v>
      </c>
      <c r="H400" s="11" t="str">
        <f>Econ!M400</f>
        <v/>
      </c>
      <c r="I400" s="11" t="str">
        <f>Econ!N400</f>
        <v/>
      </c>
      <c r="J400" s="12">
        <f>Econ!O400</f>
        <v>1508</v>
      </c>
      <c r="K400" s="13">
        <f>Econ!P400</f>
        <v>8783</v>
      </c>
      <c r="L400" s="14">
        <f>Econ!Q400</f>
        <v>0</v>
      </c>
      <c r="M400" s="14">
        <f>Econ!R400</f>
        <v>0</v>
      </c>
      <c r="N400" s="13">
        <f>Econ!S400</f>
        <v>377</v>
      </c>
      <c r="O400" s="13">
        <f>Econ!T400</f>
        <v>11</v>
      </c>
      <c r="P400" s="7" t="str">
        <f>Econ!A400</f>
        <v>Pikeman</v>
      </c>
      <c r="Q400" s="10">
        <f>Econ!C400</f>
        <v>35782.6552</v>
      </c>
      <c r="R400" s="10">
        <f>Econ!E400</f>
        <v>69.6332768</v>
      </c>
      <c r="S400" s="10">
        <f>Econ!G400</f>
        <v>5367.398279</v>
      </c>
      <c r="T400" s="10">
        <f>Econ!I400</f>
        <v>313.3497456</v>
      </c>
    </row>
    <row r="401">
      <c r="A401" s="7" t="str">
        <f>Econ!A401&amp;if(Econ!B401&lt;10,"_0"&amp;Econ!B401,"_"&amp;Econ!B401)</f>
        <v>Pikeman_100</v>
      </c>
      <c r="B401" s="7" t="str">
        <f>"T"&amp;Econ!B401&amp;" "&amp;Econ!A401</f>
        <v>T100 Pikeman</v>
      </c>
      <c r="C401" s="8">
        <f>Econ!B401</f>
        <v>100</v>
      </c>
      <c r="D401" s="7"/>
      <c r="E401" s="9"/>
      <c r="F401" s="9"/>
      <c r="G401" s="10">
        <f>Econ!L401</f>
        <v>35723</v>
      </c>
      <c r="H401" s="11">
        <f>Econ!M401</f>
        <v>3572.3</v>
      </c>
      <c r="I401" s="11" t="str">
        <f>Econ!N401</f>
        <v/>
      </c>
      <c r="J401" s="12">
        <f>Econ!O401</f>
        <v>1533</v>
      </c>
      <c r="K401" s="13">
        <f>Econ!P401</f>
        <v>8930.75</v>
      </c>
      <c r="L401" s="14">
        <f>Econ!Q401</f>
        <v>893.075</v>
      </c>
      <c r="M401" s="14">
        <f>Econ!R401</f>
        <v>0</v>
      </c>
      <c r="N401" s="13">
        <f>Econ!S401</f>
        <v>383.25</v>
      </c>
      <c r="O401" s="13">
        <f>Econ!T401</f>
        <v>11</v>
      </c>
      <c r="P401" s="7" t="str">
        <f>Econ!A401</f>
        <v>Pikeman</v>
      </c>
      <c r="Q401" s="10">
        <f>Econ!C401</f>
        <v>37571.78796</v>
      </c>
      <c r="R401" s="10">
        <f>Econ!E401</f>
        <v>71.02594234</v>
      </c>
      <c r="S401" s="10">
        <f>Econ!G401</f>
        <v>5635.768193</v>
      </c>
      <c r="T401" s="10">
        <f>Econ!I401</f>
        <v>319.6167405</v>
      </c>
    </row>
    <row r="402">
      <c r="A402" s="7" t="str">
        <f>Econ!A402&amp;if(Econ!B402&lt;10,"_0"&amp;Econ!B402,"_"&amp;Econ!B402)</f>
        <v>Pikeman_101</v>
      </c>
      <c r="B402" s="7" t="str">
        <f>"T"&amp;Econ!B402&amp;" "&amp;Econ!A402</f>
        <v>T101 Pikeman</v>
      </c>
      <c r="C402" s="8">
        <f>Econ!B402</f>
        <v>101</v>
      </c>
      <c r="D402" s="7"/>
      <c r="E402" s="9"/>
      <c r="F402" s="9"/>
      <c r="G402" s="10">
        <f>Econ!L402</f>
        <v>36318</v>
      </c>
      <c r="H402" s="11">
        <f>Econ!M402</f>
        <v>3621</v>
      </c>
      <c r="I402" s="11" t="str">
        <f>Econ!N402</f>
        <v/>
      </c>
      <c r="J402" s="12">
        <f>Econ!O402</f>
        <v>1558</v>
      </c>
      <c r="K402" s="13">
        <f>Econ!P402</f>
        <v>9079.5</v>
      </c>
      <c r="L402" s="14">
        <f>Econ!Q402</f>
        <v>905.25</v>
      </c>
      <c r="M402" s="14">
        <f>Econ!R402</f>
        <v>0</v>
      </c>
      <c r="N402" s="13">
        <f>Econ!S402</f>
        <v>389.5</v>
      </c>
      <c r="O402" s="13">
        <f>Econ!T402</f>
        <v>11</v>
      </c>
      <c r="P402" s="7" t="str">
        <f>Econ!A402</f>
        <v>Pikeman</v>
      </c>
      <c r="Q402" s="10">
        <f>Econ!C402</f>
        <v>39450.37735</v>
      </c>
      <c r="R402" s="10">
        <f>Econ!E402</f>
        <v>72.44646118</v>
      </c>
      <c r="S402" s="10">
        <f>Econ!G402</f>
        <v>5917.556603</v>
      </c>
      <c r="T402" s="10">
        <f>Econ!I402</f>
        <v>326.0090753</v>
      </c>
    </row>
    <row r="403">
      <c r="A403" s="7" t="str">
        <f>Econ!A403&amp;if(Econ!B403&lt;10,"_0"&amp;Econ!B403,"_"&amp;Econ!B403)</f>
        <v>Pikeman_102</v>
      </c>
      <c r="B403" s="7" t="str">
        <f>"T"&amp;Econ!B403&amp;" "&amp;Econ!A403</f>
        <v>T102 Pikeman</v>
      </c>
      <c r="C403" s="8">
        <f>Econ!B403</f>
        <v>102</v>
      </c>
      <c r="D403" s="7"/>
      <c r="E403" s="9"/>
      <c r="F403" s="9"/>
      <c r="G403" s="10">
        <f>Econ!L403</f>
        <v>36917</v>
      </c>
      <c r="H403" s="11">
        <f>Econ!M403</f>
        <v>3670</v>
      </c>
      <c r="I403" s="11" t="str">
        <f>Econ!N403</f>
        <v/>
      </c>
      <c r="J403" s="12">
        <f>Econ!O403</f>
        <v>1583</v>
      </c>
      <c r="K403" s="13">
        <f>Econ!P403</f>
        <v>9229.25</v>
      </c>
      <c r="L403" s="14">
        <f>Econ!Q403</f>
        <v>917.5</v>
      </c>
      <c r="M403" s="14">
        <f>Econ!R403</f>
        <v>0</v>
      </c>
      <c r="N403" s="13">
        <f>Econ!S403</f>
        <v>395.75</v>
      </c>
      <c r="O403" s="13">
        <f>Econ!T403</f>
        <v>11</v>
      </c>
      <c r="P403" s="7" t="str">
        <f>Econ!A403</f>
        <v>Pikeman</v>
      </c>
      <c r="Q403" s="10">
        <f>Econ!C403</f>
        <v>41422.89622</v>
      </c>
      <c r="R403" s="10">
        <f>Econ!E403</f>
        <v>73.89539041</v>
      </c>
      <c r="S403" s="10">
        <f>Econ!G403</f>
        <v>6213.434433</v>
      </c>
      <c r="T403" s="10">
        <f>Econ!I403</f>
        <v>332.5292568</v>
      </c>
    </row>
    <row r="404">
      <c r="A404" s="7" t="str">
        <f>Econ!A404&amp;if(Econ!B404&lt;10,"_0"&amp;Econ!B404,"_"&amp;Econ!B404)</f>
        <v>Pikeman_103</v>
      </c>
      <c r="B404" s="7" t="str">
        <f>"T"&amp;Econ!B404&amp;" "&amp;Econ!A404</f>
        <v>T103 Pikeman</v>
      </c>
      <c r="C404" s="8">
        <f>Econ!B404</f>
        <v>103</v>
      </c>
      <c r="D404" s="7"/>
      <c r="E404" s="9"/>
      <c r="F404" s="9"/>
      <c r="G404" s="10">
        <f>Econ!L404</f>
        <v>37520</v>
      </c>
      <c r="H404" s="11">
        <f>Econ!M404</f>
        <v>3719</v>
      </c>
      <c r="I404" s="11" t="str">
        <f>Econ!N404</f>
        <v/>
      </c>
      <c r="J404" s="12">
        <f>Econ!O404</f>
        <v>1608</v>
      </c>
      <c r="K404" s="13">
        <f>Econ!P404</f>
        <v>9380</v>
      </c>
      <c r="L404" s="14">
        <f>Econ!Q404</f>
        <v>929.75</v>
      </c>
      <c r="M404" s="14">
        <f>Econ!R404</f>
        <v>0</v>
      </c>
      <c r="N404" s="13">
        <f>Econ!S404</f>
        <v>402</v>
      </c>
      <c r="O404" s="13">
        <f>Econ!T404</f>
        <v>11</v>
      </c>
      <c r="P404" s="7" t="str">
        <f>Econ!A404</f>
        <v>Pikeman</v>
      </c>
      <c r="Q404" s="10">
        <f>Econ!C404</f>
        <v>43494.04103</v>
      </c>
      <c r="R404" s="10">
        <f>Econ!E404</f>
        <v>75.37329821</v>
      </c>
      <c r="S404" s="10">
        <f>Econ!G404</f>
        <v>6524.106155</v>
      </c>
      <c r="T404" s="10">
        <f>Econ!I404</f>
        <v>339.179842</v>
      </c>
    </row>
    <row r="405">
      <c r="A405" s="7" t="str">
        <f>Econ!A405&amp;if(Econ!B405&lt;10,"_0"&amp;Econ!B405,"_"&amp;Econ!B405)</f>
        <v>Pikeman_104</v>
      </c>
      <c r="B405" s="7" t="str">
        <f>"T"&amp;Econ!B405&amp;" "&amp;Econ!A405</f>
        <v>T104 Pikeman</v>
      </c>
      <c r="C405" s="8">
        <f>Econ!B405</f>
        <v>104</v>
      </c>
      <c r="D405" s="7"/>
      <c r="E405" s="9"/>
      <c r="F405" s="9"/>
      <c r="G405" s="10">
        <f>Econ!L405</f>
        <v>38127</v>
      </c>
      <c r="H405" s="11">
        <f>Econ!M405</f>
        <v>3768</v>
      </c>
      <c r="I405" s="11" t="str">
        <f>Econ!N405</f>
        <v/>
      </c>
      <c r="J405" s="12">
        <f>Econ!O405</f>
        <v>1633</v>
      </c>
      <c r="K405" s="13">
        <f>Econ!P405</f>
        <v>9531.75</v>
      </c>
      <c r="L405" s="14">
        <f>Econ!Q405</f>
        <v>942</v>
      </c>
      <c r="M405" s="14">
        <f>Econ!R405</f>
        <v>0</v>
      </c>
      <c r="N405" s="13">
        <f>Econ!S405</f>
        <v>408.25</v>
      </c>
      <c r="O405" s="13">
        <f>Econ!T405</f>
        <v>11</v>
      </c>
      <c r="P405" s="7" t="str">
        <f>Econ!A405</f>
        <v>Pikeman</v>
      </c>
      <c r="Q405" s="10">
        <f>Econ!C405</f>
        <v>45668.74308</v>
      </c>
      <c r="R405" s="10">
        <f>Econ!E405</f>
        <v>76.88076418</v>
      </c>
      <c r="S405" s="10">
        <f>Econ!G405</f>
        <v>6850.311463</v>
      </c>
      <c r="T405" s="10">
        <f>Econ!I405</f>
        <v>345.9634388</v>
      </c>
    </row>
    <row r="406">
      <c r="A406" s="7" t="str">
        <f>Econ!A406&amp;if(Econ!B406&lt;10,"_0"&amp;Econ!B406,"_"&amp;Econ!B406)</f>
        <v>Pikeman_105</v>
      </c>
      <c r="B406" s="7" t="str">
        <f>"T"&amp;Econ!B406&amp;" "&amp;Econ!A406</f>
        <v>T105 Pikeman</v>
      </c>
      <c r="C406" s="8">
        <f>Econ!B406</f>
        <v>105</v>
      </c>
      <c r="D406" s="7"/>
      <c r="E406" s="9"/>
      <c r="F406" s="9"/>
      <c r="G406" s="10">
        <f>Econ!L406</f>
        <v>38738</v>
      </c>
      <c r="H406" s="11">
        <f>Econ!M406</f>
        <v>3818</v>
      </c>
      <c r="I406" s="11" t="str">
        <f>Econ!N406</f>
        <v/>
      </c>
      <c r="J406" s="12">
        <f>Econ!O406</f>
        <v>1658</v>
      </c>
      <c r="K406" s="13">
        <f>Econ!P406</f>
        <v>9684.5</v>
      </c>
      <c r="L406" s="14">
        <f>Econ!Q406</f>
        <v>954.5</v>
      </c>
      <c r="M406" s="14">
        <f>Econ!R406</f>
        <v>0</v>
      </c>
      <c r="N406" s="13">
        <f>Econ!S406</f>
        <v>414.5</v>
      </c>
      <c r="O406" s="13">
        <f>Econ!T406</f>
        <v>12</v>
      </c>
      <c r="P406" s="7" t="str">
        <f>Econ!A406</f>
        <v>Pikeman</v>
      </c>
      <c r="Q406" s="10">
        <f>Econ!C406</f>
        <v>47952.18024</v>
      </c>
      <c r="R406" s="10">
        <f>Econ!E406</f>
        <v>78.41837946</v>
      </c>
      <c r="S406" s="10">
        <f>Econ!G406</f>
        <v>7192.827036</v>
      </c>
      <c r="T406" s="10">
        <f>Econ!I406</f>
        <v>352.8827076</v>
      </c>
    </row>
    <row r="407">
      <c r="A407" s="7" t="str">
        <f>Econ!A407&amp;if(Econ!B407&lt;10,"_0"&amp;Econ!B407,"_"&amp;Econ!B407)</f>
        <v>Pikeman_106</v>
      </c>
      <c r="B407" s="7" t="str">
        <f>"T"&amp;Econ!B407&amp;" "&amp;Econ!A407</f>
        <v>T106 Pikeman</v>
      </c>
      <c r="C407" s="8">
        <f>Econ!B407</f>
        <v>106</v>
      </c>
      <c r="D407" s="7"/>
      <c r="E407" s="9"/>
      <c r="F407" s="9"/>
      <c r="G407" s="10">
        <f>Econ!L407</f>
        <v>39353</v>
      </c>
      <c r="H407" s="11">
        <f>Econ!M407</f>
        <v>3868</v>
      </c>
      <c r="I407" s="11" t="str">
        <f>Econ!N407</f>
        <v/>
      </c>
      <c r="J407" s="12">
        <f>Econ!O407</f>
        <v>1684</v>
      </c>
      <c r="K407" s="13">
        <f>Econ!P407</f>
        <v>9838.25</v>
      </c>
      <c r="L407" s="14">
        <f>Econ!Q407</f>
        <v>967</v>
      </c>
      <c r="M407" s="14">
        <f>Econ!R407</f>
        <v>0</v>
      </c>
      <c r="N407" s="13">
        <f>Econ!S407</f>
        <v>421</v>
      </c>
      <c r="O407" s="13">
        <f>Econ!T407</f>
        <v>12</v>
      </c>
      <c r="P407" s="7" t="str">
        <f>Econ!A407</f>
        <v>Pikeman</v>
      </c>
      <c r="Q407" s="10">
        <f>Econ!C407</f>
        <v>50349.78925</v>
      </c>
      <c r="R407" s="10">
        <f>Econ!E407</f>
        <v>79.98674705</v>
      </c>
      <c r="S407" s="10">
        <f>Econ!G407</f>
        <v>7552.468388</v>
      </c>
      <c r="T407" s="10">
        <f>Econ!I407</f>
        <v>359.9403617</v>
      </c>
    </row>
    <row r="408">
      <c r="A408" s="7" t="str">
        <f>Econ!A408&amp;if(Econ!B408&lt;10,"_0"&amp;Econ!B408,"_"&amp;Econ!B408)</f>
        <v>Pikeman_107</v>
      </c>
      <c r="B408" s="7" t="str">
        <f>"T"&amp;Econ!B408&amp;" "&amp;Econ!A408</f>
        <v>T107 Pikeman</v>
      </c>
      <c r="C408" s="8">
        <f>Econ!B408</f>
        <v>107</v>
      </c>
      <c r="D408" s="7"/>
      <c r="E408" s="9"/>
      <c r="F408" s="9"/>
      <c r="G408" s="10">
        <f>Econ!L408</f>
        <v>39972</v>
      </c>
      <c r="H408" s="11">
        <f>Econ!M408</f>
        <v>3918</v>
      </c>
      <c r="I408" s="11" t="str">
        <f>Econ!N408</f>
        <v/>
      </c>
      <c r="J408" s="12">
        <f>Econ!O408</f>
        <v>1710</v>
      </c>
      <c r="K408" s="13">
        <f>Econ!P408</f>
        <v>9993</v>
      </c>
      <c r="L408" s="14">
        <f>Econ!Q408</f>
        <v>979.5</v>
      </c>
      <c r="M408" s="14">
        <f>Econ!R408</f>
        <v>0</v>
      </c>
      <c r="N408" s="13">
        <f>Econ!S408</f>
        <v>427.5</v>
      </c>
      <c r="O408" s="13">
        <f>Econ!T408</f>
        <v>12</v>
      </c>
      <c r="P408" s="7" t="str">
        <f>Econ!A408</f>
        <v>Pikeman</v>
      </c>
      <c r="Q408" s="10">
        <f>Econ!C408</f>
        <v>52867.27871</v>
      </c>
      <c r="R408" s="10">
        <f>Econ!E408</f>
        <v>81.58648199</v>
      </c>
      <c r="S408" s="10">
        <f>Econ!G408</f>
        <v>7930.091807</v>
      </c>
      <c r="T408" s="10">
        <f>Econ!I408</f>
        <v>367.139169</v>
      </c>
    </row>
    <row r="409">
      <c r="A409" s="7" t="str">
        <f>Econ!A409&amp;if(Econ!B409&lt;10,"_0"&amp;Econ!B409,"_"&amp;Econ!B409)</f>
        <v>Pikeman_108</v>
      </c>
      <c r="B409" s="7" t="str">
        <f>"T"&amp;Econ!B409&amp;" "&amp;Econ!A409</f>
        <v>T108 Pikeman</v>
      </c>
      <c r="C409" s="8">
        <f>Econ!B409</f>
        <v>108</v>
      </c>
      <c r="D409" s="7"/>
      <c r="E409" s="9"/>
      <c r="F409" s="9"/>
      <c r="G409" s="10">
        <f>Econ!L409</f>
        <v>40595</v>
      </c>
      <c r="H409" s="11">
        <f>Econ!M409</f>
        <v>3969</v>
      </c>
      <c r="I409" s="11" t="str">
        <f>Econ!N409</f>
        <v/>
      </c>
      <c r="J409" s="12">
        <f>Econ!O409</f>
        <v>1736</v>
      </c>
      <c r="K409" s="13">
        <f>Econ!P409</f>
        <v>10148.75</v>
      </c>
      <c r="L409" s="14">
        <f>Econ!Q409</f>
        <v>992.25</v>
      </c>
      <c r="M409" s="14">
        <f>Econ!R409</f>
        <v>0</v>
      </c>
      <c r="N409" s="13">
        <f>Econ!S409</f>
        <v>434</v>
      </c>
      <c r="O409" s="13">
        <f>Econ!T409</f>
        <v>12</v>
      </c>
      <c r="P409" s="7" t="str">
        <f>Econ!A409</f>
        <v>Pikeman</v>
      </c>
      <c r="Q409" s="10">
        <f>Econ!C409</f>
        <v>55510.64265</v>
      </c>
      <c r="R409" s="10">
        <f>Econ!E409</f>
        <v>83.21821163</v>
      </c>
      <c r="S409" s="10">
        <f>Econ!G409</f>
        <v>8326.596397</v>
      </c>
      <c r="T409" s="10">
        <f>Econ!I409</f>
        <v>374.4819523</v>
      </c>
    </row>
    <row r="410">
      <c r="A410" s="7" t="str">
        <f>Econ!A410&amp;if(Econ!B410&lt;10,"_0"&amp;Econ!B410,"_"&amp;Econ!B410)</f>
        <v>Pikeman_109</v>
      </c>
      <c r="B410" s="7" t="str">
        <f>"T"&amp;Econ!B410&amp;" "&amp;Econ!A410</f>
        <v>T109 Pikeman</v>
      </c>
      <c r="C410" s="8">
        <f>Econ!B410</f>
        <v>109</v>
      </c>
      <c r="D410" s="7"/>
      <c r="E410" s="9"/>
      <c r="F410" s="9"/>
      <c r="G410" s="10">
        <f>Econ!L410</f>
        <v>41223</v>
      </c>
      <c r="H410" s="11">
        <f>Econ!M410</f>
        <v>4020</v>
      </c>
      <c r="I410" s="11" t="str">
        <f>Econ!N410</f>
        <v/>
      </c>
      <c r="J410" s="12">
        <f>Econ!O410</f>
        <v>1762</v>
      </c>
      <c r="K410" s="13">
        <f>Econ!P410</f>
        <v>10305.75</v>
      </c>
      <c r="L410" s="14">
        <f>Econ!Q410</f>
        <v>1005</v>
      </c>
      <c r="M410" s="14">
        <f>Econ!R410</f>
        <v>0</v>
      </c>
      <c r="N410" s="13">
        <f>Econ!S410</f>
        <v>440.5</v>
      </c>
      <c r="O410" s="13">
        <f>Econ!T410</f>
        <v>12</v>
      </c>
      <c r="P410" s="7" t="str">
        <f>Econ!A410</f>
        <v>Pikeman</v>
      </c>
      <c r="Q410" s="10">
        <f>Econ!C410</f>
        <v>58286.17478</v>
      </c>
      <c r="R410" s="10">
        <f>Econ!E410</f>
        <v>84.88257586</v>
      </c>
      <c r="S410" s="10">
        <f>Econ!G410</f>
        <v>8742.926217</v>
      </c>
      <c r="T410" s="10">
        <f>Econ!I410</f>
        <v>381.9715914</v>
      </c>
    </row>
    <row r="411">
      <c r="A411" s="7" t="str">
        <f>Econ!A411&amp;if(Econ!B411&lt;10,"_0"&amp;Econ!B411,"_"&amp;Econ!B411)</f>
        <v>Pikeman_110</v>
      </c>
      <c r="B411" s="7" t="str">
        <f>"T"&amp;Econ!B411&amp;" "&amp;Econ!A411</f>
        <v>T110 Pikeman</v>
      </c>
      <c r="C411" s="8">
        <f>Econ!B411</f>
        <v>110</v>
      </c>
      <c r="D411" s="7"/>
      <c r="E411" s="9"/>
      <c r="F411" s="9"/>
      <c r="G411" s="10">
        <f>Econ!L411</f>
        <v>41855</v>
      </c>
      <c r="H411" s="11">
        <f>Econ!M411</f>
        <v>4071</v>
      </c>
      <c r="I411" s="11" t="str">
        <f>Econ!N411</f>
        <v/>
      </c>
      <c r="J411" s="12">
        <f>Econ!O411</f>
        <v>1788</v>
      </c>
      <c r="K411" s="13">
        <f>Econ!P411</f>
        <v>10463.75</v>
      </c>
      <c r="L411" s="14">
        <f>Econ!Q411</f>
        <v>1017.75</v>
      </c>
      <c r="M411" s="14">
        <f>Econ!R411</f>
        <v>0</v>
      </c>
      <c r="N411" s="13">
        <f>Econ!S411</f>
        <v>447</v>
      </c>
      <c r="O411" s="13">
        <f>Econ!T411</f>
        <v>12</v>
      </c>
      <c r="P411" s="7" t="str">
        <f>Econ!A411</f>
        <v>Pikeman</v>
      </c>
      <c r="Q411" s="10">
        <f>Econ!C411</f>
        <v>61200.48352</v>
      </c>
      <c r="R411" s="10">
        <f>Econ!E411</f>
        <v>86.58022738</v>
      </c>
      <c r="S411" s="10">
        <f>Econ!G411</f>
        <v>9180.072528</v>
      </c>
      <c r="T411" s="10">
        <f>Econ!I411</f>
        <v>389.6110232</v>
      </c>
    </row>
    <row r="412">
      <c r="A412" s="7" t="str">
        <f>Econ!A412&amp;if(Econ!B412&lt;10,"_0"&amp;Econ!B412,"_"&amp;Econ!B412)</f>
        <v>Pikeman_111</v>
      </c>
      <c r="B412" s="7" t="str">
        <f>"T"&amp;Econ!B412&amp;" "&amp;Econ!A412</f>
        <v>T111 Pikeman</v>
      </c>
      <c r="C412" s="8">
        <f>Econ!B412</f>
        <v>111</v>
      </c>
      <c r="D412" s="7"/>
      <c r="E412" s="9"/>
      <c r="F412" s="9"/>
      <c r="G412" s="10">
        <f>Econ!L412</f>
        <v>42491</v>
      </c>
      <c r="H412" s="11">
        <f>Econ!M412</f>
        <v>4123</v>
      </c>
      <c r="I412" s="11" t="str">
        <f>Econ!N412</f>
        <v/>
      </c>
      <c r="J412" s="12">
        <f>Econ!O412</f>
        <v>1814</v>
      </c>
      <c r="K412" s="13">
        <f>Econ!P412</f>
        <v>10622.75</v>
      </c>
      <c r="L412" s="14">
        <f>Econ!Q412</f>
        <v>1030.75</v>
      </c>
      <c r="M412" s="14">
        <f>Econ!R412</f>
        <v>0</v>
      </c>
      <c r="N412" s="13">
        <f>Econ!S412</f>
        <v>453.5</v>
      </c>
      <c r="O412" s="13">
        <f>Econ!T412</f>
        <v>12</v>
      </c>
      <c r="P412" s="7" t="str">
        <f>Econ!A412</f>
        <v>Pikeman</v>
      </c>
      <c r="Q412" s="10">
        <f>Econ!C412</f>
        <v>64260.5077</v>
      </c>
      <c r="R412" s="10">
        <f>Econ!E412</f>
        <v>88.31183193</v>
      </c>
      <c r="S412" s="10">
        <f>Econ!G412</f>
        <v>9639.076154</v>
      </c>
      <c r="T412" s="10">
        <f>Econ!I412</f>
        <v>397.4032437</v>
      </c>
    </row>
    <row r="413">
      <c r="A413" s="7" t="str">
        <f>Econ!A413&amp;if(Econ!B413&lt;10,"_0"&amp;Econ!B413,"_"&amp;Econ!B413)</f>
        <v>Pikeman_112</v>
      </c>
      <c r="B413" s="7" t="str">
        <f>"T"&amp;Econ!B413&amp;" "&amp;Econ!A413</f>
        <v>T112 Pikeman</v>
      </c>
      <c r="C413" s="8">
        <f>Econ!B413</f>
        <v>112</v>
      </c>
      <c r="D413" s="7"/>
      <c r="E413" s="9"/>
      <c r="F413" s="9"/>
      <c r="G413" s="10">
        <f>Econ!L413</f>
        <v>43131</v>
      </c>
      <c r="H413" s="11">
        <f>Econ!M413</f>
        <v>4175</v>
      </c>
      <c r="I413" s="11" t="str">
        <f>Econ!N413</f>
        <v/>
      </c>
      <c r="J413" s="12">
        <f>Econ!O413</f>
        <v>1841</v>
      </c>
      <c r="K413" s="13">
        <f>Econ!P413</f>
        <v>10782.75</v>
      </c>
      <c r="L413" s="14">
        <f>Econ!Q413</f>
        <v>1043.75</v>
      </c>
      <c r="M413" s="14">
        <f>Econ!R413</f>
        <v>0</v>
      </c>
      <c r="N413" s="13">
        <f>Econ!S413</f>
        <v>460.25</v>
      </c>
      <c r="O413" s="13">
        <f>Econ!T413</f>
        <v>12</v>
      </c>
      <c r="P413" s="7" t="str">
        <f>Econ!A413</f>
        <v>Pikeman</v>
      </c>
      <c r="Q413" s="10">
        <f>Econ!C413</f>
        <v>67473.53308</v>
      </c>
      <c r="R413" s="10">
        <f>Econ!E413</f>
        <v>90.07806857</v>
      </c>
      <c r="S413" s="10">
        <f>Econ!G413</f>
        <v>10121.02996</v>
      </c>
      <c r="T413" s="10">
        <f>Econ!I413</f>
        <v>405.3513086</v>
      </c>
    </row>
    <row r="414">
      <c r="A414" s="7" t="str">
        <f>Econ!A414&amp;if(Econ!B414&lt;10,"_0"&amp;Econ!B414,"_"&amp;Econ!B414)</f>
        <v>Pikeman_113</v>
      </c>
      <c r="B414" s="7" t="str">
        <f>"T"&amp;Econ!B414&amp;" "&amp;Econ!A414</f>
        <v>T113 Pikeman</v>
      </c>
      <c r="C414" s="8">
        <f>Econ!B414</f>
        <v>113</v>
      </c>
      <c r="D414" s="7"/>
      <c r="E414" s="9"/>
      <c r="F414" s="9"/>
      <c r="G414" s="10">
        <f>Econ!L414</f>
        <v>43775</v>
      </c>
      <c r="H414" s="11">
        <f>Econ!M414</f>
        <v>4227</v>
      </c>
      <c r="I414" s="11" t="str">
        <f>Econ!N414</f>
        <v/>
      </c>
      <c r="J414" s="12">
        <f>Econ!O414</f>
        <v>1868</v>
      </c>
      <c r="K414" s="13">
        <f>Econ!P414</f>
        <v>10943.75</v>
      </c>
      <c r="L414" s="14">
        <f>Econ!Q414</f>
        <v>1056.75</v>
      </c>
      <c r="M414" s="14">
        <f>Econ!R414</f>
        <v>0</v>
      </c>
      <c r="N414" s="13">
        <f>Econ!S414</f>
        <v>467</v>
      </c>
      <c r="O414" s="13">
        <f>Econ!T414</f>
        <v>12</v>
      </c>
      <c r="P414" s="7" t="str">
        <f>Econ!A414</f>
        <v>Pikeman</v>
      </c>
      <c r="Q414" s="10">
        <f>Econ!C414</f>
        <v>70847.20973</v>
      </c>
      <c r="R414" s="10">
        <f>Econ!E414</f>
        <v>91.87962994</v>
      </c>
      <c r="S414" s="10">
        <f>Econ!G414</f>
        <v>10627.08146</v>
      </c>
      <c r="T414" s="10">
        <f>Econ!I414</f>
        <v>413.4583347</v>
      </c>
    </row>
    <row r="415">
      <c r="A415" s="7" t="str">
        <f>Econ!A415&amp;if(Econ!B415&lt;10,"_0"&amp;Econ!B415,"_"&amp;Econ!B415)</f>
        <v>Pikeman_114</v>
      </c>
      <c r="B415" s="7" t="str">
        <f>"T"&amp;Econ!B415&amp;" "&amp;Econ!A415</f>
        <v>T114 Pikeman</v>
      </c>
      <c r="C415" s="8">
        <f>Econ!B415</f>
        <v>114</v>
      </c>
      <c r="D415" s="7"/>
      <c r="E415" s="9"/>
      <c r="F415" s="9"/>
      <c r="G415" s="10">
        <f>Econ!L415</f>
        <v>44423</v>
      </c>
      <c r="H415" s="11">
        <f>Econ!M415</f>
        <v>4280</v>
      </c>
      <c r="I415" s="11" t="str">
        <f>Econ!N415</f>
        <v/>
      </c>
      <c r="J415" s="12">
        <f>Econ!O415</f>
        <v>1895</v>
      </c>
      <c r="K415" s="13">
        <f>Econ!P415</f>
        <v>11105.75</v>
      </c>
      <c r="L415" s="14">
        <f>Econ!Q415</f>
        <v>1070</v>
      </c>
      <c r="M415" s="14">
        <f>Econ!R415</f>
        <v>0</v>
      </c>
      <c r="N415" s="13">
        <f>Econ!S415</f>
        <v>473.75</v>
      </c>
      <c r="O415" s="13">
        <f>Econ!T415</f>
        <v>12</v>
      </c>
      <c r="P415" s="7" t="str">
        <f>Econ!A415</f>
        <v>Pikeman</v>
      </c>
      <c r="Q415" s="10">
        <f>Econ!C415</f>
        <v>74389.57022</v>
      </c>
      <c r="R415" s="10">
        <f>Econ!E415</f>
        <v>93.71722254</v>
      </c>
      <c r="S415" s="10">
        <f>Econ!G415</f>
        <v>11158.43553</v>
      </c>
      <c r="T415" s="10">
        <f>Econ!I415</f>
        <v>421.7275014</v>
      </c>
    </row>
    <row r="416">
      <c r="A416" s="7" t="str">
        <f>Econ!A416&amp;if(Econ!B416&lt;10,"_0"&amp;Econ!B416,"_"&amp;Econ!B416)</f>
        <v>Pikeman_115</v>
      </c>
      <c r="B416" s="7" t="str">
        <f>"T"&amp;Econ!B416&amp;" "&amp;Econ!A416</f>
        <v>T115 Pikeman</v>
      </c>
      <c r="C416" s="8">
        <f>Econ!B416</f>
        <v>115</v>
      </c>
      <c r="D416" s="7"/>
      <c r="E416" s="9"/>
      <c r="F416" s="9"/>
      <c r="G416" s="10">
        <f>Econ!L416</f>
        <v>45075</v>
      </c>
      <c r="H416" s="11">
        <f>Econ!M416</f>
        <v>4333</v>
      </c>
      <c r="I416" s="11" t="str">
        <f>Econ!N416</f>
        <v/>
      </c>
      <c r="J416" s="12">
        <f>Econ!O416</f>
        <v>1922</v>
      </c>
      <c r="K416" s="13">
        <f>Econ!P416</f>
        <v>11268.75</v>
      </c>
      <c r="L416" s="14">
        <f>Econ!Q416</f>
        <v>1083.25</v>
      </c>
      <c r="M416" s="14">
        <f>Econ!R416</f>
        <v>0</v>
      </c>
      <c r="N416" s="13">
        <f>Econ!S416</f>
        <v>480.5</v>
      </c>
      <c r="O416" s="13">
        <f>Econ!T416</f>
        <v>13</v>
      </c>
      <c r="P416" s="7" t="str">
        <f>Econ!A416</f>
        <v>Pikeman</v>
      </c>
      <c r="Q416" s="10">
        <f>Econ!C416</f>
        <v>78109.04873</v>
      </c>
      <c r="R416" s="10">
        <f>Econ!E416</f>
        <v>95.59156699</v>
      </c>
      <c r="S416" s="10">
        <f>Econ!G416</f>
        <v>11716.35731</v>
      </c>
      <c r="T416" s="10">
        <f>Econ!I416</f>
        <v>430.1620515</v>
      </c>
    </row>
    <row r="417">
      <c r="A417" s="7" t="str">
        <f>Econ!A417&amp;if(Econ!B417&lt;10,"_0"&amp;Econ!B417,"_"&amp;Econ!B417)</f>
        <v>Pikeman_116</v>
      </c>
      <c r="B417" s="7" t="str">
        <f>"T"&amp;Econ!B417&amp;" "&amp;Econ!A417</f>
        <v>T116 Pikeman</v>
      </c>
      <c r="C417" s="8">
        <f>Econ!B417</f>
        <v>116</v>
      </c>
      <c r="D417" s="7"/>
      <c r="E417" s="9"/>
      <c r="F417" s="9"/>
      <c r="G417" s="10">
        <f>Econ!L417</f>
        <v>45731</v>
      </c>
      <c r="H417" s="11">
        <f>Econ!M417</f>
        <v>4386</v>
      </c>
      <c r="I417" s="11" t="str">
        <f>Econ!N417</f>
        <v/>
      </c>
      <c r="J417" s="12">
        <f>Econ!O417</f>
        <v>1949</v>
      </c>
      <c r="K417" s="13">
        <f>Econ!P417</f>
        <v>11432.75</v>
      </c>
      <c r="L417" s="14">
        <f>Econ!Q417</f>
        <v>1096.5</v>
      </c>
      <c r="M417" s="14">
        <f>Econ!R417</f>
        <v>0</v>
      </c>
      <c r="N417" s="13">
        <f>Econ!S417</f>
        <v>487.25</v>
      </c>
      <c r="O417" s="13">
        <f>Econ!T417</f>
        <v>13</v>
      </c>
      <c r="P417" s="7" t="str">
        <f>Econ!A417</f>
        <v>Pikeman</v>
      </c>
      <c r="Q417" s="10">
        <f>Econ!C417</f>
        <v>82014.50117</v>
      </c>
      <c r="R417" s="10">
        <f>Econ!E417</f>
        <v>97.50339833</v>
      </c>
      <c r="S417" s="10">
        <f>Econ!G417</f>
        <v>12302.17518</v>
      </c>
      <c r="T417" s="10">
        <f>Econ!I417</f>
        <v>438.7652925</v>
      </c>
    </row>
    <row r="418">
      <c r="A418" s="7" t="str">
        <f>Econ!A418&amp;if(Econ!B418&lt;10,"_0"&amp;Econ!B418,"_"&amp;Econ!B418)</f>
        <v>Pikeman_117</v>
      </c>
      <c r="B418" s="7" t="str">
        <f>"T"&amp;Econ!B418&amp;" "&amp;Econ!A418</f>
        <v>T117 Pikeman</v>
      </c>
      <c r="C418" s="8">
        <f>Econ!B418</f>
        <v>117</v>
      </c>
      <c r="D418" s="7"/>
      <c r="E418" s="9"/>
      <c r="F418" s="9"/>
      <c r="G418" s="10">
        <f>Econ!L418</f>
        <v>46391</v>
      </c>
      <c r="H418" s="11">
        <f>Econ!M418</f>
        <v>4440</v>
      </c>
      <c r="I418" s="11" t="str">
        <f>Econ!N418</f>
        <v/>
      </c>
      <c r="J418" s="12">
        <f>Econ!O418</f>
        <v>1976</v>
      </c>
      <c r="K418" s="13">
        <f>Econ!P418</f>
        <v>11597.75</v>
      </c>
      <c r="L418" s="14">
        <f>Econ!Q418</f>
        <v>1110</v>
      </c>
      <c r="M418" s="14">
        <f>Econ!R418</f>
        <v>0</v>
      </c>
      <c r="N418" s="13">
        <f>Econ!S418</f>
        <v>494</v>
      </c>
      <c r="O418" s="13">
        <f>Econ!T418</f>
        <v>13</v>
      </c>
      <c r="P418" s="7" t="str">
        <f>Econ!A418</f>
        <v>Pikeman</v>
      </c>
      <c r="Q418" s="10">
        <f>Econ!C418</f>
        <v>86115.22623</v>
      </c>
      <c r="R418" s="10">
        <f>Econ!E418</f>
        <v>99.4534663</v>
      </c>
      <c r="S418" s="10">
        <f>Econ!G418</f>
        <v>12917.28393</v>
      </c>
      <c r="T418" s="10">
        <f>Econ!I418</f>
        <v>447.5405983</v>
      </c>
    </row>
    <row r="419">
      <c r="A419" s="7" t="str">
        <f>Econ!A419&amp;if(Econ!B419&lt;10,"_0"&amp;Econ!B419,"_"&amp;Econ!B419)</f>
        <v>Pikeman_118</v>
      </c>
      <c r="B419" s="7" t="str">
        <f>"T"&amp;Econ!B419&amp;" "&amp;Econ!A419</f>
        <v>T118 Pikeman</v>
      </c>
      <c r="C419" s="8">
        <f>Econ!B419</f>
        <v>118</v>
      </c>
      <c r="D419" s="7"/>
      <c r="E419" s="9"/>
      <c r="F419" s="9"/>
      <c r="G419" s="10">
        <f>Econ!L419</f>
        <v>47055</v>
      </c>
      <c r="H419" s="11">
        <f>Econ!M419</f>
        <v>4494</v>
      </c>
      <c r="I419" s="11" t="str">
        <f>Econ!N419</f>
        <v/>
      </c>
      <c r="J419" s="12">
        <f>Econ!O419</f>
        <v>2004</v>
      </c>
      <c r="K419" s="13">
        <f>Econ!P419</f>
        <v>11763.75</v>
      </c>
      <c r="L419" s="14">
        <f>Econ!Q419</f>
        <v>1123.5</v>
      </c>
      <c r="M419" s="14">
        <f>Econ!R419</f>
        <v>0</v>
      </c>
      <c r="N419" s="13">
        <f>Econ!S419</f>
        <v>501</v>
      </c>
      <c r="O419" s="13">
        <f>Econ!T419</f>
        <v>13</v>
      </c>
      <c r="P419" s="7" t="str">
        <f>Econ!A419</f>
        <v>Pikeman</v>
      </c>
      <c r="Q419" s="10">
        <f>Econ!C419</f>
        <v>90420.98754</v>
      </c>
      <c r="R419" s="10">
        <f>Econ!E419</f>
        <v>101.4425356</v>
      </c>
      <c r="S419" s="10">
        <f>Econ!G419</f>
        <v>13563.14813</v>
      </c>
      <c r="T419" s="10">
        <f>Econ!I419</f>
        <v>456.4914103</v>
      </c>
    </row>
    <row r="420">
      <c r="A420" s="7" t="str">
        <f>Econ!A420&amp;if(Econ!B420&lt;10,"_0"&amp;Econ!B420,"_"&amp;Econ!B420)</f>
        <v>Pikeman_119</v>
      </c>
      <c r="B420" s="7" t="str">
        <f>"T"&amp;Econ!B420&amp;" "&amp;Econ!A420</f>
        <v>T119 Pikeman</v>
      </c>
      <c r="C420" s="8">
        <f>Econ!B420</f>
        <v>119</v>
      </c>
      <c r="D420" s="7"/>
      <c r="E420" s="9"/>
      <c r="F420" s="9"/>
      <c r="G420" s="10">
        <f>Econ!L420</f>
        <v>47723</v>
      </c>
      <c r="H420" s="11">
        <f>Econ!M420</f>
        <v>4548</v>
      </c>
      <c r="I420" s="11" t="str">
        <f>Econ!N420</f>
        <v/>
      </c>
      <c r="J420" s="12">
        <f>Econ!O420</f>
        <v>2032</v>
      </c>
      <c r="K420" s="13">
        <f>Econ!P420</f>
        <v>11930.75</v>
      </c>
      <c r="L420" s="14">
        <f>Econ!Q420</f>
        <v>1137</v>
      </c>
      <c r="M420" s="14">
        <f>Econ!R420</f>
        <v>0</v>
      </c>
      <c r="N420" s="13">
        <f>Econ!S420</f>
        <v>508</v>
      </c>
      <c r="O420" s="13">
        <f>Econ!T420</f>
        <v>13</v>
      </c>
      <c r="P420" s="7" t="str">
        <f>Econ!A420</f>
        <v>Pikeman</v>
      </c>
      <c r="Q420" s="10">
        <f>Econ!C420</f>
        <v>94942.03692</v>
      </c>
      <c r="R420" s="10">
        <f>Econ!E420</f>
        <v>103.4713863</v>
      </c>
      <c r="S420" s="10">
        <f>Econ!G420</f>
        <v>14241.30554</v>
      </c>
      <c r="T420" s="10">
        <f>Econ!I420</f>
        <v>465.6212385</v>
      </c>
    </row>
    <row r="421">
      <c r="A421" s="7" t="str">
        <f>Econ!A421&amp;if(Econ!B421&lt;10,"_0"&amp;Econ!B421,"_"&amp;Econ!B421)</f>
        <v>Pikeman_120</v>
      </c>
      <c r="B421" s="7" t="str">
        <f>"T"&amp;Econ!B421&amp;" "&amp;Econ!A421</f>
        <v>T120 Pikeman</v>
      </c>
      <c r="C421" s="8">
        <f>Econ!B421</f>
        <v>120</v>
      </c>
      <c r="D421" s="7"/>
      <c r="E421" s="9"/>
      <c r="F421" s="9"/>
      <c r="G421" s="10">
        <f>Econ!L421</f>
        <v>48395</v>
      </c>
      <c r="H421" s="11">
        <f>Econ!M421</f>
        <v>4603</v>
      </c>
      <c r="I421" s="11" t="str">
        <f>Econ!N421</f>
        <v/>
      </c>
      <c r="J421" s="12">
        <f>Econ!O421</f>
        <v>2060</v>
      </c>
      <c r="K421" s="13">
        <f>Econ!P421</f>
        <v>12098.75</v>
      </c>
      <c r="L421" s="14">
        <f>Econ!Q421</f>
        <v>1150.75</v>
      </c>
      <c r="M421" s="14">
        <f>Econ!R421</f>
        <v>0</v>
      </c>
      <c r="N421" s="13">
        <f>Econ!S421</f>
        <v>515</v>
      </c>
      <c r="O421" s="13">
        <f>Econ!T421</f>
        <v>13</v>
      </c>
      <c r="P421" s="7" t="str">
        <f>Econ!A421</f>
        <v>Pikeman</v>
      </c>
      <c r="Q421" s="10">
        <f>Econ!C421</f>
        <v>99689.13876</v>
      </c>
      <c r="R421" s="10">
        <f>Econ!E421</f>
        <v>105.5408141</v>
      </c>
      <c r="S421" s="10">
        <f>Econ!G421</f>
        <v>14953.37081</v>
      </c>
      <c r="T421" s="10">
        <f>Econ!I421</f>
        <v>474.9336633</v>
      </c>
    </row>
    <row r="422">
      <c r="A422" s="7" t="str">
        <f>Econ!A422&amp;if(Econ!B422&lt;10,"_0"&amp;Econ!B422,"_"&amp;Econ!B422)</f>
        <v>Pikeman_121</v>
      </c>
      <c r="B422" s="7" t="str">
        <f>"T"&amp;Econ!B422&amp;" "&amp;Econ!A422</f>
        <v>T121 Pikeman</v>
      </c>
      <c r="C422" s="8">
        <f>Econ!B422</f>
        <v>121</v>
      </c>
      <c r="D422" s="7"/>
      <c r="E422" s="9"/>
      <c r="F422" s="9"/>
      <c r="G422" s="10">
        <f>Econ!L422</f>
        <v>49070</v>
      </c>
      <c r="H422" s="11">
        <f>Econ!M422</f>
        <v>4658</v>
      </c>
      <c r="I422" s="11" t="str">
        <f>Econ!N422</f>
        <v/>
      </c>
      <c r="J422" s="12">
        <f>Econ!O422</f>
        <v>2088</v>
      </c>
      <c r="K422" s="13">
        <f>Econ!P422</f>
        <v>12267.5</v>
      </c>
      <c r="L422" s="14">
        <f>Econ!Q422</f>
        <v>1164.5</v>
      </c>
      <c r="M422" s="14">
        <f>Econ!R422</f>
        <v>0</v>
      </c>
      <c r="N422" s="13">
        <f>Econ!S422</f>
        <v>522</v>
      </c>
      <c r="O422" s="13">
        <f>Econ!T422</f>
        <v>13</v>
      </c>
      <c r="P422" s="7" t="str">
        <f>Econ!A422</f>
        <v>Pikeman</v>
      </c>
      <c r="Q422" s="10">
        <f>Econ!C422</f>
        <v>104673.5957</v>
      </c>
      <c r="R422" s="10">
        <f>Econ!E422</f>
        <v>107.6516303</v>
      </c>
      <c r="S422" s="10">
        <f>Econ!G422</f>
        <v>15701.03936</v>
      </c>
      <c r="T422" s="10">
        <f>Econ!I422</f>
        <v>484.4323365</v>
      </c>
    </row>
    <row r="423">
      <c r="A423" s="7" t="str">
        <f>Econ!A423&amp;if(Econ!B423&lt;10,"_0"&amp;Econ!B423,"_"&amp;Econ!B423)</f>
        <v>Pikeman_122</v>
      </c>
      <c r="B423" s="7" t="str">
        <f>"T"&amp;Econ!B423&amp;" "&amp;Econ!A423</f>
        <v>T122 Pikeman</v>
      </c>
      <c r="C423" s="8">
        <f>Econ!B423</f>
        <v>122</v>
      </c>
      <c r="D423" s="7"/>
      <c r="E423" s="9"/>
      <c r="F423" s="9"/>
      <c r="G423" s="10">
        <f>Econ!L423</f>
        <v>49749</v>
      </c>
      <c r="H423" s="11">
        <f>Econ!M423</f>
        <v>4713</v>
      </c>
      <c r="I423" s="11" t="str">
        <f>Econ!N423</f>
        <v/>
      </c>
      <c r="J423" s="12">
        <f>Econ!O423</f>
        <v>2116</v>
      </c>
      <c r="K423" s="13">
        <f>Econ!P423</f>
        <v>12437.25</v>
      </c>
      <c r="L423" s="14">
        <f>Econ!Q423</f>
        <v>1178.25</v>
      </c>
      <c r="M423" s="14">
        <f>Econ!R423</f>
        <v>0</v>
      </c>
      <c r="N423" s="13">
        <f>Econ!S423</f>
        <v>529</v>
      </c>
      <c r="O423" s="13">
        <f>Econ!T423</f>
        <v>13</v>
      </c>
      <c r="P423" s="7" t="str">
        <f>Econ!A423</f>
        <v>Pikeman</v>
      </c>
      <c r="Q423" s="10">
        <f>Econ!C423</f>
        <v>109907.2755</v>
      </c>
      <c r="R423" s="10">
        <f>Econ!E423</f>
        <v>109.8046629</v>
      </c>
      <c r="S423" s="10">
        <f>Econ!G423</f>
        <v>16486.09132</v>
      </c>
      <c r="T423" s="10">
        <f>Econ!I423</f>
        <v>494.1209833</v>
      </c>
    </row>
    <row r="424">
      <c r="A424" s="7" t="str">
        <f>Econ!A424&amp;if(Econ!B424&lt;10,"_0"&amp;Econ!B424,"_"&amp;Econ!B424)</f>
        <v>Pikeman_123</v>
      </c>
      <c r="B424" s="7" t="str">
        <f>"T"&amp;Econ!B424&amp;" "&amp;Econ!A424</f>
        <v>T123 Pikeman</v>
      </c>
      <c r="C424" s="8">
        <f>Econ!B424</f>
        <v>123</v>
      </c>
      <c r="D424" s="7"/>
      <c r="E424" s="9"/>
      <c r="F424" s="9"/>
      <c r="G424" s="10">
        <f>Econ!L424</f>
        <v>50432</v>
      </c>
      <c r="H424" s="11">
        <f>Econ!M424</f>
        <v>4769</v>
      </c>
      <c r="I424" s="11" t="str">
        <f>Econ!N424</f>
        <v/>
      </c>
      <c r="J424" s="12">
        <f>Econ!O424</f>
        <v>2144</v>
      </c>
      <c r="K424" s="13">
        <f>Econ!P424</f>
        <v>12608</v>
      </c>
      <c r="L424" s="14">
        <f>Econ!Q424</f>
        <v>1192.25</v>
      </c>
      <c r="M424" s="14">
        <f>Econ!R424</f>
        <v>0</v>
      </c>
      <c r="N424" s="13">
        <f>Econ!S424</f>
        <v>536</v>
      </c>
      <c r="O424" s="13">
        <f>Econ!T424</f>
        <v>13</v>
      </c>
      <c r="P424" s="7" t="str">
        <f>Econ!A424</f>
        <v>Pikeman</v>
      </c>
      <c r="Q424" s="10">
        <f>Econ!C424</f>
        <v>115402.6393</v>
      </c>
      <c r="R424" s="10">
        <f>Econ!E424</f>
        <v>112.0007562</v>
      </c>
      <c r="S424" s="10">
        <f>Econ!G424</f>
        <v>17310.39589</v>
      </c>
      <c r="T424" s="10">
        <f>Econ!I424</f>
        <v>504.0034029</v>
      </c>
    </row>
    <row r="425">
      <c r="A425" s="7" t="str">
        <f>Econ!A425&amp;if(Econ!B425&lt;10,"_0"&amp;Econ!B425,"_"&amp;Econ!B425)</f>
        <v>Pikeman_124</v>
      </c>
      <c r="B425" s="7" t="str">
        <f>"T"&amp;Econ!B425&amp;" "&amp;Econ!A425</f>
        <v>T124 Pikeman</v>
      </c>
      <c r="C425" s="8">
        <f>Econ!B425</f>
        <v>124</v>
      </c>
      <c r="D425" s="7"/>
      <c r="E425" s="9"/>
      <c r="F425" s="9"/>
      <c r="G425" s="10">
        <f>Econ!L425</f>
        <v>51119</v>
      </c>
      <c r="H425" s="11">
        <f>Econ!M425</f>
        <v>4825</v>
      </c>
      <c r="I425" s="11" t="str">
        <f>Econ!N425</f>
        <v/>
      </c>
      <c r="J425" s="12">
        <f>Econ!O425</f>
        <v>2172</v>
      </c>
      <c r="K425" s="13">
        <f>Econ!P425</f>
        <v>12779.75</v>
      </c>
      <c r="L425" s="14">
        <f>Econ!Q425</f>
        <v>1206.25</v>
      </c>
      <c r="M425" s="14">
        <f>Econ!R425</f>
        <v>0</v>
      </c>
      <c r="N425" s="13">
        <f>Econ!S425</f>
        <v>543</v>
      </c>
      <c r="O425" s="13">
        <f>Econ!T425</f>
        <v>13</v>
      </c>
      <c r="P425" s="7" t="str">
        <f>Econ!A425</f>
        <v>Pikeman</v>
      </c>
      <c r="Q425" s="10">
        <f>Econ!C425</f>
        <v>121172.7712</v>
      </c>
      <c r="R425" s="10">
        <f>Econ!E425</f>
        <v>114.2407713</v>
      </c>
      <c r="S425" s="10">
        <f>Econ!G425</f>
        <v>18175.91568</v>
      </c>
      <c r="T425" s="10">
        <f>Econ!I425</f>
        <v>514.083471</v>
      </c>
    </row>
    <row r="426">
      <c r="A426" s="7" t="str">
        <f>Econ!A426&amp;if(Econ!B426&lt;10,"_0"&amp;Econ!B426,"_"&amp;Econ!B426)</f>
        <v>Pikeman_125</v>
      </c>
      <c r="B426" s="7" t="str">
        <f>"T"&amp;Econ!B426&amp;" "&amp;Econ!A426</f>
        <v>T125 Pikeman</v>
      </c>
      <c r="C426" s="8">
        <f>Econ!B426</f>
        <v>125</v>
      </c>
      <c r="D426" s="7"/>
      <c r="E426" s="9"/>
      <c r="F426" s="9"/>
      <c r="G426" s="10">
        <f>Econ!L426</f>
        <v>51810</v>
      </c>
      <c r="H426" s="11">
        <f>Econ!M426</f>
        <v>4881</v>
      </c>
      <c r="I426" s="11" t="str">
        <f>Econ!N426</f>
        <v/>
      </c>
      <c r="J426" s="12">
        <f>Econ!O426</f>
        <v>2201</v>
      </c>
      <c r="K426" s="13">
        <f>Econ!P426</f>
        <v>12952.5</v>
      </c>
      <c r="L426" s="14">
        <f>Econ!Q426</f>
        <v>1220.25</v>
      </c>
      <c r="M426" s="14">
        <f>Econ!R426</f>
        <v>0</v>
      </c>
      <c r="N426" s="13">
        <f>Econ!S426</f>
        <v>550.25</v>
      </c>
      <c r="O426" s="13">
        <f>Econ!T426</f>
        <v>14</v>
      </c>
      <c r="P426" s="7" t="str">
        <f>Econ!A426</f>
        <v>Pikeman</v>
      </c>
      <c r="Q426" s="10">
        <f>Econ!C426</f>
        <v>127231.4098</v>
      </c>
      <c r="R426" s="10">
        <f>Econ!E426</f>
        <v>116.5255868</v>
      </c>
      <c r="S426" s="10">
        <f>Econ!G426</f>
        <v>19084.71147</v>
      </c>
      <c r="T426" s="10">
        <f>Econ!I426</f>
        <v>524.3651404</v>
      </c>
    </row>
    <row r="427">
      <c r="A427" s="7" t="str">
        <f>Econ!A427&amp;if(Econ!B427&lt;10,"_0"&amp;Econ!B427,"_"&amp;Econ!B427)</f>
        <v>Pikeman_126</v>
      </c>
      <c r="B427" s="7" t="str">
        <f>"T"&amp;Econ!B427&amp;" "&amp;Econ!A427</f>
        <v>T126 Pikeman</v>
      </c>
      <c r="C427" s="8">
        <f>Econ!B427</f>
        <v>126</v>
      </c>
      <c r="D427" s="7"/>
      <c r="E427" s="9"/>
      <c r="F427" s="9"/>
      <c r="G427" s="10">
        <f>Econ!L427</f>
        <v>52505</v>
      </c>
      <c r="H427" s="11">
        <f>Econ!M427</f>
        <v>4938</v>
      </c>
      <c r="I427" s="11" t="str">
        <f>Econ!N427</f>
        <v/>
      </c>
      <c r="J427" s="12">
        <f>Econ!O427</f>
        <v>2230</v>
      </c>
      <c r="K427" s="13">
        <f>Econ!P427</f>
        <v>13126.25</v>
      </c>
      <c r="L427" s="14">
        <f>Econ!Q427</f>
        <v>1234.5</v>
      </c>
      <c r="M427" s="14">
        <f>Econ!R427</f>
        <v>0</v>
      </c>
      <c r="N427" s="13">
        <f>Econ!S427</f>
        <v>557.5</v>
      </c>
      <c r="O427" s="13">
        <f>Econ!T427</f>
        <v>14</v>
      </c>
      <c r="P427" s="7" t="str">
        <f>Econ!A427</f>
        <v>Pikeman</v>
      </c>
      <c r="Q427" s="10">
        <f>Econ!C427</f>
        <v>133592.9803</v>
      </c>
      <c r="R427" s="10">
        <f>Econ!E427</f>
        <v>118.8560985</v>
      </c>
      <c r="S427" s="10">
        <f>Econ!G427</f>
        <v>20038.94704</v>
      </c>
      <c r="T427" s="10">
        <f>Econ!I427</f>
        <v>534.8524432</v>
      </c>
    </row>
    <row r="428">
      <c r="A428" s="7" t="str">
        <f>Econ!A428&amp;if(Econ!B428&lt;10,"_0"&amp;Econ!B428,"_"&amp;Econ!B428)</f>
        <v>Pikeman_127</v>
      </c>
      <c r="B428" s="7" t="str">
        <f>"T"&amp;Econ!B428&amp;" "&amp;Econ!A428</f>
        <v>T127 Pikeman</v>
      </c>
      <c r="C428" s="8">
        <f>Econ!B428</f>
        <v>127</v>
      </c>
      <c r="D428" s="7"/>
      <c r="E428" s="9"/>
      <c r="F428" s="9"/>
      <c r="G428" s="10">
        <f>Econ!L428</f>
        <v>53204</v>
      </c>
      <c r="H428" s="11">
        <f>Econ!M428</f>
        <v>4995</v>
      </c>
      <c r="I428" s="11" t="str">
        <f>Econ!N428</f>
        <v/>
      </c>
      <c r="J428" s="12">
        <f>Econ!O428</f>
        <v>2259</v>
      </c>
      <c r="K428" s="13">
        <f>Econ!P428</f>
        <v>13301</v>
      </c>
      <c r="L428" s="14">
        <f>Econ!Q428</f>
        <v>1248.75</v>
      </c>
      <c r="M428" s="14">
        <f>Econ!R428</f>
        <v>0</v>
      </c>
      <c r="N428" s="13">
        <f>Econ!S428</f>
        <v>564.75</v>
      </c>
      <c r="O428" s="13">
        <f>Econ!T428</f>
        <v>14</v>
      </c>
      <c r="P428" s="7" t="str">
        <f>Econ!A428</f>
        <v>Pikeman</v>
      </c>
      <c r="Q428" s="10">
        <f>Econ!C428</f>
        <v>140272.6293</v>
      </c>
      <c r="R428" s="10">
        <f>Econ!E428</f>
        <v>121.2332205</v>
      </c>
      <c r="S428" s="10">
        <f>Econ!G428</f>
        <v>21040.89439</v>
      </c>
      <c r="T428" s="10">
        <f>Econ!I428</f>
        <v>545.5494921</v>
      </c>
    </row>
    <row r="429">
      <c r="A429" s="7" t="str">
        <f>Econ!A429&amp;if(Econ!B429&lt;10,"_0"&amp;Econ!B429,"_"&amp;Econ!B429)</f>
        <v>Pikeman_128</v>
      </c>
      <c r="B429" s="7" t="str">
        <f>"T"&amp;Econ!B429&amp;" "&amp;Econ!A429</f>
        <v>T128 Pikeman</v>
      </c>
      <c r="C429" s="8">
        <f>Econ!B429</f>
        <v>128</v>
      </c>
      <c r="D429" s="7"/>
      <c r="E429" s="9"/>
      <c r="F429" s="9"/>
      <c r="G429" s="10">
        <f>Econ!L429</f>
        <v>53907</v>
      </c>
      <c r="H429" s="11">
        <f>Econ!M429</f>
        <v>5052</v>
      </c>
      <c r="I429" s="11" t="str">
        <f>Econ!N429</f>
        <v/>
      </c>
      <c r="J429" s="12">
        <f>Econ!O429</f>
        <v>2288</v>
      </c>
      <c r="K429" s="13">
        <f>Econ!P429</f>
        <v>13476.75</v>
      </c>
      <c r="L429" s="14">
        <f>Econ!Q429</f>
        <v>1263</v>
      </c>
      <c r="M429" s="14">
        <f>Econ!R429</f>
        <v>0</v>
      </c>
      <c r="N429" s="13">
        <f>Econ!S429</f>
        <v>572</v>
      </c>
      <c r="O429" s="13">
        <f>Econ!T429</f>
        <v>14</v>
      </c>
      <c r="P429" s="7" t="str">
        <f>Econ!A429</f>
        <v>Pikeman</v>
      </c>
      <c r="Q429" s="10">
        <f>Econ!C429</f>
        <v>147286.2608</v>
      </c>
      <c r="R429" s="10">
        <f>Econ!E429</f>
        <v>123.6578849</v>
      </c>
      <c r="S429" s="10">
        <f>Econ!G429</f>
        <v>22092.93911</v>
      </c>
      <c r="T429" s="10">
        <f>Econ!I429</f>
        <v>556.4604819</v>
      </c>
    </row>
    <row r="430">
      <c r="A430" s="7" t="str">
        <f>Econ!A430&amp;if(Econ!B430&lt;10,"_0"&amp;Econ!B430,"_"&amp;Econ!B430)</f>
        <v>Pikeman_129</v>
      </c>
      <c r="B430" s="7" t="str">
        <f>"T"&amp;Econ!B430&amp;" "&amp;Econ!A430</f>
        <v>T129 Pikeman</v>
      </c>
      <c r="C430" s="8">
        <f>Econ!B430</f>
        <v>129</v>
      </c>
      <c r="D430" s="7"/>
      <c r="E430" s="9"/>
      <c r="F430" s="9"/>
      <c r="G430" s="10">
        <f>Econ!L430</f>
        <v>54614</v>
      </c>
      <c r="H430" s="11">
        <f>Econ!M430</f>
        <v>5109</v>
      </c>
      <c r="I430" s="11" t="str">
        <f>Econ!N430</f>
        <v/>
      </c>
      <c r="J430" s="12">
        <f>Econ!O430</f>
        <v>2317</v>
      </c>
      <c r="K430" s="13">
        <f>Econ!P430</f>
        <v>13653.5</v>
      </c>
      <c r="L430" s="14">
        <f>Econ!Q430</f>
        <v>1277.25</v>
      </c>
      <c r="M430" s="14">
        <f>Econ!R430</f>
        <v>0</v>
      </c>
      <c r="N430" s="13">
        <f>Econ!S430</f>
        <v>579.25</v>
      </c>
      <c r="O430" s="13">
        <f>Econ!T430</f>
        <v>14</v>
      </c>
      <c r="P430" s="7" t="str">
        <f>Econ!A430</f>
        <v>Pikeman</v>
      </c>
      <c r="Q430" s="10">
        <f>Econ!C430</f>
        <v>154650.5738</v>
      </c>
      <c r="R430" s="10">
        <f>Econ!E430</f>
        <v>126.1310426</v>
      </c>
      <c r="S430" s="10">
        <f>Econ!G430</f>
        <v>23197.58607</v>
      </c>
      <c r="T430" s="10">
        <f>Econ!I430</f>
        <v>567.5896916</v>
      </c>
    </row>
    <row r="431">
      <c r="A431" s="7" t="str">
        <f>Econ!A431&amp;if(Econ!B431&lt;10,"_0"&amp;Econ!B431,"_"&amp;Econ!B431)</f>
        <v>Pikeman_130</v>
      </c>
      <c r="B431" s="7" t="str">
        <f>"T"&amp;Econ!B431&amp;" "&amp;Econ!A431</f>
        <v>T130 Pikeman</v>
      </c>
      <c r="C431" s="8">
        <f>Econ!B431</f>
        <v>130</v>
      </c>
      <c r="D431" s="7"/>
      <c r="E431" s="9"/>
      <c r="F431" s="9"/>
      <c r="G431" s="10">
        <f>Econ!L431</f>
        <v>55325</v>
      </c>
      <c r="H431" s="11">
        <f>Econ!M431</f>
        <v>5167</v>
      </c>
      <c r="I431" s="11" t="str">
        <f>Econ!N431</f>
        <v/>
      </c>
      <c r="J431" s="12">
        <f>Econ!O431</f>
        <v>2346</v>
      </c>
      <c r="K431" s="13">
        <f>Econ!P431</f>
        <v>13831.25</v>
      </c>
      <c r="L431" s="14">
        <f>Econ!Q431</f>
        <v>1291.75</v>
      </c>
      <c r="M431" s="14">
        <f>Econ!R431</f>
        <v>0</v>
      </c>
      <c r="N431" s="13">
        <f>Econ!S431</f>
        <v>586.5</v>
      </c>
      <c r="O431" s="13">
        <f>Econ!T431</f>
        <v>14</v>
      </c>
      <c r="P431" s="7" t="str">
        <f>Econ!A431</f>
        <v>Pikeman</v>
      </c>
      <c r="Q431" s="10">
        <f>Econ!C431</f>
        <v>162383.1025</v>
      </c>
      <c r="R431" s="10">
        <f>Econ!E431</f>
        <v>128.6536634</v>
      </c>
      <c r="S431" s="10">
        <f>Econ!G431</f>
        <v>24357.46537</v>
      </c>
      <c r="T431" s="10">
        <f>Econ!I431</f>
        <v>578.9414854</v>
      </c>
    </row>
    <row r="432">
      <c r="A432" s="7" t="str">
        <f>Econ!A432&amp;if(Econ!B432&lt;10,"_0"&amp;Econ!B432,"_"&amp;Econ!B432)</f>
        <v>Pikeman_131</v>
      </c>
      <c r="B432" s="7" t="str">
        <f>"T"&amp;Econ!B432&amp;" "&amp;Econ!A432</f>
        <v>T131 Pikeman</v>
      </c>
      <c r="C432" s="8">
        <f>Econ!B432</f>
        <v>131</v>
      </c>
      <c r="D432" s="7"/>
      <c r="E432" s="9"/>
      <c r="F432" s="9"/>
      <c r="G432" s="10">
        <f>Econ!L432</f>
        <v>56039</v>
      </c>
      <c r="H432" s="11">
        <f>Econ!M432</f>
        <v>5225</v>
      </c>
      <c r="I432" s="11" t="str">
        <f>Econ!N432</f>
        <v/>
      </c>
      <c r="J432" s="12">
        <f>Econ!O432</f>
        <v>2376</v>
      </c>
      <c r="K432" s="13">
        <f>Econ!P432</f>
        <v>14009.75</v>
      </c>
      <c r="L432" s="14">
        <f>Econ!Q432</f>
        <v>1306.25</v>
      </c>
      <c r="M432" s="14">
        <f>Econ!R432</f>
        <v>0</v>
      </c>
      <c r="N432" s="13">
        <f>Econ!S432</f>
        <v>594</v>
      </c>
      <c r="O432" s="13">
        <f>Econ!T432</f>
        <v>14</v>
      </c>
      <c r="P432" s="7" t="str">
        <f>Econ!A432</f>
        <v>Pikeman</v>
      </c>
      <c r="Q432" s="10">
        <f>Econ!C432</f>
        <v>170502.2576</v>
      </c>
      <c r="R432" s="10">
        <f>Econ!E432</f>
        <v>131.2267367</v>
      </c>
      <c r="S432" s="10">
        <f>Econ!G432</f>
        <v>25575.33864</v>
      </c>
      <c r="T432" s="10">
        <f>Econ!I432</f>
        <v>590.5203151</v>
      </c>
    </row>
    <row r="433">
      <c r="A433" s="7" t="str">
        <f>Econ!A433&amp;if(Econ!B433&lt;10,"_0"&amp;Econ!B433,"_"&amp;Econ!B433)</f>
        <v>Pikeman_132</v>
      </c>
      <c r="B433" s="7" t="str">
        <f>"T"&amp;Econ!B433&amp;" "&amp;Econ!A433</f>
        <v>T132 Pikeman</v>
      </c>
      <c r="C433" s="8">
        <f>Econ!B433</f>
        <v>132</v>
      </c>
      <c r="D433" s="7"/>
      <c r="E433" s="9"/>
      <c r="F433" s="9"/>
      <c r="G433" s="10">
        <f>Econ!L433</f>
        <v>56757</v>
      </c>
      <c r="H433" s="11">
        <f>Econ!M433</f>
        <v>5283</v>
      </c>
      <c r="I433" s="11" t="str">
        <f>Econ!N433</f>
        <v/>
      </c>
      <c r="J433" s="12">
        <f>Econ!O433</f>
        <v>2406</v>
      </c>
      <c r="K433" s="13">
        <f>Econ!P433</f>
        <v>14189.25</v>
      </c>
      <c r="L433" s="14">
        <f>Econ!Q433</f>
        <v>1320.75</v>
      </c>
      <c r="M433" s="14">
        <f>Econ!R433</f>
        <v>0</v>
      </c>
      <c r="N433" s="13">
        <f>Econ!S433</f>
        <v>601.5</v>
      </c>
      <c r="O433" s="13">
        <f>Econ!T433</f>
        <v>14</v>
      </c>
      <c r="P433" s="7" t="str">
        <f>Econ!A433</f>
        <v>Pikeman</v>
      </c>
      <c r="Q433" s="10">
        <f>Econ!C433</f>
        <v>179027.3705</v>
      </c>
      <c r="R433" s="10">
        <f>Econ!E433</f>
        <v>133.8512714</v>
      </c>
      <c r="S433" s="10">
        <f>Econ!G433</f>
        <v>26854.10557</v>
      </c>
      <c r="T433" s="10">
        <f>Econ!I433</f>
        <v>602.3307214</v>
      </c>
    </row>
    <row r="434">
      <c r="A434" s="7" t="str">
        <f>Econ!A434&amp;if(Econ!B434&lt;10,"_0"&amp;Econ!B434,"_"&amp;Econ!B434)</f>
        <v>Pikeman_133</v>
      </c>
      <c r="B434" s="7" t="str">
        <f>"T"&amp;Econ!B434&amp;" "&amp;Econ!A434</f>
        <v>T133 Pikeman</v>
      </c>
      <c r="C434" s="8">
        <f>Econ!B434</f>
        <v>133</v>
      </c>
      <c r="D434" s="7"/>
      <c r="E434" s="9"/>
      <c r="F434" s="9"/>
      <c r="G434" s="10">
        <f>Econ!L434</f>
        <v>57479</v>
      </c>
      <c r="H434" s="11">
        <f>Econ!M434</f>
        <v>5342</v>
      </c>
      <c r="I434" s="11" t="str">
        <f>Econ!N434</f>
        <v/>
      </c>
      <c r="J434" s="12">
        <f>Econ!O434</f>
        <v>2436</v>
      </c>
      <c r="K434" s="13">
        <f>Econ!P434</f>
        <v>14369.75</v>
      </c>
      <c r="L434" s="14">
        <f>Econ!Q434</f>
        <v>1335.5</v>
      </c>
      <c r="M434" s="14">
        <f>Econ!R434</f>
        <v>0</v>
      </c>
      <c r="N434" s="13">
        <f>Econ!S434</f>
        <v>609</v>
      </c>
      <c r="O434" s="13">
        <f>Econ!T434</f>
        <v>14</v>
      </c>
      <c r="P434" s="7" t="str">
        <f>Econ!A434</f>
        <v>Pikeman</v>
      </c>
      <c r="Q434" s="10">
        <f>Econ!C434</f>
        <v>187978.739</v>
      </c>
      <c r="R434" s="10">
        <f>Econ!E434</f>
        <v>136.5282969</v>
      </c>
      <c r="S434" s="10">
        <f>Econ!G434</f>
        <v>28196.81085</v>
      </c>
      <c r="T434" s="10">
        <f>Econ!I434</f>
        <v>614.3773358</v>
      </c>
    </row>
    <row r="435">
      <c r="A435" s="7" t="str">
        <f>Econ!A435&amp;if(Econ!B435&lt;10,"_0"&amp;Econ!B435,"_"&amp;Econ!B435)</f>
        <v>Pikeman_134</v>
      </c>
      <c r="B435" s="7" t="str">
        <f>"T"&amp;Econ!B435&amp;" "&amp;Econ!A435</f>
        <v>T134 Pikeman</v>
      </c>
      <c r="C435" s="8">
        <f>Econ!B435</f>
        <v>134</v>
      </c>
      <c r="D435" s="7"/>
      <c r="E435" s="9"/>
      <c r="F435" s="9"/>
      <c r="G435" s="10">
        <f>Econ!L435</f>
        <v>58205</v>
      </c>
      <c r="H435" s="11">
        <f>Econ!M435</f>
        <v>5401</v>
      </c>
      <c r="I435" s="11" t="str">
        <f>Econ!N435</f>
        <v/>
      </c>
      <c r="J435" s="12">
        <f>Econ!O435</f>
        <v>2466</v>
      </c>
      <c r="K435" s="13">
        <f>Econ!P435</f>
        <v>14551.25</v>
      </c>
      <c r="L435" s="14">
        <f>Econ!Q435</f>
        <v>1350.25</v>
      </c>
      <c r="M435" s="14">
        <f>Econ!R435</f>
        <v>0</v>
      </c>
      <c r="N435" s="13">
        <f>Econ!S435</f>
        <v>616.5</v>
      </c>
      <c r="O435" s="13">
        <f>Econ!T435</f>
        <v>14</v>
      </c>
      <c r="P435" s="7" t="str">
        <f>Econ!A435</f>
        <v>Pikeman</v>
      </c>
      <c r="Q435" s="10">
        <f>Econ!C435</f>
        <v>197377.676</v>
      </c>
      <c r="R435" s="10">
        <f>Econ!E435</f>
        <v>139.2588628</v>
      </c>
      <c r="S435" s="10">
        <f>Econ!G435</f>
        <v>29606.65139</v>
      </c>
      <c r="T435" s="10">
        <f>Econ!I435</f>
        <v>626.6648826</v>
      </c>
    </row>
    <row r="436">
      <c r="A436" s="7" t="str">
        <f>Econ!A436&amp;if(Econ!B436&lt;10,"_0"&amp;Econ!B436,"_"&amp;Econ!B436)</f>
        <v>Pikeman_135</v>
      </c>
      <c r="B436" s="7" t="str">
        <f>"T"&amp;Econ!B436&amp;" "&amp;Econ!A436</f>
        <v>T135 Pikeman</v>
      </c>
      <c r="C436" s="8">
        <f>Econ!B436</f>
        <v>135</v>
      </c>
      <c r="D436" s="7"/>
      <c r="E436" s="9"/>
      <c r="F436" s="9"/>
      <c r="G436" s="10">
        <f>Econ!L436</f>
        <v>58935</v>
      </c>
      <c r="H436" s="11">
        <f>Econ!M436</f>
        <v>5460</v>
      </c>
      <c r="I436" s="11" t="str">
        <f>Econ!N436</f>
        <v/>
      </c>
      <c r="J436" s="12">
        <f>Econ!O436</f>
        <v>2496</v>
      </c>
      <c r="K436" s="13">
        <f>Econ!P436</f>
        <v>14733.75</v>
      </c>
      <c r="L436" s="14">
        <f>Econ!Q436</f>
        <v>1365</v>
      </c>
      <c r="M436" s="14">
        <f>Econ!R436</f>
        <v>0</v>
      </c>
      <c r="N436" s="13">
        <f>Econ!S436</f>
        <v>624</v>
      </c>
      <c r="O436" s="13">
        <f>Econ!T436</f>
        <v>15</v>
      </c>
      <c r="P436" s="7" t="str">
        <f>Econ!A436</f>
        <v>Pikeman</v>
      </c>
      <c r="Q436" s="10">
        <f>Econ!C436</f>
        <v>207246.5598</v>
      </c>
      <c r="R436" s="10">
        <f>Econ!E436</f>
        <v>142.04404</v>
      </c>
      <c r="S436" s="10">
        <f>Econ!G436</f>
        <v>31086.98396</v>
      </c>
      <c r="T436" s="10">
        <f>Econ!I436</f>
        <v>639.1981802</v>
      </c>
    </row>
    <row r="437">
      <c r="A437" s="7" t="str">
        <f>Econ!A437&amp;if(Econ!B437&lt;10,"_0"&amp;Econ!B437,"_"&amp;Econ!B437)</f>
        <v>Pikeman_136</v>
      </c>
      <c r="B437" s="7" t="str">
        <f>"T"&amp;Econ!B437&amp;" "&amp;Econ!A437</f>
        <v>T136 Pikeman</v>
      </c>
      <c r="C437" s="8">
        <f>Econ!B437</f>
        <v>136</v>
      </c>
      <c r="D437" s="7"/>
      <c r="E437" s="9"/>
      <c r="F437" s="9"/>
      <c r="G437" s="10">
        <f>Econ!L437</f>
        <v>59668</v>
      </c>
      <c r="H437" s="11">
        <f>Econ!M437</f>
        <v>5520</v>
      </c>
      <c r="I437" s="11" t="str">
        <f>Econ!N437</f>
        <v/>
      </c>
      <c r="J437" s="12">
        <f>Econ!O437</f>
        <v>2526</v>
      </c>
      <c r="K437" s="13">
        <f>Econ!P437</f>
        <v>14917</v>
      </c>
      <c r="L437" s="14">
        <f>Econ!Q437</f>
        <v>1380</v>
      </c>
      <c r="M437" s="14">
        <f>Econ!R437</f>
        <v>0</v>
      </c>
      <c r="N437" s="13">
        <f>Econ!S437</f>
        <v>631.5</v>
      </c>
      <c r="O437" s="13">
        <f>Econ!T437</f>
        <v>15</v>
      </c>
      <c r="P437" s="7" t="str">
        <f>Econ!A437</f>
        <v>Pikeman</v>
      </c>
      <c r="Q437" s="10">
        <f>Econ!C437</f>
        <v>217608.8877</v>
      </c>
      <c r="R437" s="10">
        <f>Econ!E437</f>
        <v>144.8849208</v>
      </c>
      <c r="S437" s="10">
        <f>Econ!G437</f>
        <v>32641.33316</v>
      </c>
      <c r="T437" s="10">
        <f>Econ!I437</f>
        <v>651.9821438</v>
      </c>
    </row>
    <row r="438">
      <c r="A438" s="7" t="str">
        <f>Econ!A438&amp;if(Econ!B438&lt;10,"_0"&amp;Econ!B438,"_"&amp;Econ!B438)</f>
        <v>Pikeman_137</v>
      </c>
      <c r="B438" s="7" t="str">
        <f>"T"&amp;Econ!B438&amp;" "&amp;Econ!A438</f>
        <v>T137 Pikeman</v>
      </c>
      <c r="C438" s="8">
        <f>Econ!B438</f>
        <v>137</v>
      </c>
      <c r="D438" s="7"/>
      <c r="E438" s="9"/>
      <c r="F438" s="9"/>
      <c r="G438" s="10">
        <f>Econ!L438</f>
        <v>60405</v>
      </c>
      <c r="H438" s="11">
        <f>Econ!M438</f>
        <v>5580</v>
      </c>
      <c r="I438" s="11" t="str">
        <f>Econ!N438</f>
        <v/>
      </c>
      <c r="J438" s="12">
        <f>Econ!O438</f>
        <v>2556</v>
      </c>
      <c r="K438" s="13">
        <f>Econ!P438</f>
        <v>15101.25</v>
      </c>
      <c r="L438" s="14">
        <f>Econ!Q438</f>
        <v>1395</v>
      </c>
      <c r="M438" s="14">
        <f>Econ!R438</f>
        <v>0</v>
      </c>
      <c r="N438" s="13">
        <f>Econ!S438</f>
        <v>639</v>
      </c>
      <c r="O438" s="13">
        <f>Econ!T438</f>
        <v>15</v>
      </c>
      <c r="P438" s="7" t="str">
        <f>Econ!A438</f>
        <v>Pikeman</v>
      </c>
      <c r="Q438" s="10">
        <f>Econ!C438</f>
        <v>228489.3321</v>
      </c>
      <c r="R438" s="10">
        <f>Econ!E438</f>
        <v>147.7826193</v>
      </c>
      <c r="S438" s="10">
        <f>Econ!G438</f>
        <v>34273.39982</v>
      </c>
      <c r="T438" s="10">
        <f>Econ!I438</f>
        <v>665.0217867</v>
      </c>
    </row>
    <row r="439">
      <c r="A439" s="7" t="str">
        <f>Econ!A439&amp;if(Econ!B439&lt;10,"_0"&amp;Econ!B439,"_"&amp;Econ!B439)</f>
        <v>Pikeman_138</v>
      </c>
      <c r="B439" s="7" t="str">
        <f>"T"&amp;Econ!B439&amp;" "&amp;Econ!A439</f>
        <v>T138 Pikeman</v>
      </c>
      <c r="C439" s="8">
        <f>Econ!B439</f>
        <v>138</v>
      </c>
      <c r="D439" s="7"/>
      <c r="E439" s="9"/>
      <c r="F439" s="9"/>
      <c r="G439" s="10">
        <f>Econ!L439</f>
        <v>61146</v>
      </c>
      <c r="H439" s="11">
        <f>Econ!M439</f>
        <v>5640</v>
      </c>
      <c r="I439" s="11" t="str">
        <f>Econ!N439</f>
        <v/>
      </c>
      <c r="J439" s="12">
        <f>Econ!O439</f>
        <v>2587</v>
      </c>
      <c r="K439" s="13">
        <f>Econ!P439</f>
        <v>15286.5</v>
      </c>
      <c r="L439" s="14">
        <f>Econ!Q439</f>
        <v>1410</v>
      </c>
      <c r="M439" s="14">
        <f>Econ!R439</f>
        <v>0</v>
      </c>
      <c r="N439" s="13">
        <f>Econ!S439</f>
        <v>646.75</v>
      </c>
      <c r="O439" s="13">
        <f>Econ!T439</f>
        <v>15</v>
      </c>
      <c r="P439" s="7" t="str">
        <f>Econ!A439</f>
        <v>Pikeman</v>
      </c>
      <c r="Q439" s="10">
        <f>Econ!C439</f>
        <v>239913.7987</v>
      </c>
      <c r="R439" s="10">
        <f>Econ!E439</f>
        <v>150.7382716</v>
      </c>
      <c r="S439" s="10">
        <f>Econ!G439</f>
        <v>35987.06981</v>
      </c>
      <c r="T439" s="10">
        <f>Econ!I439</f>
        <v>678.3222224</v>
      </c>
    </row>
    <row r="440">
      <c r="A440" s="7" t="str">
        <f>Econ!A440&amp;if(Econ!B440&lt;10,"_0"&amp;Econ!B440,"_"&amp;Econ!B440)</f>
        <v>Pikeman_139</v>
      </c>
      <c r="B440" s="7" t="str">
        <f>"T"&amp;Econ!B440&amp;" "&amp;Econ!A440</f>
        <v>T139 Pikeman</v>
      </c>
      <c r="C440" s="8">
        <f>Econ!B440</f>
        <v>139</v>
      </c>
      <c r="D440" s="7"/>
      <c r="E440" s="9"/>
      <c r="F440" s="9"/>
      <c r="G440" s="10">
        <f>Econ!L440</f>
        <v>61891</v>
      </c>
      <c r="H440" s="11">
        <f>Econ!M440</f>
        <v>5701</v>
      </c>
      <c r="I440" s="11" t="str">
        <f>Econ!N440</f>
        <v/>
      </c>
      <c r="J440" s="12">
        <f>Econ!O440</f>
        <v>2618</v>
      </c>
      <c r="K440" s="13">
        <f>Econ!P440</f>
        <v>15472.75</v>
      </c>
      <c r="L440" s="14">
        <f>Econ!Q440</f>
        <v>1425.25</v>
      </c>
      <c r="M440" s="14">
        <f>Econ!R440</f>
        <v>0</v>
      </c>
      <c r="N440" s="13">
        <f>Econ!S440</f>
        <v>654.5</v>
      </c>
      <c r="O440" s="13">
        <f>Econ!T440</f>
        <v>15</v>
      </c>
      <c r="P440" s="7" t="str">
        <f>Econ!A440</f>
        <v>Pikeman</v>
      </c>
      <c r="Q440" s="10">
        <f>Econ!C440</f>
        <v>251909.4887</v>
      </c>
      <c r="R440" s="10">
        <f>Econ!E440</f>
        <v>153.7530371</v>
      </c>
      <c r="S440" s="10">
        <f>Econ!G440</f>
        <v>37786.4233</v>
      </c>
      <c r="T440" s="10">
        <f>Econ!I440</f>
        <v>691.8886669</v>
      </c>
    </row>
    <row r="441">
      <c r="A441" s="7" t="str">
        <f>Econ!A441&amp;if(Econ!B441&lt;10,"_0"&amp;Econ!B441,"_"&amp;Econ!B441)</f>
        <v>Pikeman_140</v>
      </c>
      <c r="B441" s="7" t="str">
        <f>"T"&amp;Econ!B441&amp;" "&amp;Econ!A441</f>
        <v>T140 Pikeman</v>
      </c>
      <c r="C441" s="8">
        <f>Econ!B441</f>
        <v>140</v>
      </c>
      <c r="D441" s="7"/>
      <c r="E441" s="9"/>
      <c r="F441" s="9"/>
      <c r="G441" s="10">
        <f>Econ!L441</f>
        <v>62640</v>
      </c>
      <c r="H441" s="11">
        <f>Econ!M441</f>
        <v>5762</v>
      </c>
      <c r="I441" s="11" t="str">
        <f>Econ!N441</f>
        <v/>
      </c>
      <c r="J441" s="12">
        <f>Econ!O441</f>
        <v>2649</v>
      </c>
      <c r="K441" s="13">
        <f>Econ!P441</f>
        <v>15660</v>
      </c>
      <c r="L441" s="14">
        <f>Econ!Q441</f>
        <v>1440.5</v>
      </c>
      <c r="M441" s="14">
        <f>Econ!R441</f>
        <v>0</v>
      </c>
      <c r="N441" s="13">
        <f>Econ!S441</f>
        <v>662.25</v>
      </c>
      <c r="O441" s="13">
        <f>Econ!T441</f>
        <v>15</v>
      </c>
      <c r="P441" s="7" t="str">
        <f>Econ!A441</f>
        <v>Pikeman</v>
      </c>
      <c r="Q441" s="10">
        <f>Econ!C441</f>
        <v>264504.9631</v>
      </c>
      <c r="R441" s="10">
        <f>Econ!E441</f>
        <v>156.8280978</v>
      </c>
      <c r="S441" s="10">
        <f>Econ!G441</f>
        <v>39675.74447</v>
      </c>
      <c r="T441" s="10">
        <f>Econ!I441</f>
        <v>705.7264402</v>
      </c>
    </row>
    <row r="442">
      <c r="A442" s="7" t="str">
        <f>Econ!A442&amp;if(Econ!B442&lt;10,"_0"&amp;Econ!B442,"_"&amp;Econ!B442)</f>
        <v>Pikeman_141</v>
      </c>
      <c r="B442" s="7" t="str">
        <f>"T"&amp;Econ!B442&amp;" "&amp;Econ!A442</f>
        <v>T141 Pikeman</v>
      </c>
      <c r="C442" s="8">
        <f>Econ!B442</f>
        <v>141</v>
      </c>
      <c r="D442" s="7"/>
      <c r="E442" s="9"/>
      <c r="F442" s="9"/>
      <c r="G442" s="10">
        <f>Econ!L442</f>
        <v>63392</v>
      </c>
      <c r="H442" s="11">
        <f>Econ!M442</f>
        <v>5823</v>
      </c>
      <c r="I442" s="11" t="str">
        <f>Econ!N442</f>
        <v/>
      </c>
      <c r="J442" s="12">
        <f>Econ!O442</f>
        <v>2680</v>
      </c>
      <c r="K442" s="13">
        <f>Econ!P442</f>
        <v>15848</v>
      </c>
      <c r="L442" s="14">
        <f>Econ!Q442</f>
        <v>1455.75</v>
      </c>
      <c r="M442" s="14">
        <f>Econ!R442</f>
        <v>0</v>
      </c>
      <c r="N442" s="13">
        <f>Econ!S442</f>
        <v>670</v>
      </c>
      <c r="O442" s="13">
        <f>Econ!T442</f>
        <v>15</v>
      </c>
      <c r="P442" s="7" t="str">
        <f>Econ!A442</f>
        <v>Pikeman</v>
      </c>
      <c r="Q442" s="10">
        <f>Econ!C442</f>
        <v>277730.2113</v>
      </c>
      <c r="R442" s="10">
        <f>Econ!E442</f>
        <v>159.9646598</v>
      </c>
      <c r="S442" s="10">
        <f>Econ!G442</f>
        <v>41659.53169</v>
      </c>
      <c r="T442" s="10">
        <f>Econ!I442</f>
        <v>719.840969</v>
      </c>
    </row>
    <row r="443">
      <c r="A443" s="7" t="str">
        <f>Econ!A443&amp;if(Econ!B443&lt;10,"_0"&amp;Econ!B443,"_"&amp;Econ!B443)</f>
        <v>Pikeman_142</v>
      </c>
      <c r="B443" s="7" t="str">
        <f>"T"&amp;Econ!B443&amp;" "&amp;Econ!A443</f>
        <v>T142 Pikeman</v>
      </c>
      <c r="C443" s="8">
        <f>Econ!B443</f>
        <v>142</v>
      </c>
      <c r="D443" s="7"/>
      <c r="E443" s="9"/>
      <c r="F443" s="9"/>
      <c r="G443" s="10">
        <f>Econ!L443</f>
        <v>64148</v>
      </c>
      <c r="H443" s="11">
        <f>Econ!M443</f>
        <v>5884</v>
      </c>
      <c r="I443" s="11" t="str">
        <f>Econ!N443</f>
        <v/>
      </c>
      <c r="J443" s="12">
        <f>Econ!O443</f>
        <v>2711</v>
      </c>
      <c r="K443" s="13">
        <f>Econ!P443</f>
        <v>16037</v>
      </c>
      <c r="L443" s="14">
        <f>Econ!Q443</f>
        <v>1471</v>
      </c>
      <c r="M443" s="14">
        <f>Econ!R443</f>
        <v>0</v>
      </c>
      <c r="N443" s="13">
        <f>Econ!S443</f>
        <v>677.75</v>
      </c>
      <c r="O443" s="13">
        <f>Econ!T443</f>
        <v>15</v>
      </c>
      <c r="P443" s="7" t="str">
        <f>Econ!A443</f>
        <v>Pikeman</v>
      </c>
      <c r="Q443" s="10">
        <f>Econ!C443</f>
        <v>291616.7218</v>
      </c>
      <c r="R443" s="10">
        <f>Econ!E443</f>
        <v>163.163953</v>
      </c>
      <c r="S443" s="10">
        <f>Econ!G443</f>
        <v>43742.50827</v>
      </c>
      <c r="T443" s="10">
        <f>Econ!I443</f>
        <v>734.2377884</v>
      </c>
    </row>
    <row r="444">
      <c r="A444" s="7" t="str">
        <f>Econ!A444&amp;if(Econ!B444&lt;10,"_0"&amp;Econ!B444,"_"&amp;Econ!B444)</f>
        <v>Pikeman_143</v>
      </c>
      <c r="B444" s="7" t="str">
        <f>"T"&amp;Econ!B444&amp;" "&amp;Econ!A444</f>
        <v>T143 Pikeman</v>
      </c>
      <c r="C444" s="8">
        <f>Econ!B444</f>
        <v>143</v>
      </c>
      <c r="D444" s="7"/>
      <c r="E444" s="9"/>
      <c r="F444" s="9"/>
      <c r="G444" s="10">
        <f>Econ!L444</f>
        <v>64908</v>
      </c>
      <c r="H444" s="11">
        <f>Econ!M444</f>
        <v>5946</v>
      </c>
      <c r="I444" s="11" t="str">
        <f>Econ!N444</f>
        <v/>
      </c>
      <c r="J444" s="12">
        <f>Econ!O444</f>
        <v>2742</v>
      </c>
      <c r="K444" s="13">
        <f>Econ!P444</f>
        <v>16227</v>
      </c>
      <c r="L444" s="14">
        <f>Econ!Q444</f>
        <v>1486.5</v>
      </c>
      <c r="M444" s="14">
        <f>Econ!R444</f>
        <v>0</v>
      </c>
      <c r="N444" s="13">
        <f>Econ!S444</f>
        <v>685.5</v>
      </c>
      <c r="O444" s="13">
        <f>Econ!T444</f>
        <v>15</v>
      </c>
      <c r="P444" s="7" t="str">
        <f>Econ!A444</f>
        <v>Pikeman</v>
      </c>
      <c r="Q444" s="10">
        <f>Econ!C444</f>
        <v>306197.5579</v>
      </c>
      <c r="R444" s="10">
        <f>Econ!E444</f>
        <v>166.427232</v>
      </c>
      <c r="S444" s="10">
        <f>Econ!G444</f>
        <v>45929.63369</v>
      </c>
      <c r="T444" s="10">
        <f>Econ!I444</f>
        <v>748.9225442</v>
      </c>
    </row>
    <row r="445">
      <c r="A445" s="7" t="str">
        <f>Econ!A445&amp;if(Econ!B445&lt;10,"_0"&amp;Econ!B445,"_"&amp;Econ!B445)</f>
        <v>Pikeman_144</v>
      </c>
      <c r="B445" s="7" t="str">
        <f>"T"&amp;Econ!B445&amp;" "&amp;Econ!A445</f>
        <v>T144 Pikeman</v>
      </c>
      <c r="C445" s="8">
        <f>Econ!B445</f>
        <v>144</v>
      </c>
      <c r="D445" s="7"/>
      <c r="E445" s="9"/>
      <c r="F445" s="9"/>
      <c r="G445" s="10">
        <f>Econ!L445</f>
        <v>65672</v>
      </c>
      <c r="H445" s="11">
        <f>Econ!M445</f>
        <v>6008</v>
      </c>
      <c r="I445" s="11" t="str">
        <f>Econ!N445</f>
        <v/>
      </c>
      <c r="J445" s="12">
        <f>Econ!O445</f>
        <v>2774</v>
      </c>
      <c r="K445" s="13">
        <f>Econ!P445</f>
        <v>16418</v>
      </c>
      <c r="L445" s="14">
        <f>Econ!Q445</f>
        <v>1502</v>
      </c>
      <c r="M445" s="14">
        <f>Econ!R445</f>
        <v>0</v>
      </c>
      <c r="N445" s="13">
        <f>Econ!S445</f>
        <v>693.5</v>
      </c>
      <c r="O445" s="13">
        <f>Econ!T445</f>
        <v>15</v>
      </c>
      <c r="P445" s="7" t="str">
        <f>Econ!A445</f>
        <v>Pikeman</v>
      </c>
      <c r="Q445" s="10">
        <f>Econ!C445</f>
        <v>321507.4358</v>
      </c>
      <c r="R445" s="10">
        <f>Econ!E445</f>
        <v>169.7557767</v>
      </c>
      <c r="S445" s="10">
        <f>Econ!G445</f>
        <v>48226.11537</v>
      </c>
      <c r="T445" s="10">
        <f>Econ!I445</f>
        <v>763.900995</v>
      </c>
    </row>
    <row r="446">
      <c r="A446" s="7" t="str">
        <f>Econ!A446&amp;if(Econ!B446&lt;10,"_0"&amp;Econ!B446,"_"&amp;Econ!B446)</f>
        <v>Pikeman_145</v>
      </c>
      <c r="B446" s="7" t="str">
        <f>"T"&amp;Econ!B446&amp;" "&amp;Econ!A446</f>
        <v>T145 Pikeman</v>
      </c>
      <c r="C446" s="8">
        <f>Econ!B446</f>
        <v>145</v>
      </c>
      <c r="D446" s="7"/>
      <c r="E446" s="9"/>
      <c r="F446" s="9"/>
      <c r="G446" s="10">
        <f>Econ!L446</f>
        <v>66439</v>
      </c>
      <c r="H446" s="11">
        <f>Econ!M446</f>
        <v>6070</v>
      </c>
      <c r="I446" s="11" t="str">
        <f>Econ!N446</f>
        <v/>
      </c>
      <c r="J446" s="12">
        <f>Econ!O446</f>
        <v>2806</v>
      </c>
      <c r="K446" s="13">
        <f>Econ!P446</f>
        <v>16609.75</v>
      </c>
      <c r="L446" s="14">
        <f>Econ!Q446</f>
        <v>1517.5</v>
      </c>
      <c r="M446" s="14">
        <f>Econ!R446</f>
        <v>0</v>
      </c>
      <c r="N446" s="13">
        <f>Econ!S446</f>
        <v>701.5</v>
      </c>
      <c r="O446" s="13">
        <f>Econ!T446</f>
        <v>16</v>
      </c>
      <c r="P446" s="7" t="str">
        <f>Econ!A446</f>
        <v>Pikeman</v>
      </c>
      <c r="Q446" s="10">
        <f>Econ!C446</f>
        <v>337582.8076</v>
      </c>
      <c r="R446" s="10">
        <f>Econ!E446</f>
        <v>173.1508922</v>
      </c>
      <c r="S446" s="10">
        <f>Econ!G446</f>
        <v>50637.42114</v>
      </c>
      <c r="T446" s="10">
        <f>Econ!I446</f>
        <v>779.1790149</v>
      </c>
    </row>
    <row r="447">
      <c r="A447" s="7" t="str">
        <f>Econ!A447&amp;if(Econ!B447&lt;10,"_0"&amp;Econ!B447,"_"&amp;Econ!B447)</f>
        <v>Pikeman_146</v>
      </c>
      <c r="B447" s="7" t="str">
        <f>"T"&amp;Econ!B447&amp;" "&amp;Econ!A447</f>
        <v>T146 Pikeman</v>
      </c>
      <c r="C447" s="8">
        <f>Econ!B447</f>
        <v>146</v>
      </c>
      <c r="D447" s="7"/>
      <c r="E447" s="9"/>
      <c r="F447" s="9"/>
      <c r="G447" s="10">
        <f>Econ!L447</f>
        <v>67210</v>
      </c>
      <c r="H447" s="11">
        <f>Econ!M447</f>
        <v>6133</v>
      </c>
      <c r="I447" s="11" t="str">
        <f>Econ!N447</f>
        <v/>
      </c>
      <c r="J447" s="12">
        <f>Econ!O447</f>
        <v>2838</v>
      </c>
      <c r="K447" s="13">
        <f>Econ!P447</f>
        <v>16802.5</v>
      </c>
      <c r="L447" s="14">
        <f>Econ!Q447</f>
        <v>1533.25</v>
      </c>
      <c r="M447" s="14">
        <f>Econ!R447</f>
        <v>0</v>
      </c>
      <c r="N447" s="13">
        <f>Econ!S447</f>
        <v>709.5</v>
      </c>
      <c r="O447" s="13">
        <f>Econ!T447</f>
        <v>16</v>
      </c>
      <c r="P447" s="7" t="str">
        <f>Econ!A447</f>
        <v>Pikeman</v>
      </c>
      <c r="Q447" s="10">
        <f>Econ!C447</f>
        <v>354461.948</v>
      </c>
      <c r="R447" s="10">
        <f>Econ!E447</f>
        <v>176.6139101</v>
      </c>
      <c r="S447" s="10">
        <f>Econ!G447</f>
        <v>53169.2922</v>
      </c>
      <c r="T447" s="10">
        <f>Econ!I447</f>
        <v>794.7625952</v>
      </c>
    </row>
    <row r="448">
      <c r="A448" s="7" t="str">
        <f>Econ!A448&amp;if(Econ!B448&lt;10,"_0"&amp;Econ!B448,"_"&amp;Econ!B448)</f>
        <v>Pikeman_147</v>
      </c>
      <c r="B448" s="7" t="str">
        <f>"T"&amp;Econ!B448&amp;" "&amp;Econ!A448</f>
        <v>T147 Pikeman</v>
      </c>
      <c r="C448" s="8">
        <f>Econ!B448</f>
        <v>147</v>
      </c>
      <c r="D448" s="7"/>
      <c r="E448" s="9"/>
      <c r="F448" s="9"/>
      <c r="G448" s="10">
        <f>Econ!L448</f>
        <v>67985</v>
      </c>
      <c r="H448" s="11">
        <f>Econ!M448</f>
        <v>6196</v>
      </c>
      <c r="I448" s="11" t="str">
        <f>Econ!N448</f>
        <v/>
      </c>
      <c r="J448" s="12">
        <f>Econ!O448</f>
        <v>2870</v>
      </c>
      <c r="K448" s="13">
        <f>Econ!P448</f>
        <v>16996.25</v>
      </c>
      <c r="L448" s="14">
        <f>Econ!Q448</f>
        <v>1549</v>
      </c>
      <c r="M448" s="14">
        <f>Econ!R448</f>
        <v>0</v>
      </c>
      <c r="N448" s="13">
        <f>Econ!S448</f>
        <v>717.5</v>
      </c>
      <c r="O448" s="13">
        <f>Econ!T448</f>
        <v>16</v>
      </c>
      <c r="P448" s="7" t="str">
        <f>Econ!A448</f>
        <v>Pikeman</v>
      </c>
      <c r="Q448" s="10">
        <f>Econ!C448</f>
        <v>372185.0454</v>
      </c>
      <c r="R448" s="10">
        <f>Econ!E448</f>
        <v>180.1461883</v>
      </c>
      <c r="S448" s="10">
        <f>Econ!G448</f>
        <v>55827.75681</v>
      </c>
      <c r="T448" s="10">
        <f>Econ!I448</f>
        <v>810.6578471</v>
      </c>
    </row>
    <row r="449">
      <c r="A449" s="7" t="str">
        <f>Econ!A449&amp;if(Econ!B449&lt;10,"_0"&amp;Econ!B449,"_"&amp;Econ!B449)</f>
        <v>Pikeman_148</v>
      </c>
      <c r="B449" s="7" t="str">
        <f>"T"&amp;Econ!B449&amp;" "&amp;Econ!A449</f>
        <v>T148 Pikeman</v>
      </c>
      <c r="C449" s="8">
        <f>Econ!B449</f>
        <v>148</v>
      </c>
      <c r="D449" s="7"/>
      <c r="E449" s="9"/>
      <c r="F449" s="9"/>
      <c r="G449" s="10">
        <f>Econ!L449</f>
        <v>68763</v>
      </c>
      <c r="H449" s="11">
        <f>Econ!M449</f>
        <v>6259</v>
      </c>
      <c r="I449" s="11" t="str">
        <f>Econ!N449</f>
        <v/>
      </c>
      <c r="J449" s="12">
        <f>Econ!O449</f>
        <v>2902</v>
      </c>
      <c r="K449" s="13">
        <f>Econ!P449</f>
        <v>17190.75</v>
      </c>
      <c r="L449" s="14">
        <f>Econ!Q449</f>
        <v>1564.75</v>
      </c>
      <c r="M449" s="14">
        <f>Econ!R449</f>
        <v>0</v>
      </c>
      <c r="N449" s="13">
        <f>Econ!S449</f>
        <v>725.5</v>
      </c>
      <c r="O449" s="13">
        <f>Econ!T449</f>
        <v>16</v>
      </c>
      <c r="P449" s="7" t="str">
        <f>Econ!A449</f>
        <v>Pikeman</v>
      </c>
      <c r="Q449" s="10">
        <f>Econ!C449</f>
        <v>390794.2976</v>
      </c>
      <c r="R449" s="10">
        <f>Econ!E449</f>
        <v>183.749112</v>
      </c>
      <c r="S449" s="10">
        <f>Econ!G449</f>
        <v>58619.14465</v>
      </c>
      <c r="T449" s="10">
        <f>Econ!I449</f>
        <v>826.8710041</v>
      </c>
    </row>
    <row r="450">
      <c r="A450" s="7" t="str">
        <f>Econ!A450&amp;if(Econ!B450&lt;10,"_0"&amp;Econ!B450,"_"&amp;Econ!B450)</f>
        <v>Pikeman_149</v>
      </c>
      <c r="B450" s="7" t="str">
        <f>"T"&amp;Econ!B450&amp;" "&amp;Econ!A450</f>
        <v>T149 Pikeman</v>
      </c>
      <c r="C450" s="8">
        <f>Econ!B450</f>
        <v>149</v>
      </c>
      <c r="D450" s="7"/>
      <c r="E450" s="9"/>
      <c r="F450" s="9"/>
      <c r="G450" s="10">
        <f>Econ!L450</f>
        <v>69545</v>
      </c>
      <c r="H450" s="11">
        <f>Econ!M450</f>
        <v>6322</v>
      </c>
      <c r="I450" s="11" t="str">
        <f>Econ!N450</f>
        <v/>
      </c>
      <c r="J450" s="12">
        <f>Econ!O450</f>
        <v>2934</v>
      </c>
      <c r="K450" s="13">
        <f>Econ!P450</f>
        <v>17386.25</v>
      </c>
      <c r="L450" s="14">
        <f>Econ!Q450</f>
        <v>1580.5</v>
      </c>
      <c r="M450" s="14">
        <f>Econ!R450</f>
        <v>0</v>
      </c>
      <c r="N450" s="13">
        <f>Econ!S450</f>
        <v>733.5</v>
      </c>
      <c r="O450" s="13">
        <f>Econ!T450</f>
        <v>16</v>
      </c>
      <c r="P450" s="7" t="str">
        <f>Econ!A450</f>
        <v>Pikeman</v>
      </c>
      <c r="Q450" s="10">
        <f>Econ!C450</f>
        <v>410334.0125</v>
      </c>
      <c r="R450" s="10">
        <f>Econ!E450</f>
        <v>187.4240943</v>
      </c>
      <c r="S450" s="10">
        <f>Econ!G450</f>
        <v>61550.10188</v>
      </c>
      <c r="T450" s="10">
        <f>Econ!I450</f>
        <v>843.4084242</v>
      </c>
    </row>
    <row r="451">
      <c r="A451" s="7" t="str">
        <f>Econ!A451&amp;if(Econ!B451&lt;10,"_0"&amp;Econ!B451,"_"&amp;Econ!B451)</f>
        <v>Pikeman_150</v>
      </c>
      <c r="B451" s="7" t="str">
        <f>"T"&amp;Econ!B451&amp;" "&amp;Econ!A451</f>
        <v>T150 Pikeman</v>
      </c>
      <c r="C451" s="8">
        <f>Econ!B451</f>
        <v>150</v>
      </c>
      <c r="D451" s="7"/>
      <c r="E451" s="9"/>
      <c r="F451" s="9"/>
      <c r="G451" s="10">
        <f>Econ!L451</f>
        <v>70331</v>
      </c>
      <c r="H451" s="11">
        <f>Econ!M451</f>
        <v>6386</v>
      </c>
      <c r="I451" s="11" t="str">
        <f>Econ!N451</f>
        <v/>
      </c>
      <c r="J451" s="12">
        <f>Econ!O451</f>
        <v>2966</v>
      </c>
      <c r="K451" s="13">
        <f>Econ!P451</f>
        <v>17582.75</v>
      </c>
      <c r="L451" s="14">
        <f>Econ!Q451</f>
        <v>1596.5</v>
      </c>
      <c r="M451" s="14">
        <f>Econ!R451</f>
        <v>0</v>
      </c>
      <c r="N451" s="13">
        <f>Econ!S451</f>
        <v>741.5</v>
      </c>
      <c r="O451" s="13">
        <f>Econ!T451</f>
        <v>16</v>
      </c>
      <c r="P451" s="7" t="str">
        <f>Econ!A451</f>
        <v>Pikeman</v>
      </c>
      <c r="Q451" s="10">
        <f>Econ!C451</f>
        <v>430850.7132</v>
      </c>
      <c r="R451" s="10">
        <f>Econ!E451</f>
        <v>191.1725761</v>
      </c>
      <c r="S451" s="10">
        <f>Econ!G451</f>
        <v>64627.60697</v>
      </c>
      <c r="T451" s="10">
        <f>Econ!I451</f>
        <v>860.2765927</v>
      </c>
    </row>
    <row r="452">
      <c r="A452" s="7" t="str">
        <f>Econ!A452&amp;if(Econ!B452&lt;10,"_0"&amp;Econ!B452,"_"&amp;Econ!B452)</f>
        <v>Pikeman_151</v>
      </c>
      <c r="B452" s="7" t="str">
        <f>"T"&amp;Econ!B452&amp;" "&amp;Econ!A452</f>
        <v>T151 Pikeman</v>
      </c>
      <c r="C452" s="8">
        <f>Econ!B452</f>
        <v>151</v>
      </c>
      <c r="D452" s="7"/>
      <c r="E452" s="9"/>
      <c r="F452" s="9"/>
      <c r="G452" s="10">
        <f>Econ!L452</f>
        <v>71121</v>
      </c>
      <c r="H452" s="11">
        <f>Econ!M452</f>
        <v>6450</v>
      </c>
      <c r="I452" s="11" t="str">
        <f>Econ!N452</f>
        <v/>
      </c>
      <c r="J452" s="12">
        <f>Econ!O452</f>
        <v>2999</v>
      </c>
      <c r="K452" s="13">
        <f>Econ!P452</f>
        <v>17780.25</v>
      </c>
      <c r="L452" s="14">
        <f>Econ!Q452</f>
        <v>1612.5</v>
      </c>
      <c r="M452" s="14">
        <f>Econ!R452</f>
        <v>0</v>
      </c>
      <c r="N452" s="13">
        <f>Econ!S452</f>
        <v>749.75</v>
      </c>
      <c r="O452" s="13">
        <f>Econ!T452</f>
        <v>16</v>
      </c>
      <c r="P452" s="7" t="str">
        <f>Econ!A452</f>
        <v>Pikeman</v>
      </c>
      <c r="Q452" s="10">
        <f>Econ!C452</f>
        <v>452393.2488</v>
      </c>
      <c r="R452" s="10">
        <f>Econ!E452</f>
        <v>194.9960277</v>
      </c>
      <c r="S452" s="10">
        <f>Econ!G452</f>
        <v>67858.98732</v>
      </c>
      <c r="T452" s="10">
        <f>Econ!I452</f>
        <v>877.4821245</v>
      </c>
    </row>
    <row r="453">
      <c r="A453" s="7" t="str">
        <f>Econ!A453&amp;if(Econ!B453&lt;10,"_0"&amp;Econ!B453,"_"&amp;Econ!B453)</f>
        <v>Pikeman_152</v>
      </c>
      <c r="B453" s="7" t="str">
        <f>"T"&amp;Econ!B453&amp;" "&amp;Econ!A453</f>
        <v>T152 Pikeman</v>
      </c>
      <c r="C453" s="8">
        <f>Econ!B453</f>
        <v>152</v>
      </c>
      <c r="D453" s="7"/>
      <c r="E453" s="9"/>
      <c r="F453" s="9"/>
      <c r="G453" s="10">
        <f>Econ!L453</f>
        <v>71914</v>
      </c>
      <c r="H453" s="11">
        <f>Econ!M453</f>
        <v>6514</v>
      </c>
      <c r="I453" s="11" t="str">
        <f>Econ!N453</f>
        <v/>
      </c>
      <c r="J453" s="12">
        <f>Econ!O453</f>
        <v>3032</v>
      </c>
      <c r="K453" s="13">
        <f>Econ!P453</f>
        <v>17978.5</v>
      </c>
      <c r="L453" s="14">
        <f>Econ!Q453</f>
        <v>1628.5</v>
      </c>
      <c r="M453" s="14">
        <f>Econ!R453</f>
        <v>0</v>
      </c>
      <c r="N453" s="13">
        <f>Econ!S453</f>
        <v>758</v>
      </c>
      <c r="O453" s="13">
        <f>Econ!T453</f>
        <v>16</v>
      </c>
      <c r="P453" s="7" t="str">
        <f>Econ!A453</f>
        <v>Pikeman</v>
      </c>
      <c r="Q453" s="10">
        <f>Econ!C453</f>
        <v>475012.9113</v>
      </c>
      <c r="R453" s="10">
        <f>Econ!E453</f>
        <v>198.8959482</v>
      </c>
      <c r="S453" s="10">
        <f>Econ!G453</f>
        <v>71251.93669</v>
      </c>
      <c r="T453" s="10">
        <f>Econ!I453</f>
        <v>895.031767</v>
      </c>
    </row>
    <row r="454">
      <c r="A454" s="7" t="str">
        <f>Econ!A454&amp;if(Econ!B454&lt;10,"_0"&amp;Econ!B454,"_"&amp;Econ!B454)</f>
        <v>Pikeman_153</v>
      </c>
      <c r="B454" s="7" t="str">
        <f>"T"&amp;Econ!B454&amp;" "&amp;Econ!A454</f>
        <v>T153 Pikeman</v>
      </c>
      <c r="C454" s="8">
        <f>Econ!B454</f>
        <v>153</v>
      </c>
      <c r="D454" s="7"/>
      <c r="E454" s="9"/>
      <c r="F454" s="9"/>
      <c r="G454" s="10">
        <f>Econ!L454</f>
        <v>72711</v>
      </c>
      <c r="H454" s="11">
        <f>Econ!M454</f>
        <v>6579</v>
      </c>
      <c r="I454" s="11" t="str">
        <f>Econ!N454</f>
        <v/>
      </c>
      <c r="J454" s="12">
        <f>Econ!O454</f>
        <v>3065</v>
      </c>
      <c r="K454" s="13">
        <f>Econ!P454</f>
        <v>18177.75</v>
      </c>
      <c r="L454" s="14">
        <f>Econ!Q454</f>
        <v>1644.75</v>
      </c>
      <c r="M454" s="14">
        <f>Econ!R454</f>
        <v>0</v>
      </c>
      <c r="N454" s="13">
        <f>Econ!S454</f>
        <v>766.25</v>
      </c>
      <c r="O454" s="13">
        <f>Econ!T454</f>
        <v>16</v>
      </c>
      <c r="P454" s="7" t="str">
        <f>Econ!A454</f>
        <v>Pikeman</v>
      </c>
      <c r="Q454" s="10">
        <f>Econ!C454</f>
        <v>498763.5568</v>
      </c>
      <c r="R454" s="10">
        <f>Econ!E454</f>
        <v>202.8738672</v>
      </c>
      <c r="S454" s="10">
        <f>Econ!G454</f>
        <v>74814.53352</v>
      </c>
      <c r="T454" s="10">
        <f>Econ!I454</f>
        <v>912.9324023</v>
      </c>
    </row>
    <row r="455">
      <c r="A455" s="7" t="str">
        <f>Econ!A455&amp;if(Econ!B455&lt;10,"_0"&amp;Econ!B455,"_"&amp;Econ!B455)</f>
        <v>Pikeman_154</v>
      </c>
      <c r="B455" s="7" t="str">
        <f>"T"&amp;Econ!B455&amp;" "&amp;Econ!A455</f>
        <v>T154 Pikeman</v>
      </c>
      <c r="C455" s="8">
        <f>Econ!B455</f>
        <v>154</v>
      </c>
      <c r="D455" s="7"/>
      <c r="E455" s="9"/>
      <c r="F455" s="9"/>
      <c r="G455" s="10">
        <f>Econ!L455</f>
        <v>73512</v>
      </c>
      <c r="H455" s="11">
        <f>Econ!M455</f>
        <v>6644</v>
      </c>
      <c r="I455" s="11" t="str">
        <f>Econ!N455</f>
        <v/>
      </c>
      <c r="J455" s="12">
        <f>Econ!O455</f>
        <v>3098</v>
      </c>
      <c r="K455" s="13">
        <f>Econ!P455</f>
        <v>18378</v>
      </c>
      <c r="L455" s="14">
        <f>Econ!Q455</f>
        <v>1661</v>
      </c>
      <c r="M455" s="14">
        <f>Econ!R455</f>
        <v>0</v>
      </c>
      <c r="N455" s="13">
        <f>Econ!S455</f>
        <v>774.5</v>
      </c>
      <c r="O455" s="13">
        <f>Econ!T455</f>
        <v>16</v>
      </c>
      <c r="P455" s="7" t="str">
        <f>Econ!A455</f>
        <v>Pikeman</v>
      </c>
      <c r="Q455" s="10">
        <f>Econ!C455</f>
        <v>523701.7347</v>
      </c>
      <c r="R455" s="10">
        <f>Econ!E455</f>
        <v>206.9313445</v>
      </c>
      <c r="S455" s="10">
        <f>Econ!G455</f>
        <v>78555.2602</v>
      </c>
      <c r="T455" s="10">
        <f>Econ!I455</f>
        <v>931.1910504</v>
      </c>
    </row>
    <row r="456">
      <c r="A456" s="7" t="str">
        <f>Econ!A456&amp;if(Econ!B456&lt;10,"_0"&amp;Econ!B456,"_"&amp;Econ!B456)</f>
        <v>Pikeman_155</v>
      </c>
      <c r="B456" s="7" t="str">
        <f>"T"&amp;Econ!B456&amp;" "&amp;Econ!A456</f>
        <v>T155 Pikeman</v>
      </c>
      <c r="C456" s="8">
        <f>Econ!B456</f>
        <v>155</v>
      </c>
      <c r="D456" s="7"/>
      <c r="E456" s="9"/>
      <c r="F456" s="9"/>
      <c r="G456" s="10">
        <f>Econ!L456</f>
        <v>74316</v>
      </c>
      <c r="H456" s="11">
        <f>Econ!M456</f>
        <v>6709</v>
      </c>
      <c r="I456" s="11" t="str">
        <f>Econ!N456</f>
        <v/>
      </c>
      <c r="J456" s="12">
        <f>Econ!O456</f>
        <v>3131</v>
      </c>
      <c r="K456" s="13">
        <f>Econ!P456</f>
        <v>18579</v>
      </c>
      <c r="L456" s="14">
        <f>Econ!Q456</f>
        <v>1677.25</v>
      </c>
      <c r="M456" s="14">
        <f>Econ!R456</f>
        <v>0</v>
      </c>
      <c r="N456" s="13">
        <f>Econ!S456</f>
        <v>782.75</v>
      </c>
      <c r="O456" s="13">
        <f>Econ!T456</f>
        <v>17</v>
      </c>
      <c r="P456" s="7" t="str">
        <f>Econ!A456</f>
        <v>Pikeman</v>
      </c>
      <c r="Q456" s="10">
        <f>Econ!C456</f>
        <v>549886.8214</v>
      </c>
      <c r="R456" s="10">
        <f>Econ!E456</f>
        <v>211.0699714</v>
      </c>
      <c r="S456" s="10">
        <f>Econ!G456</f>
        <v>82483.02321</v>
      </c>
      <c r="T456" s="10">
        <f>Econ!I456</f>
        <v>949.8148714</v>
      </c>
    </row>
    <row r="457">
      <c r="A457" s="7" t="str">
        <f>Econ!A457&amp;if(Econ!B457&lt;10,"_0"&amp;Econ!B457,"_"&amp;Econ!B457)</f>
        <v>Pikeman_156</v>
      </c>
      <c r="B457" s="7" t="str">
        <f>"T"&amp;Econ!B457&amp;" "&amp;Econ!A457</f>
        <v>T156 Pikeman</v>
      </c>
      <c r="C457" s="8">
        <f>Econ!B457</f>
        <v>156</v>
      </c>
      <c r="D457" s="7"/>
      <c r="E457" s="9"/>
      <c r="F457" s="9"/>
      <c r="G457" s="10">
        <f>Econ!L457</f>
        <v>75124</v>
      </c>
      <c r="H457" s="11">
        <f>Econ!M457</f>
        <v>6775</v>
      </c>
      <c r="I457" s="11" t="str">
        <f>Econ!N457</f>
        <v/>
      </c>
      <c r="J457" s="12">
        <f>Econ!O457</f>
        <v>3164</v>
      </c>
      <c r="K457" s="13">
        <f>Econ!P457</f>
        <v>18781</v>
      </c>
      <c r="L457" s="14">
        <f>Econ!Q457</f>
        <v>1693.75</v>
      </c>
      <c r="M457" s="14">
        <f>Econ!R457</f>
        <v>0</v>
      </c>
      <c r="N457" s="13">
        <f>Econ!S457</f>
        <v>791</v>
      </c>
      <c r="O457" s="13">
        <f>Econ!T457</f>
        <v>17</v>
      </c>
      <c r="P457" s="7" t="str">
        <f>Econ!A457</f>
        <v>Pikeman</v>
      </c>
      <c r="Q457" s="10">
        <f>Econ!C457</f>
        <v>577381.1625</v>
      </c>
      <c r="R457" s="10">
        <f>Econ!E457</f>
        <v>215.2913708</v>
      </c>
      <c r="S457" s="10">
        <f>Econ!G457</f>
        <v>86607.17437</v>
      </c>
      <c r="T457" s="10">
        <f>Econ!I457</f>
        <v>968.8111688</v>
      </c>
    </row>
    <row r="458">
      <c r="A458" s="7" t="str">
        <f>Econ!A458&amp;if(Econ!B458&lt;10,"_0"&amp;Econ!B458,"_"&amp;Econ!B458)</f>
        <v>Pikeman_157</v>
      </c>
      <c r="B458" s="7" t="str">
        <f>"T"&amp;Econ!B458&amp;" "&amp;Econ!A458</f>
        <v>T157 Pikeman</v>
      </c>
      <c r="C458" s="8">
        <f>Econ!B458</f>
        <v>157</v>
      </c>
      <c r="D458" s="7"/>
      <c r="E458" s="9"/>
      <c r="F458" s="9"/>
      <c r="G458" s="10">
        <f>Econ!L458</f>
        <v>75935</v>
      </c>
      <c r="H458" s="11">
        <f>Econ!M458</f>
        <v>6841</v>
      </c>
      <c r="I458" s="11" t="str">
        <f>Econ!N458</f>
        <v/>
      </c>
      <c r="J458" s="12">
        <f>Econ!O458</f>
        <v>3197</v>
      </c>
      <c r="K458" s="13">
        <f>Econ!P458</f>
        <v>18983.75</v>
      </c>
      <c r="L458" s="14">
        <f>Econ!Q458</f>
        <v>1710.25</v>
      </c>
      <c r="M458" s="14">
        <f>Econ!R458</f>
        <v>0</v>
      </c>
      <c r="N458" s="13">
        <f>Econ!S458</f>
        <v>799.25</v>
      </c>
      <c r="O458" s="13">
        <f>Econ!T458</f>
        <v>17</v>
      </c>
      <c r="P458" s="7" t="str">
        <f>Econ!A458</f>
        <v>Pikeman</v>
      </c>
      <c r="Q458" s="10">
        <f>Econ!C458</f>
        <v>606250.2206</v>
      </c>
      <c r="R458" s="10">
        <f>Econ!E458</f>
        <v>219.5971983</v>
      </c>
      <c r="S458" s="10">
        <f>Econ!G458</f>
        <v>90937.53309</v>
      </c>
      <c r="T458" s="10">
        <f>Econ!I458</f>
        <v>988.1873922</v>
      </c>
    </row>
    <row r="459">
      <c r="A459" s="7" t="str">
        <f>Econ!A459&amp;if(Econ!B459&lt;10,"_0"&amp;Econ!B459,"_"&amp;Econ!B459)</f>
        <v>Pikeman_158</v>
      </c>
      <c r="B459" s="7" t="str">
        <f>"T"&amp;Econ!B459&amp;" "&amp;Econ!A459</f>
        <v>T158 Pikeman</v>
      </c>
      <c r="C459" s="8">
        <f>Econ!B459</f>
        <v>158</v>
      </c>
      <c r="D459" s="7"/>
      <c r="E459" s="9"/>
      <c r="F459" s="9"/>
      <c r="G459" s="10">
        <f>Econ!L459</f>
        <v>76750</v>
      </c>
      <c r="H459" s="11">
        <f>Econ!M459</f>
        <v>6907</v>
      </c>
      <c r="I459" s="11" t="str">
        <f>Econ!N459</f>
        <v/>
      </c>
      <c r="J459" s="12">
        <f>Econ!O459</f>
        <v>3231</v>
      </c>
      <c r="K459" s="13">
        <f>Econ!P459</f>
        <v>19187.5</v>
      </c>
      <c r="L459" s="14">
        <f>Econ!Q459</f>
        <v>1726.75</v>
      </c>
      <c r="M459" s="14">
        <f>Econ!R459</f>
        <v>0</v>
      </c>
      <c r="N459" s="13">
        <f>Econ!S459</f>
        <v>807.75</v>
      </c>
      <c r="O459" s="13">
        <f>Econ!T459</f>
        <v>17</v>
      </c>
      <c r="P459" s="7" t="str">
        <f>Econ!A459</f>
        <v>Pikeman</v>
      </c>
      <c r="Q459" s="10">
        <f>Econ!C459</f>
        <v>636562.7316</v>
      </c>
      <c r="R459" s="10">
        <f>Econ!E459</f>
        <v>223.9891422</v>
      </c>
      <c r="S459" s="10">
        <f>Econ!G459</f>
        <v>95484.40974</v>
      </c>
      <c r="T459" s="10">
        <f>Econ!I459</f>
        <v>1007.95114</v>
      </c>
    </row>
    <row r="460">
      <c r="A460" s="7" t="str">
        <f>Econ!A460&amp;if(Econ!B460&lt;10,"_0"&amp;Econ!B460,"_"&amp;Econ!B460)</f>
        <v>Pikeman_159</v>
      </c>
      <c r="B460" s="7" t="str">
        <f>"T"&amp;Econ!B460&amp;" "&amp;Econ!A460</f>
        <v>T159 Pikeman</v>
      </c>
      <c r="C460" s="8">
        <f>Econ!B460</f>
        <v>159</v>
      </c>
      <c r="D460" s="7"/>
      <c r="E460" s="9"/>
      <c r="F460" s="9"/>
      <c r="G460" s="10">
        <f>Econ!L460</f>
        <v>77569</v>
      </c>
      <c r="H460" s="11">
        <f>Econ!M460</f>
        <v>6973</v>
      </c>
      <c r="I460" s="11" t="str">
        <f>Econ!N460</f>
        <v/>
      </c>
      <c r="J460" s="12">
        <f>Econ!O460</f>
        <v>3265</v>
      </c>
      <c r="K460" s="13">
        <f>Econ!P460</f>
        <v>19392.25</v>
      </c>
      <c r="L460" s="14">
        <f>Econ!Q460</f>
        <v>1743.25</v>
      </c>
      <c r="M460" s="14">
        <f>Econ!R460</f>
        <v>0</v>
      </c>
      <c r="N460" s="13">
        <f>Econ!S460</f>
        <v>816.25</v>
      </c>
      <c r="O460" s="13">
        <f>Econ!T460</f>
        <v>17</v>
      </c>
      <c r="P460" s="7" t="str">
        <f>Econ!A460</f>
        <v>Pikeman</v>
      </c>
      <c r="Q460" s="10">
        <f>Econ!C460</f>
        <v>668390.8682</v>
      </c>
      <c r="R460" s="10">
        <f>Econ!E460</f>
        <v>228.4689251</v>
      </c>
      <c r="S460" s="10">
        <f>Econ!G460</f>
        <v>100258.6302</v>
      </c>
      <c r="T460" s="10">
        <f>Econ!I460</f>
        <v>1028.110163</v>
      </c>
    </row>
    <row r="461">
      <c r="A461" s="7" t="str">
        <f>Econ!A461&amp;if(Econ!B461&lt;10,"_0"&amp;Econ!B461,"_"&amp;Econ!B461)</f>
        <v>Pikeman_160</v>
      </c>
      <c r="B461" s="7" t="str">
        <f>"T"&amp;Econ!B461&amp;" "&amp;Econ!A461</f>
        <v>T160 Pikeman</v>
      </c>
      <c r="C461" s="8">
        <f>Econ!B461</f>
        <v>160</v>
      </c>
      <c r="D461" s="7"/>
      <c r="E461" s="9"/>
      <c r="F461" s="9"/>
      <c r="G461" s="10">
        <f>Econ!L461</f>
        <v>78391</v>
      </c>
      <c r="H461" s="11">
        <f>Econ!M461</f>
        <v>7040</v>
      </c>
      <c r="I461" s="11" t="str">
        <f>Econ!N461</f>
        <v/>
      </c>
      <c r="J461" s="12">
        <f>Econ!O461</f>
        <v>3299</v>
      </c>
      <c r="K461" s="13">
        <f>Econ!P461</f>
        <v>19597.75</v>
      </c>
      <c r="L461" s="14">
        <f>Econ!Q461</f>
        <v>1760</v>
      </c>
      <c r="M461" s="14">
        <f>Econ!R461</f>
        <v>0</v>
      </c>
      <c r="N461" s="13">
        <f>Econ!S461</f>
        <v>824.75</v>
      </c>
      <c r="O461" s="13">
        <f>Econ!T461</f>
        <v>17</v>
      </c>
      <c r="P461" s="7" t="str">
        <f>Econ!A461</f>
        <v>Pikeman</v>
      </c>
      <c r="Q461" s="10">
        <f>Econ!C461</f>
        <v>701810.4116</v>
      </c>
      <c r="R461" s="10">
        <f>Econ!E461</f>
        <v>233.0383036</v>
      </c>
      <c r="S461" s="10">
        <f>Econ!G461</f>
        <v>105271.5617</v>
      </c>
      <c r="T461" s="10">
        <f>Econ!I461</f>
        <v>1048.672366</v>
      </c>
    </row>
    <row r="462">
      <c r="A462" s="7" t="str">
        <f>Econ!A462&amp;if(Econ!B462&lt;10,"_0"&amp;Econ!B462,"_"&amp;Econ!B462)</f>
        <v>Pikeman_161</v>
      </c>
      <c r="B462" s="7" t="str">
        <f>"T"&amp;Econ!B462&amp;" "&amp;Econ!A462</f>
        <v>T161 Pikeman</v>
      </c>
      <c r="C462" s="8">
        <f>Econ!B462</f>
        <v>161</v>
      </c>
      <c r="D462" s="7"/>
      <c r="E462" s="9"/>
      <c r="F462" s="9"/>
      <c r="G462" s="10">
        <f>Econ!L462</f>
        <v>79217</v>
      </c>
      <c r="H462" s="11">
        <f>Econ!M462</f>
        <v>7107</v>
      </c>
      <c r="I462" s="11" t="str">
        <f>Econ!N462</f>
        <v/>
      </c>
      <c r="J462" s="12">
        <f>Econ!O462</f>
        <v>3333</v>
      </c>
      <c r="K462" s="13">
        <f>Econ!P462</f>
        <v>19804.25</v>
      </c>
      <c r="L462" s="14">
        <f>Econ!Q462</f>
        <v>1776.75</v>
      </c>
      <c r="M462" s="14">
        <f>Econ!R462</f>
        <v>0</v>
      </c>
      <c r="N462" s="13">
        <f>Econ!S462</f>
        <v>833.25</v>
      </c>
      <c r="O462" s="13">
        <f>Econ!T462</f>
        <v>17</v>
      </c>
      <c r="P462" s="7" t="str">
        <f>Econ!A462</f>
        <v>Pikeman</v>
      </c>
      <c r="Q462" s="10">
        <f>Econ!C462</f>
        <v>736900.9322</v>
      </c>
      <c r="R462" s="10">
        <f>Econ!E462</f>
        <v>237.6990696</v>
      </c>
      <c r="S462" s="10">
        <f>Econ!G462</f>
        <v>110535.1398</v>
      </c>
      <c r="T462" s="10">
        <f>Econ!I462</f>
        <v>1069.645813</v>
      </c>
    </row>
    <row r="463">
      <c r="A463" s="7" t="str">
        <f>Econ!A463&amp;if(Econ!B463&lt;10,"_0"&amp;Econ!B463,"_"&amp;Econ!B463)</f>
        <v>Pikeman_162</v>
      </c>
      <c r="B463" s="7" t="str">
        <f>"T"&amp;Econ!B463&amp;" "&amp;Econ!A463</f>
        <v>T162 Pikeman</v>
      </c>
      <c r="C463" s="8">
        <f>Econ!B463</f>
        <v>162</v>
      </c>
      <c r="D463" s="7"/>
      <c r="E463" s="9"/>
      <c r="F463" s="9"/>
      <c r="G463" s="10">
        <f>Econ!L463</f>
        <v>80047</v>
      </c>
      <c r="H463" s="11">
        <f>Econ!M463</f>
        <v>7174</v>
      </c>
      <c r="I463" s="11" t="str">
        <f>Econ!N463</f>
        <v/>
      </c>
      <c r="J463" s="12">
        <f>Econ!O463</f>
        <v>3367</v>
      </c>
      <c r="K463" s="13">
        <f>Econ!P463</f>
        <v>20011.75</v>
      </c>
      <c r="L463" s="14">
        <f>Econ!Q463</f>
        <v>1793.5</v>
      </c>
      <c r="M463" s="14">
        <f>Econ!R463</f>
        <v>0</v>
      </c>
      <c r="N463" s="13">
        <f>Econ!S463</f>
        <v>841.75</v>
      </c>
      <c r="O463" s="13">
        <f>Econ!T463</f>
        <v>17</v>
      </c>
      <c r="P463" s="7" t="str">
        <f>Econ!A463</f>
        <v>Pikeman</v>
      </c>
      <c r="Q463" s="10">
        <f>Econ!C463</f>
        <v>773745.9788</v>
      </c>
      <c r="R463" s="10">
        <f>Econ!E463</f>
        <v>242.453051</v>
      </c>
      <c r="S463" s="10">
        <f>Econ!G463</f>
        <v>116061.8968</v>
      </c>
      <c r="T463" s="10">
        <f>Econ!I463</f>
        <v>1091.03873</v>
      </c>
    </row>
    <row r="464">
      <c r="A464" s="7" t="str">
        <f>Econ!A464&amp;if(Econ!B464&lt;10,"_0"&amp;Econ!B464,"_"&amp;Econ!B464)</f>
        <v>Pikeman_163</v>
      </c>
      <c r="B464" s="7" t="str">
        <f>"T"&amp;Econ!B464&amp;" "&amp;Econ!A464</f>
        <v>T163 Pikeman</v>
      </c>
      <c r="C464" s="8">
        <f>Econ!B464</f>
        <v>163</v>
      </c>
      <c r="D464" s="7"/>
      <c r="E464" s="9"/>
      <c r="F464" s="9"/>
      <c r="G464" s="10">
        <f>Econ!L464</f>
        <v>80880</v>
      </c>
      <c r="H464" s="11">
        <f>Econ!M464</f>
        <v>7242</v>
      </c>
      <c r="I464" s="11" t="str">
        <f>Econ!N464</f>
        <v/>
      </c>
      <c r="J464" s="12">
        <f>Econ!O464</f>
        <v>3401</v>
      </c>
      <c r="K464" s="13">
        <f>Econ!P464</f>
        <v>20220</v>
      </c>
      <c r="L464" s="14">
        <f>Econ!Q464</f>
        <v>1810.5</v>
      </c>
      <c r="M464" s="14">
        <f>Econ!R464</f>
        <v>0</v>
      </c>
      <c r="N464" s="13">
        <f>Econ!S464</f>
        <v>850.25</v>
      </c>
      <c r="O464" s="13">
        <f>Econ!T464</f>
        <v>17</v>
      </c>
      <c r="P464" s="7" t="str">
        <f>Econ!A464</f>
        <v>Pikeman</v>
      </c>
      <c r="Q464" s="10">
        <f>Econ!C464</f>
        <v>812433.2777</v>
      </c>
      <c r="R464" s="10">
        <f>Econ!E464</f>
        <v>247.3021121</v>
      </c>
      <c r="S464" s="10">
        <f>Econ!G464</f>
        <v>121864.9917</v>
      </c>
      <c r="T464" s="10">
        <f>Econ!I464</f>
        <v>1112.859504</v>
      </c>
    </row>
    <row r="465">
      <c r="A465" s="7" t="str">
        <f>Econ!A465&amp;if(Econ!B465&lt;10,"_0"&amp;Econ!B465,"_"&amp;Econ!B465)</f>
        <v>Pikeman_164</v>
      </c>
      <c r="B465" s="7" t="str">
        <f>"T"&amp;Econ!B465&amp;" "&amp;Econ!A465</f>
        <v>T164 Pikeman</v>
      </c>
      <c r="C465" s="8">
        <f>Econ!B465</f>
        <v>164</v>
      </c>
      <c r="D465" s="7"/>
      <c r="E465" s="9"/>
      <c r="F465" s="9"/>
      <c r="G465" s="10">
        <f>Econ!L465</f>
        <v>81717</v>
      </c>
      <c r="H465" s="11">
        <f>Econ!M465</f>
        <v>7310</v>
      </c>
      <c r="I465" s="11" t="str">
        <f>Econ!N465</f>
        <v/>
      </c>
      <c r="J465" s="12">
        <f>Econ!O465</f>
        <v>3435</v>
      </c>
      <c r="K465" s="13">
        <f>Econ!P465</f>
        <v>20429.25</v>
      </c>
      <c r="L465" s="14">
        <f>Econ!Q465</f>
        <v>1827.5</v>
      </c>
      <c r="M465" s="14">
        <f>Econ!R465</f>
        <v>0</v>
      </c>
      <c r="N465" s="13">
        <f>Econ!S465</f>
        <v>858.75</v>
      </c>
      <c r="O465" s="13">
        <f>Econ!T465</f>
        <v>17</v>
      </c>
      <c r="P465" s="7" t="str">
        <f>Econ!A465</f>
        <v>Pikeman</v>
      </c>
      <c r="Q465" s="10">
        <f>Econ!C465</f>
        <v>853054.9416</v>
      </c>
      <c r="R465" s="10">
        <f>Econ!E465</f>
        <v>252.2481543</v>
      </c>
      <c r="S465" s="10">
        <f>Econ!G465</f>
        <v>127958.2412</v>
      </c>
      <c r="T465" s="10">
        <f>Econ!I465</f>
        <v>1135.116694</v>
      </c>
    </row>
    <row r="466">
      <c r="A466" s="7" t="str">
        <f>Econ!A466&amp;if(Econ!B466&lt;10,"_0"&amp;Econ!B466,"_"&amp;Econ!B466)</f>
        <v>Pikeman_165</v>
      </c>
      <c r="B466" s="7" t="str">
        <f>"T"&amp;Econ!B466&amp;" "&amp;Econ!A466</f>
        <v>T165 Pikeman</v>
      </c>
      <c r="C466" s="8">
        <f>Econ!B466</f>
        <v>165</v>
      </c>
      <c r="D466" s="7"/>
      <c r="E466" s="9"/>
      <c r="F466" s="9"/>
      <c r="G466" s="10">
        <f>Econ!L466</f>
        <v>82557</v>
      </c>
      <c r="H466" s="11">
        <f>Econ!M466</f>
        <v>7378</v>
      </c>
      <c r="I466" s="11" t="str">
        <f>Econ!N466</f>
        <v/>
      </c>
      <c r="J466" s="12">
        <f>Econ!O466</f>
        <v>3470</v>
      </c>
      <c r="K466" s="13">
        <f>Econ!P466</f>
        <v>20639.25</v>
      </c>
      <c r="L466" s="14">
        <f>Econ!Q466</f>
        <v>1844.5</v>
      </c>
      <c r="M466" s="14">
        <f>Econ!R466</f>
        <v>0</v>
      </c>
      <c r="N466" s="13">
        <f>Econ!S466</f>
        <v>867.5</v>
      </c>
      <c r="O466" s="13">
        <f>Econ!T466</f>
        <v>18</v>
      </c>
      <c r="P466" s="7" t="str">
        <f>Econ!A466</f>
        <v>Pikeman</v>
      </c>
      <c r="Q466" s="10">
        <f>Econ!C466</f>
        <v>895707.6887</v>
      </c>
      <c r="R466" s="10">
        <f>Econ!E466</f>
        <v>257.2931174</v>
      </c>
      <c r="S466" s="10">
        <f>Econ!G466</f>
        <v>134356.1533</v>
      </c>
      <c r="T466" s="10">
        <f>Econ!I466</f>
        <v>1157.819028</v>
      </c>
    </row>
    <row r="467">
      <c r="A467" s="7" t="str">
        <f>Econ!A467&amp;if(Econ!B467&lt;10,"_0"&amp;Econ!B467,"_"&amp;Econ!B467)</f>
        <v>Pikeman_166</v>
      </c>
      <c r="B467" s="7" t="str">
        <f>"T"&amp;Econ!B467&amp;" "&amp;Econ!A467</f>
        <v>T166 Pikeman</v>
      </c>
      <c r="C467" s="8">
        <f>Econ!B467</f>
        <v>166</v>
      </c>
      <c r="D467" s="7"/>
      <c r="E467" s="9"/>
      <c r="F467" s="9"/>
      <c r="G467" s="10">
        <f>Econ!L467</f>
        <v>83401</v>
      </c>
      <c r="H467" s="11">
        <f>Econ!M467</f>
        <v>7446</v>
      </c>
      <c r="I467" s="11" t="str">
        <f>Econ!N467</f>
        <v/>
      </c>
      <c r="J467" s="12">
        <f>Econ!O467</f>
        <v>3505</v>
      </c>
      <c r="K467" s="13">
        <f>Econ!P467</f>
        <v>20850.25</v>
      </c>
      <c r="L467" s="14">
        <f>Econ!Q467</f>
        <v>1861.5</v>
      </c>
      <c r="M467" s="14">
        <f>Econ!R467</f>
        <v>0</v>
      </c>
      <c r="N467" s="13">
        <f>Econ!S467</f>
        <v>876.25</v>
      </c>
      <c r="O467" s="13">
        <f>Econ!T467</f>
        <v>18</v>
      </c>
      <c r="P467" s="7" t="str">
        <f>Econ!A467</f>
        <v>Pikeman</v>
      </c>
      <c r="Q467" s="10">
        <f>Econ!C467</f>
        <v>940493.0731</v>
      </c>
      <c r="R467" s="10">
        <f>Econ!E467</f>
        <v>262.4389797</v>
      </c>
      <c r="S467" s="10">
        <f>Econ!G467</f>
        <v>141073.961</v>
      </c>
      <c r="T467" s="10">
        <f>Econ!I467</f>
        <v>1180.975409</v>
      </c>
    </row>
    <row r="468">
      <c r="A468" s="7" t="str">
        <f>Econ!A468&amp;if(Econ!B468&lt;10,"_0"&amp;Econ!B468,"_"&amp;Econ!B468)</f>
        <v>Pikeman_167</v>
      </c>
      <c r="B468" s="7" t="str">
        <f>"T"&amp;Econ!B468&amp;" "&amp;Econ!A468</f>
        <v>T167 Pikeman</v>
      </c>
      <c r="C468" s="8">
        <f>Econ!B468</f>
        <v>167</v>
      </c>
      <c r="D468" s="7"/>
      <c r="E468" s="9"/>
      <c r="F468" s="9"/>
      <c r="G468" s="10">
        <f>Econ!L468</f>
        <v>84248</v>
      </c>
      <c r="H468" s="11">
        <f>Econ!M468</f>
        <v>7515</v>
      </c>
      <c r="I468" s="11" t="str">
        <f>Econ!N468</f>
        <v/>
      </c>
      <c r="J468" s="12">
        <f>Econ!O468</f>
        <v>3540</v>
      </c>
      <c r="K468" s="13">
        <f>Econ!P468</f>
        <v>21062</v>
      </c>
      <c r="L468" s="14">
        <f>Econ!Q468</f>
        <v>1878.75</v>
      </c>
      <c r="M468" s="14">
        <f>Econ!R468</f>
        <v>0</v>
      </c>
      <c r="N468" s="13">
        <f>Econ!S468</f>
        <v>885</v>
      </c>
      <c r="O468" s="13">
        <f>Econ!T468</f>
        <v>18</v>
      </c>
      <c r="P468" s="7" t="str">
        <f>Econ!A468</f>
        <v>Pikeman</v>
      </c>
      <c r="Q468" s="10">
        <f>Econ!C468</f>
        <v>987517.7268</v>
      </c>
      <c r="R468" s="10">
        <f>Econ!E468</f>
        <v>267.6877593</v>
      </c>
      <c r="S468" s="10">
        <f>Econ!G468</f>
        <v>148127.659</v>
      </c>
      <c r="T468" s="10">
        <f>Econ!I468</f>
        <v>1204.594917</v>
      </c>
    </row>
    <row r="469">
      <c r="A469" s="7" t="str">
        <f>Econ!A469&amp;if(Econ!B469&lt;10,"_0"&amp;Econ!B469,"_"&amp;Econ!B469)</f>
        <v>Pikeman_168</v>
      </c>
      <c r="B469" s="7" t="str">
        <f>"T"&amp;Econ!B469&amp;" "&amp;Econ!A469</f>
        <v>T168 Pikeman</v>
      </c>
      <c r="C469" s="8">
        <f>Econ!B469</f>
        <v>168</v>
      </c>
      <c r="D469" s="7"/>
      <c r="E469" s="9"/>
      <c r="F469" s="9"/>
      <c r="G469" s="10">
        <f>Econ!L469</f>
        <v>85099</v>
      </c>
      <c r="H469" s="11">
        <f>Econ!M469</f>
        <v>7584</v>
      </c>
      <c r="I469" s="11" t="str">
        <f>Econ!N469</f>
        <v/>
      </c>
      <c r="J469" s="12">
        <f>Econ!O469</f>
        <v>3575</v>
      </c>
      <c r="K469" s="13">
        <f>Econ!P469</f>
        <v>21274.75</v>
      </c>
      <c r="L469" s="14">
        <f>Econ!Q469</f>
        <v>1896</v>
      </c>
      <c r="M469" s="14">
        <f>Econ!R469</f>
        <v>0</v>
      </c>
      <c r="N469" s="13">
        <f>Econ!S469</f>
        <v>893.75</v>
      </c>
      <c r="O469" s="13">
        <f>Econ!T469</f>
        <v>18</v>
      </c>
      <c r="P469" s="7" t="str">
        <f>Econ!A469</f>
        <v>Pikeman</v>
      </c>
      <c r="Q469" s="10">
        <f>Econ!C469</f>
        <v>1036893.613</v>
      </c>
      <c r="R469" s="10">
        <f>Econ!E469</f>
        <v>273.0415145</v>
      </c>
      <c r="S469" s="10">
        <f>Econ!G469</f>
        <v>155534.042</v>
      </c>
      <c r="T469" s="10">
        <f>Econ!I469</f>
        <v>1228.686815</v>
      </c>
    </row>
    <row r="470">
      <c r="A470" s="7" t="str">
        <f>Econ!A470&amp;if(Econ!B470&lt;10,"_0"&amp;Econ!B470,"_"&amp;Econ!B470)</f>
        <v>Pikeman_169</v>
      </c>
      <c r="B470" s="7" t="str">
        <f>"T"&amp;Econ!B470&amp;" "&amp;Econ!A470</f>
        <v>T169 Pikeman</v>
      </c>
      <c r="C470" s="8">
        <f>Econ!B470</f>
        <v>169</v>
      </c>
      <c r="D470" s="7"/>
      <c r="E470" s="9"/>
      <c r="F470" s="9"/>
      <c r="G470" s="10">
        <f>Econ!L470</f>
        <v>85954</v>
      </c>
      <c r="H470" s="11">
        <f>Econ!M470</f>
        <v>7653</v>
      </c>
      <c r="I470" s="11" t="str">
        <f>Econ!N470</f>
        <v/>
      </c>
      <c r="J470" s="12">
        <f>Econ!O470</f>
        <v>3610</v>
      </c>
      <c r="K470" s="13">
        <f>Econ!P470</f>
        <v>21488.5</v>
      </c>
      <c r="L470" s="14">
        <f>Econ!Q470</f>
        <v>1913.25</v>
      </c>
      <c r="M470" s="14">
        <f>Econ!R470</f>
        <v>0</v>
      </c>
      <c r="N470" s="13">
        <f>Econ!S470</f>
        <v>902.5</v>
      </c>
      <c r="O470" s="13">
        <f>Econ!T470</f>
        <v>18</v>
      </c>
      <c r="P470" s="7" t="str">
        <f>Econ!A470</f>
        <v>Pikeman</v>
      </c>
      <c r="Q470" s="10">
        <f>Econ!C470</f>
        <v>1088738.294</v>
      </c>
      <c r="R470" s="10">
        <f>Econ!E470</f>
        <v>278.5023448</v>
      </c>
      <c r="S470" s="10">
        <f>Econ!G470</f>
        <v>163310.7441</v>
      </c>
      <c r="T470" s="10">
        <f>Econ!I470</f>
        <v>1253.260552</v>
      </c>
    </row>
    <row r="471">
      <c r="A471" s="7" t="str">
        <f>Econ!A471&amp;if(Econ!B471&lt;10,"_0"&amp;Econ!B471,"_"&amp;Econ!B471)</f>
        <v>Pikeman_170</v>
      </c>
      <c r="B471" s="7" t="str">
        <f>"T"&amp;Econ!B471&amp;" "&amp;Econ!A471</f>
        <v>T170 Pikeman</v>
      </c>
      <c r="C471" s="8">
        <f>Econ!B471</f>
        <v>170</v>
      </c>
      <c r="D471" s="7"/>
      <c r="E471" s="9"/>
      <c r="F471" s="9"/>
      <c r="G471" s="10">
        <f>Econ!L471</f>
        <v>86812</v>
      </c>
      <c r="H471" s="11">
        <f>Econ!M471</f>
        <v>7723</v>
      </c>
      <c r="I471" s="11" t="str">
        <f>Econ!N471</f>
        <v/>
      </c>
      <c r="J471" s="12">
        <f>Econ!O471</f>
        <v>3645</v>
      </c>
      <c r="K471" s="13">
        <f>Econ!P471</f>
        <v>21703</v>
      </c>
      <c r="L471" s="14">
        <f>Econ!Q471</f>
        <v>1930.75</v>
      </c>
      <c r="M471" s="14">
        <f>Econ!R471</f>
        <v>0</v>
      </c>
      <c r="N471" s="13">
        <f>Econ!S471</f>
        <v>911.25</v>
      </c>
      <c r="O471" s="13">
        <f>Econ!T471</f>
        <v>18</v>
      </c>
      <c r="P471" s="7" t="str">
        <f>Econ!A471</f>
        <v>Pikeman</v>
      </c>
      <c r="Q471" s="10">
        <f>Econ!C471</f>
        <v>1143175.208</v>
      </c>
      <c r="R471" s="10">
        <f>Econ!E471</f>
        <v>284.0723917</v>
      </c>
      <c r="S471" s="10">
        <f>Econ!G471</f>
        <v>171476.2813</v>
      </c>
      <c r="T471" s="10">
        <f>Econ!I471</f>
        <v>1278.325763</v>
      </c>
    </row>
    <row r="472">
      <c r="A472" s="7" t="str">
        <f>Econ!A472&amp;if(Econ!B472&lt;10,"_0"&amp;Econ!B472,"_"&amp;Econ!B472)</f>
        <v>Pikeman_171</v>
      </c>
      <c r="B472" s="7" t="str">
        <f>"T"&amp;Econ!B472&amp;" "&amp;Econ!A472</f>
        <v>T171 Pikeman</v>
      </c>
      <c r="C472" s="8">
        <f>Econ!B472</f>
        <v>171</v>
      </c>
      <c r="D472" s="7"/>
      <c r="E472" s="9"/>
      <c r="F472" s="9"/>
      <c r="G472" s="10">
        <f>Econ!L472</f>
        <v>87674</v>
      </c>
      <c r="H472" s="11">
        <f>Econ!M472</f>
        <v>7793</v>
      </c>
      <c r="I472" s="11" t="str">
        <f>Econ!N472</f>
        <v/>
      </c>
      <c r="J472" s="12">
        <f>Econ!O472</f>
        <v>3680</v>
      </c>
      <c r="K472" s="13">
        <f>Econ!P472</f>
        <v>21918.5</v>
      </c>
      <c r="L472" s="14">
        <f>Econ!Q472</f>
        <v>1948.25</v>
      </c>
      <c r="M472" s="14">
        <f>Econ!R472</f>
        <v>0</v>
      </c>
      <c r="N472" s="13">
        <f>Econ!S472</f>
        <v>920</v>
      </c>
      <c r="O472" s="13">
        <f>Econ!T472</f>
        <v>18</v>
      </c>
      <c r="P472" s="7" t="str">
        <f>Econ!A472</f>
        <v>Pikeman</v>
      </c>
      <c r="Q472" s="10">
        <f>Econ!C472</f>
        <v>1200333.969</v>
      </c>
      <c r="R472" s="10">
        <f>Econ!E472</f>
        <v>289.7538395</v>
      </c>
      <c r="S472" s="10">
        <f>Econ!G472</f>
        <v>180050.0953</v>
      </c>
      <c r="T472" s="10">
        <f>Econ!I472</f>
        <v>1303.892278</v>
      </c>
    </row>
    <row r="473">
      <c r="A473" s="7" t="str">
        <f>Econ!A473&amp;if(Econ!B473&lt;10,"_0"&amp;Econ!B473,"_"&amp;Econ!B473)</f>
        <v>Pikeman_172</v>
      </c>
      <c r="B473" s="7" t="str">
        <f>"T"&amp;Econ!B473&amp;" "&amp;Econ!A473</f>
        <v>T172 Pikeman</v>
      </c>
      <c r="C473" s="8">
        <f>Econ!B473</f>
        <v>172</v>
      </c>
      <c r="D473" s="7"/>
      <c r="E473" s="9"/>
      <c r="F473" s="9"/>
      <c r="G473" s="10">
        <f>Econ!L473</f>
        <v>88539</v>
      </c>
      <c r="H473" s="11">
        <f>Econ!M473</f>
        <v>7863</v>
      </c>
      <c r="I473" s="11" t="str">
        <f>Econ!N473</f>
        <v/>
      </c>
      <c r="J473" s="12">
        <f>Econ!O473</f>
        <v>3716</v>
      </c>
      <c r="K473" s="13">
        <f>Econ!P473</f>
        <v>22134.75</v>
      </c>
      <c r="L473" s="14">
        <f>Econ!Q473</f>
        <v>1965.75</v>
      </c>
      <c r="M473" s="14">
        <f>Econ!R473</f>
        <v>0</v>
      </c>
      <c r="N473" s="13">
        <f>Econ!S473</f>
        <v>929</v>
      </c>
      <c r="O473" s="13">
        <f>Econ!T473</f>
        <v>18</v>
      </c>
      <c r="P473" s="7" t="str">
        <f>Econ!A473</f>
        <v>Pikeman</v>
      </c>
      <c r="Q473" s="10">
        <f>Econ!C473</f>
        <v>1260350.667</v>
      </c>
      <c r="R473" s="10">
        <f>Econ!E473</f>
        <v>295.5489163</v>
      </c>
      <c r="S473" s="10">
        <f>Econ!G473</f>
        <v>189052.6001</v>
      </c>
      <c r="T473" s="10">
        <f>Econ!I473</f>
        <v>1329.970123</v>
      </c>
    </row>
    <row r="474">
      <c r="A474" s="7" t="str">
        <f>Econ!A474&amp;if(Econ!B474&lt;10,"_0"&amp;Econ!B474,"_"&amp;Econ!B474)</f>
        <v>Pikeman_173</v>
      </c>
      <c r="B474" s="7" t="str">
        <f>"T"&amp;Econ!B474&amp;" "&amp;Econ!A474</f>
        <v>T173 Pikeman</v>
      </c>
      <c r="C474" s="8">
        <f>Econ!B474</f>
        <v>173</v>
      </c>
      <c r="D474" s="7"/>
      <c r="E474" s="9"/>
      <c r="F474" s="9"/>
      <c r="G474" s="10">
        <f>Econ!L474</f>
        <v>89408</v>
      </c>
      <c r="H474" s="11">
        <f>Econ!M474</f>
        <v>7933</v>
      </c>
      <c r="I474" s="11" t="str">
        <f>Econ!N474</f>
        <v/>
      </c>
      <c r="J474" s="12">
        <f>Econ!O474</f>
        <v>3752</v>
      </c>
      <c r="K474" s="13">
        <f>Econ!P474</f>
        <v>22352</v>
      </c>
      <c r="L474" s="14">
        <f>Econ!Q474</f>
        <v>1983.25</v>
      </c>
      <c r="M474" s="14">
        <f>Econ!R474</f>
        <v>0</v>
      </c>
      <c r="N474" s="13">
        <f>Econ!S474</f>
        <v>938</v>
      </c>
      <c r="O474" s="13">
        <f>Econ!T474</f>
        <v>18</v>
      </c>
      <c r="P474" s="7" t="str">
        <f>Econ!A474</f>
        <v>Pikeman</v>
      </c>
      <c r="Q474" s="10">
        <f>Econ!C474</f>
        <v>1323368.201</v>
      </c>
      <c r="R474" s="10">
        <f>Econ!E474</f>
        <v>301.4598947</v>
      </c>
      <c r="S474" s="10">
        <f>Econ!G474</f>
        <v>198505.2301</v>
      </c>
      <c r="T474" s="10">
        <f>Econ!I474</f>
        <v>1356.569526</v>
      </c>
    </row>
    <row r="475">
      <c r="A475" s="7" t="str">
        <f>Econ!A475&amp;if(Econ!B475&lt;10,"_0"&amp;Econ!B475,"_"&amp;Econ!B475)</f>
        <v>Pikeman_174</v>
      </c>
      <c r="B475" s="7" t="str">
        <f>"T"&amp;Econ!B475&amp;" "&amp;Econ!A475</f>
        <v>T174 Pikeman</v>
      </c>
      <c r="C475" s="8">
        <f>Econ!B475</f>
        <v>174</v>
      </c>
      <c r="D475" s="7"/>
      <c r="E475" s="9"/>
      <c r="F475" s="9"/>
      <c r="G475" s="10">
        <f>Econ!L475</f>
        <v>90280</v>
      </c>
      <c r="H475" s="11">
        <f>Econ!M475</f>
        <v>8004</v>
      </c>
      <c r="I475" s="11" t="str">
        <f>Econ!N475</f>
        <v/>
      </c>
      <c r="J475" s="12">
        <f>Econ!O475</f>
        <v>3788</v>
      </c>
      <c r="K475" s="13">
        <f>Econ!P475</f>
        <v>22570</v>
      </c>
      <c r="L475" s="14">
        <f>Econ!Q475</f>
        <v>2001</v>
      </c>
      <c r="M475" s="14">
        <f>Econ!R475</f>
        <v>0</v>
      </c>
      <c r="N475" s="13">
        <f>Econ!S475</f>
        <v>947</v>
      </c>
      <c r="O475" s="13">
        <f>Econ!T475</f>
        <v>18</v>
      </c>
      <c r="P475" s="7" t="str">
        <f>Econ!A475</f>
        <v>Pikeman</v>
      </c>
      <c r="Q475" s="10">
        <f>Econ!C475</f>
        <v>1389536.611</v>
      </c>
      <c r="R475" s="10">
        <f>Econ!E475</f>
        <v>307.4890925</v>
      </c>
      <c r="S475" s="10">
        <f>Econ!G475</f>
        <v>208430.4916</v>
      </c>
      <c r="T475" s="10">
        <f>Econ!I475</f>
        <v>1383.700916</v>
      </c>
    </row>
    <row r="476">
      <c r="A476" s="7" t="str">
        <f>Econ!A476&amp;if(Econ!B476&lt;10,"_0"&amp;Econ!B476,"_"&amp;Econ!B476)</f>
        <v>Pikeman_175</v>
      </c>
      <c r="B476" s="7" t="str">
        <f>"T"&amp;Econ!B476&amp;" "&amp;Econ!A476</f>
        <v>T175 Pikeman</v>
      </c>
      <c r="C476" s="8">
        <f>Econ!B476</f>
        <v>175</v>
      </c>
      <c r="D476" s="7"/>
      <c r="E476" s="9"/>
      <c r="F476" s="9"/>
      <c r="G476" s="10">
        <f>Econ!L476</f>
        <v>91156</v>
      </c>
      <c r="H476" s="11">
        <f>Econ!M476</f>
        <v>8075</v>
      </c>
      <c r="I476" s="11" t="str">
        <f>Econ!N476</f>
        <v/>
      </c>
      <c r="J476" s="12">
        <f>Econ!O476</f>
        <v>3824</v>
      </c>
      <c r="K476" s="13">
        <f>Econ!P476</f>
        <v>22789</v>
      </c>
      <c r="L476" s="14">
        <f>Econ!Q476</f>
        <v>2018.75</v>
      </c>
      <c r="M476" s="14">
        <f>Econ!R476</f>
        <v>0</v>
      </c>
      <c r="N476" s="13">
        <f>Econ!S476</f>
        <v>956</v>
      </c>
      <c r="O476" s="13">
        <f>Econ!T476</f>
        <v>19</v>
      </c>
      <c r="P476" s="7" t="str">
        <f>Econ!A476</f>
        <v>Pikeman</v>
      </c>
      <c r="Q476" s="10">
        <f>Econ!C476</f>
        <v>1459013.441</v>
      </c>
      <c r="R476" s="10">
        <f>Econ!E476</f>
        <v>313.6388744</v>
      </c>
      <c r="S476" s="10">
        <f>Econ!G476</f>
        <v>218852.0162</v>
      </c>
      <c r="T476" s="10">
        <f>Econ!I476</f>
        <v>1411.374935</v>
      </c>
    </row>
    <row r="477">
      <c r="A477" s="7" t="str">
        <f>Econ!A477&amp;if(Econ!B477&lt;10,"_0"&amp;Econ!B477,"_"&amp;Econ!B477)</f>
        <v>Pikeman_176</v>
      </c>
      <c r="B477" s="7" t="str">
        <f>"T"&amp;Econ!B477&amp;" "&amp;Econ!A477</f>
        <v>T176 Pikeman</v>
      </c>
      <c r="C477" s="8">
        <f>Econ!B477</f>
        <v>176</v>
      </c>
      <c r="D477" s="7"/>
      <c r="E477" s="9"/>
      <c r="F477" s="9"/>
      <c r="G477" s="10">
        <f>Econ!L477</f>
        <v>92035</v>
      </c>
      <c r="H477" s="11">
        <f>Econ!M477</f>
        <v>8146</v>
      </c>
      <c r="I477" s="11" t="str">
        <f>Econ!N477</f>
        <v/>
      </c>
      <c r="J477" s="12">
        <f>Econ!O477</f>
        <v>3860</v>
      </c>
      <c r="K477" s="13">
        <f>Econ!P477</f>
        <v>23008.75</v>
      </c>
      <c r="L477" s="14">
        <f>Econ!Q477</f>
        <v>2036.5</v>
      </c>
      <c r="M477" s="14">
        <f>Econ!R477</f>
        <v>0</v>
      </c>
      <c r="N477" s="13">
        <f>Econ!S477</f>
        <v>965</v>
      </c>
      <c r="O477" s="13">
        <f>Econ!T477</f>
        <v>19</v>
      </c>
      <c r="P477" s="7" t="str">
        <f>Econ!A477</f>
        <v>Pikeman</v>
      </c>
      <c r="Q477" s="10">
        <f>Econ!C477</f>
        <v>1531964.113</v>
      </c>
      <c r="R477" s="10">
        <f>Econ!E477</f>
        <v>319.9116519</v>
      </c>
      <c r="S477" s="10">
        <f>Econ!G477</f>
        <v>229794.617</v>
      </c>
      <c r="T477" s="10">
        <f>Econ!I477</f>
        <v>1439.602433</v>
      </c>
    </row>
    <row r="478">
      <c r="A478" s="7" t="str">
        <f>Econ!A478&amp;if(Econ!B478&lt;10,"_0"&amp;Econ!B478,"_"&amp;Econ!B478)</f>
        <v>Pikeman_177</v>
      </c>
      <c r="B478" s="7" t="str">
        <f>"T"&amp;Econ!B478&amp;" "&amp;Econ!A478</f>
        <v>T177 Pikeman</v>
      </c>
      <c r="C478" s="8">
        <f>Econ!B478</f>
        <v>177</v>
      </c>
      <c r="D478" s="7"/>
      <c r="E478" s="9"/>
      <c r="F478" s="9"/>
      <c r="G478" s="10">
        <f>Econ!L478</f>
        <v>92918</v>
      </c>
      <c r="H478" s="11">
        <f>Econ!M478</f>
        <v>8218</v>
      </c>
      <c r="I478" s="11" t="str">
        <f>Econ!N478</f>
        <v/>
      </c>
      <c r="J478" s="12">
        <f>Econ!O478</f>
        <v>3896</v>
      </c>
      <c r="K478" s="13">
        <f>Econ!P478</f>
        <v>23229.5</v>
      </c>
      <c r="L478" s="14">
        <f>Econ!Q478</f>
        <v>2054.5</v>
      </c>
      <c r="M478" s="14">
        <f>Econ!R478</f>
        <v>0</v>
      </c>
      <c r="N478" s="13">
        <f>Econ!S478</f>
        <v>974</v>
      </c>
      <c r="O478" s="13">
        <f>Econ!T478</f>
        <v>19</v>
      </c>
      <c r="P478" s="7" t="str">
        <f>Econ!A478</f>
        <v>Pikeman</v>
      </c>
      <c r="Q478" s="10">
        <f>Econ!C478</f>
        <v>1608562.319</v>
      </c>
      <c r="R478" s="10">
        <f>Econ!E478</f>
        <v>326.3098849</v>
      </c>
      <c r="S478" s="10">
        <f>Econ!G478</f>
        <v>241284.3479</v>
      </c>
      <c r="T478" s="10">
        <f>Econ!I478</f>
        <v>1468.394482</v>
      </c>
    </row>
    <row r="479">
      <c r="A479" s="7" t="str">
        <f>Econ!A479&amp;if(Econ!B479&lt;10,"_0"&amp;Econ!B479,"_"&amp;Econ!B479)</f>
        <v>Pikeman_178</v>
      </c>
      <c r="B479" s="7" t="str">
        <f>"T"&amp;Econ!B479&amp;" "&amp;Econ!A479</f>
        <v>T178 Pikeman</v>
      </c>
      <c r="C479" s="8">
        <f>Econ!B479</f>
        <v>178</v>
      </c>
      <c r="D479" s="7"/>
      <c r="E479" s="9"/>
      <c r="F479" s="9"/>
      <c r="G479" s="10">
        <f>Econ!L479</f>
        <v>93804</v>
      </c>
      <c r="H479" s="11">
        <f>Econ!M479</f>
        <v>8290</v>
      </c>
      <c r="I479" s="11" t="str">
        <f>Econ!N479</f>
        <v/>
      </c>
      <c r="J479" s="12">
        <f>Econ!O479</f>
        <v>3932</v>
      </c>
      <c r="K479" s="13">
        <f>Econ!P479</f>
        <v>23451</v>
      </c>
      <c r="L479" s="14">
        <f>Econ!Q479</f>
        <v>2072.5</v>
      </c>
      <c r="M479" s="14">
        <f>Econ!R479</f>
        <v>0</v>
      </c>
      <c r="N479" s="13">
        <f>Econ!S479</f>
        <v>983</v>
      </c>
      <c r="O479" s="13">
        <f>Econ!T479</f>
        <v>19</v>
      </c>
      <c r="P479" s="7" t="str">
        <f>Econ!A479</f>
        <v>Pikeman</v>
      </c>
      <c r="Q479" s="10">
        <f>Econ!C479</f>
        <v>1688990.435</v>
      </c>
      <c r="R479" s="10">
        <f>Econ!E479</f>
        <v>332.8360826</v>
      </c>
      <c r="S479" s="10">
        <f>Econ!G479</f>
        <v>253348.5652</v>
      </c>
      <c r="T479" s="10">
        <f>Econ!I479</f>
        <v>1497.762372</v>
      </c>
    </row>
    <row r="480">
      <c r="A480" s="7" t="str">
        <f>Econ!A480&amp;if(Econ!B480&lt;10,"_0"&amp;Econ!B480,"_"&amp;Econ!B480)</f>
        <v>Pikeman_179</v>
      </c>
      <c r="B480" s="7" t="str">
        <f>"T"&amp;Econ!B480&amp;" "&amp;Econ!A480</f>
        <v>T179 Pikeman</v>
      </c>
      <c r="C480" s="8">
        <f>Econ!B480</f>
        <v>179</v>
      </c>
      <c r="D480" s="7"/>
      <c r="E480" s="9"/>
      <c r="F480" s="9"/>
      <c r="G480" s="10">
        <f>Econ!L480</f>
        <v>94694</v>
      </c>
      <c r="H480" s="11">
        <f>Econ!M480</f>
        <v>8362</v>
      </c>
      <c r="I480" s="11" t="str">
        <f>Econ!N480</f>
        <v/>
      </c>
      <c r="J480" s="12">
        <f>Econ!O480</f>
        <v>3969</v>
      </c>
      <c r="K480" s="13">
        <f>Econ!P480</f>
        <v>23673.5</v>
      </c>
      <c r="L480" s="14">
        <f>Econ!Q480</f>
        <v>2090.5</v>
      </c>
      <c r="M480" s="14">
        <f>Econ!R480</f>
        <v>0</v>
      </c>
      <c r="N480" s="13">
        <f>Econ!S480</f>
        <v>992.25</v>
      </c>
      <c r="O480" s="13">
        <f>Econ!T480</f>
        <v>19</v>
      </c>
      <c r="P480" s="7" t="str">
        <f>Econ!A480</f>
        <v>Pikeman</v>
      </c>
      <c r="Q480" s="10">
        <f>Econ!C480</f>
        <v>1773439.957</v>
      </c>
      <c r="R480" s="10">
        <f>Econ!E480</f>
        <v>339.4928043</v>
      </c>
      <c r="S480" s="10">
        <f>Econ!G480</f>
        <v>266015.9935</v>
      </c>
      <c r="T480" s="10">
        <f>Econ!I480</f>
        <v>1527.717619</v>
      </c>
    </row>
    <row r="481">
      <c r="A481" s="7" t="str">
        <f>Econ!A481&amp;if(Econ!B481&lt;10,"_0"&amp;Econ!B481,"_"&amp;Econ!B481)</f>
        <v>Pikeman_180</v>
      </c>
      <c r="B481" s="7" t="str">
        <f>"T"&amp;Econ!B481&amp;" "&amp;Econ!A481</f>
        <v>T180 Pikeman</v>
      </c>
      <c r="C481" s="8">
        <f>Econ!B481</f>
        <v>180</v>
      </c>
      <c r="D481" s="7"/>
      <c r="E481" s="9"/>
      <c r="F481" s="9"/>
      <c r="G481" s="10">
        <f>Econ!L481</f>
        <v>95587</v>
      </c>
      <c r="H481" s="11">
        <f>Econ!M481</f>
        <v>8434</v>
      </c>
      <c r="I481" s="11" t="str">
        <f>Econ!N481</f>
        <v/>
      </c>
      <c r="J481" s="12">
        <f>Econ!O481</f>
        <v>4006</v>
      </c>
      <c r="K481" s="13">
        <f>Econ!P481</f>
        <v>23896.75</v>
      </c>
      <c r="L481" s="14">
        <f>Econ!Q481</f>
        <v>2108.5</v>
      </c>
      <c r="M481" s="14">
        <f>Econ!R481</f>
        <v>0</v>
      </c>
      <c r="N481" s="13">
        <f>Econ!S481</f>
        <v>1001.5</v>
      </c>
      <c r="O481" s="13">
        <f>Econ!T481</f>
        <v>19</v>
      </c>
      <c r="P481" s="7" t="str">
        <f>Econ!A481</f>
        <v>Pikeman</v>
      </c>
      <c r="Q481" s="10">
        <f>Econ!C481</f>
        <v>1862111.955</v>
      </c>
      <c r="R481" s="10">
        <f>Econ!E481</f>
        <v>346.2826604</v>
      </c>
      <c r="S481" s="10">
        <f>Econ!G481</f>
        <v>279316.7932</v>
      </c>
      <c r="T481" s="10">
        <f>Econ!I481</f>
        <v>1558.271972</v>
      </c>
    </row>
    <row r="482">
      <c r="A482" s="7" t="str">
        <f>Econ!A482&amp;if(Econ!B482&lt;10,"_0"&amp;Econ!B482,"_"&amp;Econ!B482)</f>
        <v>Pikeman_181</v>
      </c>
      <c r="B482" s="7" t="str">
        <f>"T"&amp;Econ!B482&amp;" "&amp;Econ!A482</f>
        <v>T181 Pikeman</v>
      </c>
      <c r="C482" s="8">
        <f>Econ!B482</f>
        <v>181</v>
      </c>
      <c r="D482" s="7"/>
      <c r="E482" s="9"/>
      <c r="F482" s="9"/>
      <c r="G482" s="10">
        <f>Econ!L482</f>
        <v>96484</v>
      </c>
      <c r="H482" s="11">
        <f>Econ!M482</f>
        <v>8507</v>
      </c>
      <c r="I482" s="11" t="str">
        <f>Econ!N482</f>
        <v/>
      </c>
      <c r="J482" s="12">
        <f>Econ!O482</f>
        <v>4043</v>
      </c>
      <c r="K482" s="13">
        <f>Econ!P482</f>
        <v>24121</v>
      </c>
      <c r="L482" s="14">
        <f>Econ!Q482</f>
        <v>2126.75</v>
      </c>
      <c r="M482" s="14">
        <f>Econ!R482</f>
        <v>0</v>
      </c>
      <c r="N482" s="13">
        <f>Econ!S482</f>
        <v>1010.75</v>
      </c>
      <c r="O482" s="13">
        <f>Econ!T482</f>
        <v>19</v>
      </c>
      <c r="P482" s="7" t="str">
        <f>Econ!A482</f>
        <v>Pikeman</v>
      </c>
      <c r="Q482" s="10">
        <f>Econ!C482</f>
        <v>1955217.552</v>
      </c>
      <c r="R482" s="10">
        <f>Econ!E482</f>
        <v>353.2083136</v>
      </c>
      <c r="S482" s="10">
        <f>Econ!G482</f>
        <v>293282.6328</v>
      </c>
      <c r="T482" s="10">
        <f>Econ!I482</f>
        <v>1589.437411</v>
      </c>
    </row>
    <row r="483">
      <c r="A483" s="7" t="str">
        <f>Econ!A483&amp;if(Econ!B483&lt;10,"_0"&amp;Econ!B483,"_"&amp;Econ!B483)</f>
        <v>Pikeman_182</v>
      </c>
      <c r="B483" s="7" t="str">
        <f>"T"&amp;Econ!B483&amp;" "&amp;Econ!A483</f>
        <v>T182 Pikeman</v>
      </c>
      <c r="C483" s="8">
        <f>Econ!B483</f>
        <v>182</v>
      </c>
      <c r="D483" s="7"/>
      <c r="E483" s="9"/>
      <c r="F483" s="9"/>
      <c r="G483" s="10">
        <f>Econ!L483</f>
        <v>97384</v>
      </c>
      <c r="H483" s="11">
        <f>Econ!M483</f>
        <v>8580</v>
      </c>
      <c r="I483" s="11" t="str">
        <f>Econ!N483</f>
        <v/>
      </c>
      <c r="J483" s="12">
        <f>Econ!O483</f>
        <v>4080</v>
      </c>
      <c r="K483" s="13">
        <f>Econ!P483</f>
        <v>24346</v>
      </c>
      <c r="L483" s="14">
        <f>Econ!Q483</f>
        <v>2145</v>
      </c>
      <c r="M483" s="14">
        <f>Econ!R483</f>
        <v>0</v>
      </c>
      <c r="N483" s="13">
        <f>Econ!S483</f>
        <v>1020</v>
      </c>
      <c r="O483" s="13">
        <f>Econ!T483</f>
        <v>19</v>
      </c>
      <c r="P483" s="7" t="str">
        <f>Econ!A483</f>
        <v>Pikeman</v>
      </c>
      <c r="Q483" s="10">
        <f>Econ!C483</f>
        <v>2052978.43</v>
      </c>
      <c r="R483" s="10">
        <f>Econ!E483</f>
        <v>360.2724798</v>
      </c>
      <c r="S483" s="10">
        <f>Econ!G483</f>
        <v>307946.7645</v>
      </c>
      <c r="T483" s="10">
        <f>Econ!I483</f>
        <v>1621.226159</v>
      </c>
    </row>
    <row r="484">
      <c r="A484" s="7" t="str">
        <f>Econ!A484&amp;if(Econ!B484&lt;10,"_0"&amp;Econ!B484,"_"&amp;Econ!B484)</f>
        <v>Pikeman_183</v>
      </c>
      <c r="B484" s="7" t="str">
        <f>"T"&amp;Econ!B484&amp;" "&amp;Econ!A484</f>
        <v>T183 Pikeman</v>
      </c>
      <c r="C484" s="8">
        <f>Econ!B484</f>
        <v>183</v>
      </c>
      <c r="D484" s="7"/>
      <c r="E484" s="9"/>
      <c r="F484" s="9"/>
      <c r="G484" s="10">
        <f>Econ!L484</f>
        <v>98288</v>
      </c>
      <c r="H484" s="11">
        <f>Econ!M484</f>
        <v>8653</v>
      </c>
      <c r="I484" s="11" t="str">
        <f>Econ!N484</f>
        <v/>
      </c>
      <c r="J484" s="12">
        <f>Econ!O484</f>
        <v>4117</v>
      </c>
      <c r="K484" s="13">
        <f>Econ!P484</f>
        <v>24572</v>
      </c>
      <c r="L484" s="14">
        <f>Econ!Q484</f>
        <v>2163.25</v>
      </c>
      <c r="M484" s="14">
        <f>Econ!R484</f>
        <v>0</v>
      </c>
      <c r="N484" s="13">
        <f>Econ!S484</f>
        <v>1029.25</v>
      </c>
      <c r="O484" s="13">
        <f>Econ!T484</f>
        <v>19</v>
      </c>
      <c r="P484" s="7" t="str">
        <f>Econ!A484</f>
        <v>Pikeman</v>
      </c>
      <c r="Q484" s="10">
        <f>Econ!C484</f>
        <v>2155627.351</v>
      </c>
      <c r="R484" s="10">
        <f>Econ!E484</f>
        <v>367.4779294</v>
      </c>
      <c r="S484" s="10">
        <f>Econ!G484</f>
        <v>323344.1027</v>
      </c>
      <c r="T484" s="10">
        <f>Econ!I484</f>
        <v>1653.650682</v>
      </c>
    </row>
    <row r="485">
      <c r="A485" s="7" t="str">
        <f>Econ!A485&amp;if(Econ!B485&lt;10,"_0"&amp;Econ!B485,"_"&amp;Econ!B485)</f>
        <v>Pikeman_184</v>
      </c>
      <c r="B485" s="7" t="str">
        <f>"T"&amp;Econ!B485&amp;" "&amp;Econ!A485</f>
        <v>T184 Pikeman</v>
      </c>
      <c r="C485" s="8">
        <f>Econ!B485</f>
        <v>184</v>
      </c>
      <c r="D485" s="7"/>
      <c r="E485" s="9"/>
      <c r="F485" s="9"/>
      <c r="G485" s="10">
        <f>Econ!L485</f>
        <v>99195</v>
      </c>
      <c r="H485" s="11">
        <f>Econ!M485</f>
        <v>8727</v>
      </c>
      <c r="I485" s="11" t="str">
        <f>Econ!N485</f>
        <v/>
      </c>
      <c r="J485" s="12">
        <f>Econ!O485</f>
        <v>4154</v>
      </c>
      <c r="K485" s="13">
        <f>Econ!P485</f>
        <v>24798.75</v>
      </c>
      <c r="L485" s="14">
        <f>Econ!Q485</f>
        <v>2181.75</v>
      </c>
      <c r="M485" s="14">
        <f>Econ!R485</f>
        <v>0</v>
      </c>
      <c r="N485" s="13">
        <f>Econ!S485</f>
        <v>1038.5</v>
      </c>
      <c r="O485" s="13">
        <f>Econ!T485</f>
        <v>19</v>
      </c>
      <c r="P485" s="7" t="str">
        <f>Econ!A485</f>
        <v>Pikeman</v>
      </c>
      <c r="Q485" s="10">
        <f>Econ!C485</f>
        <v>2263408.719</v>
      </c>
      <c r="R485" s="10">
        <f>Econ!E485</f>
        <v>374.827488</v>
      </c>
      <c r="S485" s="10">
        <f>Econ!G485</f>
        <v>339511.3078</v>
      </c>
      <c r="T485" s="10">
        <f>Econ!I485</f>
        <v>1686.723696</v>
      </c>
    </row>
    <row r="486">
      <c r="A486" s="7" t="str">
        <f>Econ!A486&amp;if(Econ!B486&lt;10,"_0"&amp;Econ!B486,"_"&amp;Econ!B486)</f>
        <v>Pikeman_185</v>
      </c>
      <c r="B486" s="7" t="str">
        <f>"T"&amp;Econ!B486&amp;" "&amp;Econ!A486</f>
        <v>T185 Pikeman</v>
      </c>
      <c r="C486" s="8">
        <f>Econ!B486</f>
        <v>185</v>
      </c>
      <c r="D486" s="7"/>
      <c r="E486" s="9"/>
      <c r="F486" s="9"/>
      <c r="G486" s="10">
        <f>Econ!L486</f>
        <v>100106</v>
      </c>
      <c r="H486" s="11">
        <f>Econ!M486</f>
        <v>8801</v>
      </c>
      <c r="I486" s="11" t="str">
        <f>Econ!N486</f>
        <v/>
      </c>
      <c r="J486" s="12">
        <f>Econ!O486</f>
        <v>4191</v>
      </c>
      <c r="K486" s="13">
        <f>Econ!P486</f>
        <v>25026.5</v>
      </c>
      <c r="L486" s="14">
        <f>Econ!Q486</f>
        <v>2200.25</v>
      </c>
      <c r="M486" s="14">
        <f>Econ!R486</f>
        <v>0</v>
      </c>
      <c r="N486" s="13">
        <f>Econ!S486</f>
        <v>1047.75</v>
      </c>
      <c r="O486" s="13">
        <f>Econ!T486</f>
        <v>20</v>
      </c>
      <c r="P486" s="7" t="str">
        <f>Econ!A486</f>
        <v>Pikeman</v>
      </c>
      <c r="Q486" s="10">
        <f>Econ!C486</f>
        <v>2376579.155</v>
      </c>
      <c r="R486" s="10">
        <f>Econ!E486</f>
        <v>382.3240378</v>
      </c>
      <c r="S486" s="10">
        <f>Econ!G486</f>
        <v>356486.8732</v>
      </c>
      <c r="T486" s="10">
        <f>Econ!I486</f>
        <v>1720.45817</v>
      </c>
    </row>
    <row r="487">
      <c r="A487" s="7" t="str">
        <f>Econ!A487&amp;if(Econ!B487&lt;10,"_0"&amp;Econ!B487,"_"&amp;Econ!B487)</f>
        <v>Pikeman_186</v>
      </c>
      <c r="B487" s="7" t="str">
        <f>"T"&amp;Econ!B487&amp;" "&amp;Econ!A487</f>
        <v>T186 Pikeman</v>
      </c>
      <c r="C487" s="8">
        <f>Econ!B487</f>
        <v>186</v>
      </c>
      <c r="D487" s="7"/>
      <c r="E487" s="9"/>
      <c r="F487" s="9"/>
      <c r="G487" s="10">
        <f>Econ!L487</f>
        <v>101020</v>
      </c>
      <c r="H487" s="11">
        <f>Econ!M487</f>
        <v>8875</v>
      </c>
      <c r="I487" s="11" t="str">
        <f>Econ!N487</f>
        <v/>
      </c>
      <c r="J487" s="12">
        <f>Econ!O487</f>
        <v>4229</v>
      </c>
      <c r="K487" s="13">
        <f>Econ!P487</f>
        <v>25255</v>
      </c>
      <c r="L487" s="14">
        <f>Econ!Q487</f>
        <v>2218.75</v>
      </c>
      <c r="M487" s="14">
        <f>Econ!R487</f>
        <v>0</v>
      </c>
      <c r="N487" s="13">
        <f>Econ!S487</f>
        <v>1057.25</v>
      </c>
      <c r="O487" s="13">
        <f>Econ!T487</f>
        <v>20</v>
      </c>
      <c r="P487" s="7" t="str">
        <f>Econ!A487</f>
        <v>Pikeman</v>
      </c>
      <c r="Q487" s="10">
        <f>Econ!C487</f>
        <v>2495408.113</v>
      </c>
      <c r="R487" s="10">
        <f>Econ!E487</f>
        <v>389.9705185</v>
      </c>
      <c r="S487" s="10">
        <f>Econ!G487</f>
        <v>374311.2169</v>
      </c>
      <c r="T487" s="10">
        <f>Econ!I487</f>
        <v>1754.867333</v>
      </c>
    </row>
    <row r="488">
      <c r="A488" s="7" t="str">
        <f>Econ!A488&amp;if(Econ!B488&lt;10,"_0"&amp;Econ!B488,"_"&amp;Econ!B488)</f>
        <v>Pikeman_187</v>
      </c>
      <c r="B488" s="7" t="str">
        <f>"T"&amp;Econ!B488&amp;" "&amp;Econ!A488</f>
        <v>T187 Pikeman</v>
      </c>
      <c r="C488" s="8">
        <f>Econ!B488</f>
        <v>187</v>
      </c>
      <c r="D488" s="7"/>
      <c r="E488" s="9"/>
      <c r="F488" s="9"/>
      <c r="G488" s="10">
        <f>Econ!L488</f>
        <v>101938</v>
      </c>
      <c r="H488" s="11">
        <f>Econ!M488</f>
        <v>8949</v>
      </c>
      <c r="I488" s="11" t="str">
        <f>Econ!N488</f>
        <v/>
      </c>
      <c r="J488" s="12">
        <f>Econ!O488</f>
        <v>4267</v>
      </c>
      <c r="K488" s="13">
        <f>Econ!P488</f>
        <v>25484.5</v>
      </c>
      <c r="L488" s="14">
        <f>Econ!Q488</f>
        <v>2237.25</v>
      </c>
      <c r="M488" s="14">
        <f>Econ!R488</f>
        <v>0</v>
      </c>
      <c r="N488" s="13">
        <f>Econ!S488</f>
        <v>1066.75</v>
      </c>
      <c r="O488" s="13">
        <f>Econ!T488</f>
        <v>20</v>
      </c>
      <c r="P488" s="7" t="str">
        <f>Econ!A488</f>
        <v>Pikeman</v>
      </c>
      <c r="Q488" s="10">
        <f>Econ!C488</f>
        <v>2620178.518</v>
      </c>
      <c r="R488" s="10">
        <f>Econ!E488</f>
        <v>397.7699289</v>
      </c>
      <c r="S488" s="10">
        <f>Econ!G488</f>
        <v>393026.7777</v>
      </c>
      <c r="T488" s="10">
        <f>Econ!I488</f>
        <v>1789.96468</v>
      </c>
    </row>
    <row r="489">
      <c r="A489" s="7" t="str">
        <f>Econ!A489&amp;if(Econ!B489&lt;10,"_0"&amp;Econ!B489,"_"&amp;Econ!B489)</f>
        <v>Pikeman_188</v>
      </c>
      <c r="B489" s="7" t="str">
        <f>"T"&amp;Econ!B489&amp;" "&amp;Econ!A489</f>
        <v>T188 Pikeman</v>
      </c>
      <c r="C489" s="8">
        <f>Econ!B489</f>
        <v>188</v>
      </c>
      <c r="D489" s="7"/>
      <c r="E489" s="9"/>
      <c r="F489" s="9"/>
      <c r="G489" s="10">
        <f>Econ!L489</f>
        <v>102859</v>
      </c>
      <c r="H489" s="11">
        <f>Econ!M489</f>
        <v>9024</v>
      </c>
      <c r="I489" s="11" t="str">
        <f>Econ!N489</f>
        <v/>
      </c>
      <c r="J489" s="12">
        <f>Econ!O489</f>
        <v>4305</v>
      </c>
      <c r="K489" s="13">
        <f>Econ!P489</f>
        <v>25714.75</v>
      </c>
      <c r="L489" s="14">
        <f>Econ!Q489</f>
        <v>2256</v>
      </c>
      <c r="M489" s="14">
        <f>Econ!R489</f>
        <v>0</v>
      </c>
      <c r="N489" s="13">
        <f>Econ!S489</f>
        <v>1076.25</v>
      </c>
      <c r="O489" s="13">
        <f>Econ!T489</f>
        <v>20</v>
      </c>
      <c r="P489" s="7" t="str">
        <f>Econ!A489</f>
        <v>Pikeman</v>
      </c>
      <c r="Q489" s="10">
        <f>Econ!C489</f>
        <v>2751187.444</v>
      </c>
      <c r="R489" s="10">
        <f>Econ!E489</f>
        <v>405.7253275</v>
      </c>
      <c r="S489" s="10">
        <f>Econ!G489</f>
        <v>412678.1166</v>
      </c>
      <c r="T489" s="10">
        <f>Econ!I489</f>
        <v>1825.763974</v>
      </c>
    </row>
    <row r="490">
      <c r="A490" s="7" t="str">
        <f>Econ!A490&amp;if(Econ!B490&lt;10,"_0"&amp;Econ!B490,"_"&amp;Econ!B490)</f>
        <v>Pikeman_189</v>
      </c>
      <c r="B490" s="7" t="str">
        <f>"T"&amp;Econ!B490&amp;" "&amp;Econ!A490</f>
        <v>T189 Pikeman</v>
      </c>
      <c r="C490" s="8">
        <f>Econ!B490</f>
        <v>189</v>
      </c>
      <c r="D490" s="7"/>
      <c r="E490" s="9"/>
      <c r="F490" s="9"/>
      <c r="G490" s="10">
        <f>Econ!L490</f>
        <v>103784</v>
      </c>
      <c r="H490" s="11">
        <f>Econ!M490</f>
        <v>9099</v>
      </c>
      <c r="I490" s="11" t="str">
        <f>Econ!N490</f>
        <v/>
      </c>
      <c r="J490" s="12">
        <f>Econ!O490</f>
        <v>4343</v>
      </c>
      <c r="K490" s="13">
        <f>Econ!P490</f>
        <v>25946</v>
      </c>
      <c r="L490" s="14">
        <f>Econ!Q490</f>
        <v>2274.75</v>
      </c>
      <c r="M490" s="14">
        <f>Econ!R490</f>
        <v>0</v>
      </c>
      <c r="N490" s="13">
        <f>Econ!S490</f>
        <v>1085.75</v>
      </c>
      <c r="O490" s="13">
        <f>Econ!T490</f>
        <v>20</v>
      </c>
      <c r="P490" s="7" t="str">
        <f>Econ!A490</f>
        <v>Pikeman</v>
      </c>
      <c r="Q490" s="10">
        <f>Econ!C490</f>
        <v>2888746.816</v>
      </c>
      <c r="R490" s="10">
        <f>Econ!E490</f>
        <v>413.839834</v>
      </c>
      <c r="S490" s="10">
        <f>Econ!G490</f>
        <v>433312.0225</v>
      </c>
      <c r="T490" s="10">
        <f>Econ!I490</f>
        <v>1862.279253</v>
      </c>
    </row>
    <row r="491">
      <c r="A491" s="7" t="str">
        <f>Econ!A491&amp;if(Econ!B491&lt;10,"_0"&amp;Econ!B491,"_"&amp;Econ!B491)</f>
        <v>Pikeman_190</v>
      </c>
      <c r="B491" s="7" t="str">
        <f>"T"&amp;Econ!B491&amp;" "&amp;Econ!A491</f>
        <v>T190 Pikeman</v>
      </c>
      <c r="C491" s="8">
        <f>Econ!B491</f>
        <v>190</v>
      </c>
      <c r="D491" s="7"/>
      <c r="E491" s="9"/>
      <c r="F491" s="9"/>
      <c r="G491" s="10">
        <f>Econ!L491</f>
        <v>104712</v>
      </c>
      <c r="H491" s="11">
        <f>Econ!M491</f>
        <v>9174</v>
      </c>
      <c r="I491" s="11" t="str">
        <f>Econ!N491</f>
        <v/>
      </c>
      <c r="J491" s="12">
        <f>Econ!O491</f>
        <v>4381</v>
      </c>
      <c r="K491" s="13">
        <f>Econ!P491</f>
        <v>26178</v>
      </c>
      <c r="L491" s="14">
        <f>Econ!Q491</f>
        <v>2293.5</v>
      </c>
      <c r="M491" s="14">
        <f>Econ!R491</f>
        <v>0</v>
      </c>
      <c r="N491" s="13">
        <f>Econ!S491</f>
        <v>1095.25</v>
      </c>
      <c r="O491" s="13">
        <f>Econ!T491</f>
        <v>20</v>
      </c>
      <c r="P491" s="7" t="str">
        <f>Econ!A491</f>
        <v>Pikeman</v>
      </c>
      <c r="Q491" s="10">
        <f>Econ!C491</f>
        <v>3033184.157</v>
      </c>
      <c r="R491" s="10">
        <f>Econ!E491</f>
        <v>422.1166307</v>
      </c>
      <c r="S491" s="10">
        <f>Econ!G491</f>
        <v>454977.6236</v>
      </c>
      <c r="T491" s="10">
        <f>Econ!I491</f>
        <v>1899.524838</v>
      </c>
    </row>
    <row r="492">
      <c r="A492" s="7" t="str">
        <f>Econ!A492&amp;if(Econ!B492&lt;10,"_0"&amp;Econ!B492,"_"&amp;Econ!B492)</f>
        <v>Pikeman_191</v>
      </c>
      <c r="B492" s="7" t="str">
        <f>"T"&amp;Econ!B492&amp;" "&amp;Econ!A492</f>
        <v>T191 Pikeman</v>
      </c>
      <c r="C492" s="8">
        <f>Econ!B492</f>
        <v>191</v>
      </c>
      <c r="D492" s="7"/>
      <c r="E492" s="9"/>
      <c r="F492" s="9"/>
      <c r="G492" s="10">
        <f>Econ!L492</f>
        <v>105643</v>
      </c>
      <c r="H492" s="11">
        <f>Econ!M492</f>
        <v>9249</v>
      </c>
      <c r="I492" s="11" t="str">
        <f>Econ!N492</f>
        <v/>
      </c>
      <c r="J492" s="12">
        <f>Econ!O492</f>
        <v>4419</v>
      </c>
      <c r="K492" s="13">
        <f>Econ!P492</f>
        <v>26410.75</v>
      </c>
      <c r="L492" s="14">
        <f>Econ!Q492</f>
        <v>2312.25</v>
      </c>
      <c r="M492" s="14">
        <f>Econ!R492</f>
        <v>0</v>
      </c>
      <c r="N492" s="13">
        <f>Econ!S492</f>
        <v>1104.75</v>
      </c>
      <c r="O492" s="13">
        <f>Econ!T492</f>
        <v>20</v>
      </c>
      <c r="P492" s="7" t="str">
        <f>Econ!A492</f>
        <v>Pikeman</v>
      </c>
      <c r="Q492" s="10">
        <f>Econ!C492</f>
        <v>3184843.365</v>
      </c>
      <c r="R492" s="10">
        <f>Econ!E492</f>
        <v>430.5589633</v>
      </c>
      <c r="S492" s="10">
        <f>Econ!G492</f>
        <v>477726.5048</v>
      </c>
      <c r="T492" s="10">
        <f>Econ!I492</f>
        <v>1937.515335</v>
      </c>
    </row>
    <row r="493">
      <c r="A493" s="7" t="str">
        <f>Econ!A493&amp;if(Econ!B493&lt;10,"_0"&amp;Econ!B493,"_"&amp;Econ!B493)</f>
        <v>Pikeman_192</v>
      </c>
      <c r="B493" s="7" t="str">
        <f>"T"&amp;Econ!B493&amp;" "&amp;Econ!A493</f>
        <v>T192 Pikeman</v>
      </c>
      <c r="C493" s="8">
        <f>Econ!B493</f>
        <v>192</v>
      </c>
      <c r="D493" s="7"/>
      <c r="E493" s="9"/>
      <c r="F493" s="9"/>
      <c r="G493" s="10">
        <f>Econ!L493</f>
        <v>106578</v>
      </c>
      <c r="H493" s="11">
        <f>Econ!M493</f>
        <v>9325</v>
      </c>
      <c r="I493" s="11" t="str">
        <f>Econ!N493</f>
        <v/>
      </c>
      <c r="J493" s="12">
        <f>Econ!O493</f>
        <v>4457</v>
      </c>
      <c r="K493" s="13">
        <f>Econ!P493</f>
        <v>26644.5</v>
      </c>
      <c r="L493" s="14">
        <f>Econ!Q493</f>
        <v>2331.25</v>
      </c>
      <c r="M493" s="14">
        <f>Econ!R493</f>
        <v>0</v>
      </c>
      <c r="N493" s="13">
        <f>Econ!S493</f>
        <v>1114.25</v>
      </c>
      <c r="O493" s="13">
        <f>Econ!T493</f>
        <v>20</v>
      </c>
      <c r="P493" s="7" t="str">
        <f>Econ!A493</f>
        <v>Pikeman</v>
      </c>
      <c r="Q493" s="10">
        <f>Econ!C493</f>
        <v>3344085.533</v>
      </c>
      <c r="R493" s="10">
        <f>Econ!E493</f>
        <v>439.1701426</v>
      </c>
      <c r="S493" s="10">
        <f>Econ!G493</f>
        <v>501612.83</v>
      </c>
      <c r="T493" s="10">
        <f>Econ!I493</f>
        <v>1976.265642</v>
      </c>
    </row>
    <row r="494">
      <c r="A494" s="7" t="str">
        <f>Econ!A494&amp;if(Econ!B494&lt;10,"_0"&amp;Econ!B494,"_"&amp;Econ!B494)</f>
        <v>Pikeman_193</v>
      </c>
      <c r="B494" s="7" t="str">
        <f>"T"&amp;Econ!B494&amp;" "&amp;Econ!A494</f>
        <v>T193 Pikeman</v>
      </c>
      <c r="C494" s="8">
        <f>Econ!B494</f>
        <v>193</v>
      </c>
      <c r="D494" s="7"/>
      <c r="E494" s="9"/>
      <c r="F494" s="9"/>
      <c r="G494" s="10">
        <f>Econ!L494</f>
        <v>107516</v>
      </c>
      <c r="H494" s="11">
        <f>Econ!M494</f>
        <v>9401</v>
      </c>
      <c r="I494" s="11" t="str">
        <f>Econ!N494</f>
        <v/>
      </c>
      <c r="J494" s="12">
        <f>Econ!O494</f>
        <v>4495</v>
      </c>
      <c r="K494" s="13">
        <f>Econ!P494</f>
        <v>26879</v>
      </c>
      <c r="L494" s="14">
        <f>Econ!Q494</f>
        <v>2350.25</v>
      </c>
      <c r="M494" s="14">
        <f>Econ!R494</f>
        <v>0</v>
      </c>
      <c r="N494" s="13">
        <f>Econ!S494</f>
        <v>1123.75</v>
      </c>
      <c r="O494" s="13">
        <f>Econ!T494</f>
        <v>20</v>
      </c>
      <c r="P494" s="7" t="str">
        <f>Econ!A494</f>
        <v>Pikeman</v>
      </c>
      <c r="Q494" s="10">
        <f>Econ!C494</f>
        <v>3511289.81</v>
      </c>
      <c r="R494" s="10">
        <f>Econ!E494</f>
        <v>447.9535455</v>
      </c>
      <c r="S494" s="10">
        <f>Econ!G494</f>
        <v>526693.4715</v>
      </c>
      <c r="T494" s="10">
        <f>Econ!I494</f>
        <v>2015.790955</v>
      </c>
    </row>
    <row r="495">
      <c r="A495" s="7" t="str">
        <f>Econ!A495&amp;if(Econ!B495&lt;10,"_0"&amp;Econ!B495,"_"&amp;Econ!B495)</f>
        <v>Pikeman_194</v>
      </c>
      <c r="B495" s="7" t="str">
        <f>"T"&amp;Econ!B495&amp;" "&amp;Econ!A495</f>
        <v>T194 Pikeman</v>
      </c>
      <c r="C495" s="8">
        <f>Econ!B495</f>
        <v>194</v>
      </c>
      <c r="D495" s="7"/>
      <c r="E495" s="9"/>
      <c r="F495" s="9"/>
      <c r="G495" s="10">
        <f>Econ!L495</f>
        <v>108458</v>
      </c>
      <c r="H495" s="11">
        <f>Econ!M495</f>
        <v>9477</v>
      </c>
      <c r="I495" s="11" t="str">
        <f>Econ!N495</f>
        <v/>
      </c>
      <c r="J495" s="12">
        <f>Econ!O495</f>
        <v>4534</v>
      </c>
      <c r="K495" s="13">
        <f>Econ!P495</f>
        <v>27114.5</v>
      </c>
      <c r="L495" s="14">
        <f>Econ!Q495</f>
        <v>2369.25</v>
      </c>
      <c r="M495" s="14">
        <f>Econ!R495</f>
        <v>0</v>
      </c>
      <c r="N495" s="13">
        <f>Econ!S495</f>
        <v>1133.5</v>
      </c>
      <c r="O495" s="13">
        <f>Econ!T495</f>
        <v>20</v>
      </c>
      <c r="P495" s="7" t="str">
        <f>Econ!A495</f>
        <v>Pikeman</v>
      </c>
      <c r="Q495" s="10">
        <f>Econ!C495</f>
        <v>3686854.301</v>
      </c>
      <c r="R495" s="10">
        <f>Econ!E495</f>
        <v>456.9126164</v>
      </c>
      <c r="S495" s="10">
        <f>Econ!G495</f>
        <v>553028.1451</v>
      </c>
      <c r="T495" s="10">
        <f>Econ!I495</f>
        <v>2056.106774</v>
      </c>
    </row>
    <row r="496">
      <c r="A496" s="7" t="str">
        <f>Econ!A496&amp;if(Econ!B496&lt;10,"_0"&amp;Econ!B496,"_"&amp;Econ!B496)</f>
        <v>Pikeman_195</v>
      </c>
      <c r="B496" s="7" t="str">
        <f>"T"&amp;Econ!B496&amp;" "&amp;Econ!A496</f>
        <v>T195 Pikeman</v>
      </c>
      <c r="C496" s="8">
        <f>Econ!B496</f>
        <v>195</v>
      </c>
      <c r="D496" s="7"/>
      <c r="E496" s="9"/>
      <c r="F496" s="9"/>
      <c r="G496" s="10">
        <f>Econ!L496</f>
        <v>109403</v>
      </c>
      <c r="H496" s="11">
        <f>Econ!M496</f>
        <v>9554</v>
      </c>
      <c r="I496" s="11" t="str">
        <f>Econ!N496</f>
        <v/>
      </c>
      <c r="J496" s="12">
        <f>Econ!O496</f>
        <v>4573</v>
      </c>
      <c r="K496" s="13">
        <f>Econ!P496</f>
        <v>27350.75</v>
      </c>
      <c r="L496" s="14">
        <f>Econ!Q496</f>
        <v>2388.5</v>
      </c>
      <c r="M496" s="14">
        <f>Econ!R496</f>
        <v>0</v>
      </c>
      <c r="N496" s="13">
        <f>Econ!S496</f>
        <v>1143.25</v>
      </c>
      <c r="O496" s="13">
        <f>Econ!T496</f>
        <v>21</v>
      </c>
      <c r="P496" s="7" t="str">
        <f>Econ!A496</f>
        <v>Pikeman</v>
      </c>
      <c r="Q496" s="10">
        <f>Econ!C496</f>
        <v>3871197.016</v>
      </c>
      <c r="R496" s="10">
        <f>Econ!E496</f>
        <v>466.0508687</v>
      </c>
      <c r="S496" s="10">
        <f>Econ!G496</f>
        <v>580679.5523</v>
      </c>
      <c r="T496" s="10">
        <f>Econ!I496</f>
        <v>2097.228909</v>
      </c>
    </row>
    <row r="497">
      <c r="A497" s="7" t="str">
        <f>Econ!A497&amp;if(Econ!B497&lt;10,"_0"&amp;Econ!B497,"_"&amp;Econ!B497)</f>
        <v>Pikeman_196</v>
      </c>
      <c r="B497" s="7" t="str">
        <f>"T"&amp;Econ!B497&amp;" "&amp;Econ!A497</f>
        <v>T196 Pikeman</v>
      </c>
      <c r="C497" s="8">
        <f>Econ!B497</f>
        <v>196</v>
      </c>
      <c r="D497" s="7"/>
      <c r="E497" s="9"/>
      <c r="F497" s="9"/>
      <c r="G497" s="10">
        <f>Econ!L497</f>
        <v>110351</v>
      </c>
      <c r="H497" s="11">
        <f>Econ!M497</f>
        <v>9631</v>
      </c>
      <c r="I497" s="11" t="str">
        <f>Econ!N497</f>
        <v/>
      </c>
      <c r="J497" s="12">
        <f>Econ!O497</f>
        <v>4612</v>
      </c>
      <c r="K497" s="13">
        <f>Econ!P497</f>
        <v>27587.75</v>
      </c>
      <c r="L497" s="14">
        <f>Econ!Q497</f>
        <v>2407.75</v>
      </c>
      <c r="M497" s="14">
        <f>Econ!R497</f>
        <v>0</v>
      </c>
      <c r="N497" s="13">
        <f>Econ!S497</f>
        <v>1153</v>
      </c>
      <c r="O497" s="13">
        <f>Econ!T497</f>
        <v>21</v>
      </c>
      <c r="P497" s="7" t="str">
        <f>Econ!A497</f>
        <v>Pikeman</v>
      </c>
      <c r="Q497" s="10">
        <f>Econ!C497</f>
        <v>4064756.866</v>
      </c>
      <c r="R497" s="10">
        <f>Econ!E497</f>
        <v>475.3718861</v>
      </c>
      <c r="S497" s="10">
        <f>Econ!G497</f>
        <v>609713.53</v>
      </c>
      <c r="T497" s="10">
        <f>Econ!I497</f>
        <v>2139.173487</v>
      </c>
    </row>
    <row r="498">
      <c r="A498" s="7" t="str">
        <f>Econ!A498&amp;if(Econ!B498&lt;10,"_0"&amp;Econ!B498,"_"&amp;Econ!B498)</f>
        <v>Pikeman_197</v>
      </c>
      <c r="B498" s="7" t="str">
        <f>"T"&amp;Econ!B498&amp;" "&amp;Econ!A498</f>
        <v>T197 Pikeman</v>
      </c>
      <c r="C498" s="8">
        <f>Econ!B498</f>
        <v>197</v>
      </c>
      <c r="D498" s="7"/>
      <c r="E498" s="9"/>
      <c r="F498" s="9"/>
      <c r="G498" s="10">
        <f>Econ!L498</f>
        <v>111303</v>
      </c>
      <c r="H498" s="11">
        <f>Econ!M498</f>
        <v>9708</v>
      </c>
      <c r="I498" s="11" t="str">
        <f>Econ!N498</f>
        <v/>
      </c>
      <c r="J498" s="12">
        <f>Econ!O498</f>
        <v>4651</v>
      </c>
      <c r="K498" s="13">
        <f>Econ!P498</f>
        <v>27825.75</v>
      </c>
      <c r="L498" s="14">
        <f>Econ!Q498</f>
        <v>2427</v>
      </c>
      <c r="M498" s="14">
        <f>Econ!R498</f>
        <v>0</v>
      </c>
      <c r="N498" s="13">
        <f>Econ!S498</f>
        <v>1162.75</v>
      </c>
      <c r="O498" s="13">
        <f>Econ!T498</f>
        <v>21</v>
      </c>
      <c r="P498" s="7" t="str">
        <f>Econ!A498</f>
        <v>Pikeman</v>
      </c>
      <c r="Q498" s="10">
        <f>Econ!C498</f>
        <v>4267994.71</v>
      </c>
      <c r="R498" s="10">
        <f>Econ!E498</f>
        <v>484.8793238</v>
      </c>
      <c r="S498" s="10">
        <f>Econ!G498</f>
        <v>640199.2064</v>
      </c>
      <c r="T498" s="10">
        <f>Econ!I498</f>
        <v>2181.956957</v>
      </c>
    </row>
    <row r="499">
      <c r="A499" s="7" t="str">
        <f>Econ!A499&amp;if(Econ!B499&lt;10,"_0"&amp;Econ!B499,"_"&amp;Econ!B499)</f>
        <v>Pikeman_198</v>
      </c>
      <c r="B499" s="7" t="str">
        <f>"T"&amp;Econ!B499&amp;" "&amp;Econ!A499</f>
        <v>T198 Pikeman</v>
      </c>
      <c r="C499" s="8">
        <f>Econ!B499</f>
        <v>198</v>
      </c>
      <c r="D499" s="7"/>
      <c r="E499" s="9"/>
      <c r="F499" s="9"/>
      <c r="G499" s="10">
        <f>Econ!L499</f>
        <v>112258</v>
      </c>
      <c r="H499" s="11">
        <f>Econ!M499</f>
        <v>9785</v>
      </c>
      <c r="I499" s="11" t="str">
        <f>Econ!N499</f>
        <v/>
      </c>
      <c r="J499" s="12">
        <f>Econ!O499</f>
        <v>4690</v>
      </c>
      <c r="K499" s="13">
        <f>Econ!P499</f>
        <v>28064.5</v>
      </c>
      <c r="L499" s="14">
        <f>Econ!Q499</f>
        <v>2446.25</v>
      </c>
      <c r="M499" s="14">
        <f>Econ!R499</f>
        <v>0</v>
      </c>
      <c r="N499" s="13">
        <f>Econ!S499</f>
        <v>1172.5</v>
      </c>
      <c r="O499" s="13">
        <f>Econ!T499</f>
        <v>21</v>
      </c>
      <c r="P499" s="7" t="str">
        <f>Econ!A499</f>
        <v>Pikeman</v>
      </c>
      <c r="Q499" s="10">
        <f>Econ!C499</f>
        <v>4481394.445</v>
      </c>
      <c r="R499" s="10">
        <f>Econ!E499</f>
        <v>494.5769103</v>
      </c>
      <c r="S499" s="10">
        <f>Econ!G499</f>
        <v>672209.1668</v>
      </c>
      <c r="T499" s="10">
        <f>Econ!I499</f>
        <v>2225.596096</v>
      </c>
    </row>
    <row r="500">
      <c r="A500" s="7" t="str">
        <f>Econ!A500&amp;if(Econ!B500&lt;10,"_0"&amp;Econ!B500,"_"&amp;Econ!B500)</f>
        <v>Pikeman_199</v>
      </c>
      <c r="B500" s="7" t="str">
        <f>"T"&amp;Econ!B500&amp;" "&amp;Econ!A500</f>
        <v>T199 Pikeman</v>
      </c>
      <c r="C500" s="8">
        <f>Econ!B500</f>
        <v>199</v>
      </c>
      <c r="D500" s="7"/>
      <c r="E500" s="9"/>
      <c r="F500" s="9"/>
      <c r="G500" s="10">
        <f>Econ!L500</f>
        <v>113217</v>
      </c>
      <c r="H500" s="11">
        <f>Econ!M500</f>
        <v>9863</v>
      </c>
      <c r="I500" s="11" t="str">
        <f>Econ!N500</f>
        <v/>
      </c>
      <c r="J500" s="12">
        <f>Econ!O500</f>
        <v>4729</v>
      </c>
      <c r="K500" s="13">
        <f>Econ!P500</f>
        <v>28304.25</v>
      </c>
      <c r="L500" s="14">
        <f>Econ!Q500</f>
        <v>2465.75</v>
      </c>
      <c r="M500" s="14">
        <f>Econ!R500</f>
        <v>0</v>
      </c>
      <c r="N500" s="13">
        <f>Econ!S500</f>
        <v>1182.25</v>
      </c>
      <c r="O500" s="13">
        <f>Econ!T500</f>
        <v>21</v>
      </c>
      <c r="P500" s="7" t="str">
        <f>Econ!A500</f>
        <v>Pikeman</v>
      </c>
      <c r="Q500" s="10">
        <f>Econ!C500</f>
        <v>4705464.167</v>
      </c>
      <c r="R500" s="10">
        <f>Econ!E500</f>
        <v>504.4684485</v>
      </c>
      <c r="S500" s="10">
        <f>Econ!G500</f>
        <v>705819.6251</v>
      </c>
      <c r="T500" s="10">
        <f>Econ!I500</f>
        <v>2270.108018</v>
      </c>
    </row>
    <row r="501">
      <c r="A501" s="7" t="str">
        <f>Econ!A501&amp;if(Econ!B501&lt;10,"_0"&amp;Econ!B501,"_"&amp;Econ!B501)</f>
        <v>Pikeman_200</v>
      </c>
      <c r="B501" s="7" t="str">
        <f>"T"&amp;Econ!B501&amp;" "&amp;Econ!A501</f>
        <v>T200 Pikeman</v>
      </c>
      <c r="C501" s="8">
        <f>Econ!B501</f>
        <v>200</v>
      </c>
      <c r="D501" s="7"/>
      <c r="E501" s="9"/>
      <c r="F501" s="9"/>
      <c r="G501" s="10">
        <f>Econ!L501</f>
        <v>114179</v>
      </c>
      <c r="H501" s="11">
        <f>Econ!M501</f>
        <v>9941</v>
      </c>
      <c r="I501" s="11">
        <f>Econ!N501</f>
        <v>994.1</v>
      </c>
      <c r="J501" s="12">
        <f>Econ!O501</f>
        <v>4768</v>
      </c>
      <c r="K501" s="13">
        <f>Econ!P501</f>
        <v>28544.75</v>
      </c>
      <c r="L501" s="14">
        <f>Econ!Q501</f>
        <v>2485.25</v>
      </c>
      <c r="M501" s="14">
        <f>Econ!R501</f>
        <v>248.525</v>
      </c>
      <c r="N501" s="13">
        <f>Econ!S501</f>
        <v>1192</v>
      </c>
      <c r="O501" s="13">
        <f>Econ!T501</f>
        <v>21</v>
      </c>
      <c r="P501" s="7" t="str">
        <f>Econ!A501</f>
        <v>Pikeman</v>
      </c>
      <c r="Q501" s="10">
        <f>Econ!C501</f>
        <v>4940737.376</v>
      </c>
      <c r="R501" s="10">
        <f>Econ!E501</f>
        <v>514.5578174</v>
      </c>
      <c r="S501" s="10">
        <f>Econ!G501</f>
        <v>741110.6064</v>
      </c>
      <c r="T501" s="10">
        <f>Econ!I501</f>
        <v>2315.510178</v>
      </c>
    </row>
    <row r="502">
      <c r="A502" s="7" t="str">
        <f>Econ!A502&amp;if(Econ!B502&lt;10,"_0"&amp;Econ!B502,"_"&amp;Econ!B502)</f>
        <v>Pikeman_201</v>
      </c>
      <c r="B502" s="7" t="str">
        <f>"T"&amp;Econ!B502&amp;" "&amp;Econ!A502</f>
        <v>T201 Pikeman</v>
      </c>
      <c r="C502" s="8">
        <f>Econ!B502</f>
        <v>201</v>
      </c>
      <c r="D502" s="7"/>
      <c r="E502" s="9"/>
      <c r="F502" s="9"/>
      <c r="G502" s="10">
        <f>Econ!L502</f>
        <v>115144</v>
      </c>
      <c r="H502" s="11">
        <f>Econ!M502</f>
        <v>10019</v>
      </c>
      <c r="I502" s="11">
        <f>Econ!N502</f>
        <v>1034</v>
      </c>
      <c r="J502" s="12">
        <f>Econ!O502</f>
        <v>4808</v>
      </c>
      <c r="K502" s="13">
        <f>Econ!P502</f>
        <v>28786</v>
      </c>
      <c r="L502" s="14">
        <f>Econ!Q502</f>
        <v>2504.75</v>
      </c>
      <c r="M502" s="14">
        <f>Econ!R502</f>
        <v>258.5</v>
      </c>
      <c r="N502" s="13">
        <f>Econ!S502</f>
        <v>1202</v>
      </c>
      <c r="O502" s="13">
        <f>Econ!T502</f>
        <v>21</v>
      </c>
      <c r="P502" s="7" t="str">
        <f>Econ!A502</f>
        <v>Pikeman</v>
      </c>
      <c r="Q502" s="10">
        <f>Econ!C502</f>
        <v>5187774.245</v>
      </c>
      <c r="R502" s="10">
        <f>Econ!E502</f>
        <v>524.8489738</v>
      </c>
      <c r="S502" s="10">
        <f>Econ!G502</f>
        <v>778166.1367</v>
      </c>
      <c r="T502" s="10">
        <f>Econ!I502</f>
        <v>2361.820382</v>
      </c>
    </row>
    <row r="503">
      <c r="A503" s="7" t="str">
        <f>Econ!A503&amp;if(Econ!B503&lt;10,"_0"&amp;Econ!B503,"_"&amp;Econ!B503)</f>
        <v>Pikeman_202</v>
      </c>
      <c r="B503" s="7" t="str">
        <f>"T"&amp;Econ!B503&amp;" "&amp;Econ!A503</f>
        <v>T202 Pikeman</v>
      </c>
      <c r="C503" s="8">
        <f>Econ!B503</f>
        <v>202</v>
      </c>
      <c r="D503" s="7"/>
      <c r="E503" s="9"/>
      <c r="F503" s="9"/>
      <c r="G503" s="10">
        <f>Econ!L503</f>
        <v>116113</v>
      </c>
      <c r="H503" s="11">
        <f>Econ!M503</f>
        <v>10097</v>
      </c>
      <c r="I503" s="11">
        <f>Econ!N503</f>
        <v>1074</v>
      </c>
      <c r="J503" s="12">
        <f>Econ!O503</f>
        <v>4848</v>
      </c>
      <c r="K503" s="13">
        <f>Econ!P503</f>
        <v>29028.25</v>
      </c>
      <c r="L503" s="14">
        <f>Econ!Q503</f>
        <v>2524.25</v>
      </c>
      <c r="M503" s="14">
        <f>Econ!R503</f>
        <v>268.5</v>
      </c>
      <c r="N503" s="13">
        <f>Econ!S503</f>
        <v>1212</v>
      </c>
      <c r="O503" s="13">
        <f>Econ!T503</f>
        <v>21</v>
      </c>
      <c r="P503" s="7" t="str">
        <f>Econ!A503</f>
        <v>Pikeman</v>
      </c>
      <c r="Q503" s="10">
        <f>Econ!C503</f>
        <v>5447162.957</v>
      </c>
      <c r="R503" s="10">
        <f>Econ!E503</f>
        <v>535.3459533</v>
      </c>
      <c r="S503" s="10">
        <f>Econ!G503</f>
        <v>817074.4435</v>
      </c>
      <c r="T503" s="10">
        <f>Econ!I503</f>
        <v>2409.05679</v>
      </c>
    </row>
    <row r="504">
      <c r="A504" s="7" t="str">
        <f>Econ!A504&amp;if(Econ!B504&lt;10,"_0"&amp;Econ!B504,"_"&amp;Econ!B504)</f>
        <v>Pikeman_203</v>
      </c>
      <c r="B504" s="7" t="str">
        <f>"T"&amp;Econ!B504&amp;" "&amp;Econ!A504</f>
        <v>T203 Pikeman</v>
      </c>
      <c r="C504" s="8">
        <f>Econ!B504</f>
        <v>203</v>
      </c>
      <c r="D504" s="7"/>
      <c r="E504" s="9"/>
      <c r="F504" s="9"/>
      <c r="G504" s="10">
        <f>Econ!L504</f>
        <v>117085</v>
      </c>
      <c r="H504" s="11">
        <f>Econ!M504</f>
        <v>10176</v>
      </c>
      <c r="I504" s="11">
        <f>Econ!N504</f>
        <v>1114</v>
      </c>
      <c r="J504" s="12">
        <f>Econ!O504</f>
        <v>4888</v>
      </c>
      <c r="K504" s="13">
        <f>Econ!P504</f>
        <v>29271.25</v>
      </c>
      <c r="L504" s="14">
        <f>Econ!Q504</f>
        <v>2544</v>
      </c>
      <c r="M504" s="14">
        <f>Econ!R504</f>
        <v>278.5</v>
      </c>
      <c r="N504" s="13">
        <f>Econ!S504</f>
        <v>1222</v>
      </c>
      <c r="O504" s="13">
        <f>Econ!T504</f>
        <v>21</v>
      </c>
      <c r="P504" s="7" t="str">
        <f>Econ!A504</f>
        <v>Pikeman</v>
      </c>
      <c r="Q504" s="10">
        <f>Econ!C504</f>
        <v>5719521.105</v>
      </c>
      <c r="R504" s="10">
        <f>Econ!E504</f>
        <v>546.0528723</v>
      </c>
      <c r="S504" s="10">
        <f>Econ!G504</f>
        <v>857928.1657</v>
      </c>
      <c r="T504" s="10">
        <f>Econ!I504</f>
        <v>2457.237925</v>
      </c>
    </row>
    <row r="505">
      <c r="A505" s="7" t="str">
        <f>Econ!A505&amp;if(Econ!B505&lt;10,"_0"&amp;Econ!B505,"_"&amp;Econ!B505)</f>
        <v>Pikeman_204</v>
      </c>
      <c r="B505" s="7" t="str">
        <f>"T"&amp;Econ!B505&amp;" "&amp;Econ!A505</f>
        <v>T204 Pikeman</v>
      </c>
      <c r="C505" s="8">
        <f>Econ!B505</f>
        <v>204</v>
      </c>
      <c r="D505" s="7"/>
      <c r="E505" s="9"/>
      <c r="F505" s="9"/>
      <c r="G505" s="10">
        <f>Econ!L505</f>
        <v>118061</v>
      </c>
      <c r="H505" s="11">
        <f>Econ!M505</f>
        <v>10255</v>
      </c>
      <c r="I505" s="11">
        <f>Econ!N505</f>
        <v>1154</v>
      </c>
      <c r="J505" s="12">
        <f>Econ!O505</f>
        <v>4928</v>
      </c>
      <c r="K505" s="13">
        <f>Econ!P505</f>
        <v>29515.25</v>
      </c>
      <c r="L505" s="14">
        <f>Econ!Q505</f>
        <v>2563.75</v>
      </c>
      <c r="M505" s="14">
        <f>Econ!R505</f>
        <v>288.5</v>
      </c>
      <c r="N505" s="13">
        <f>Econ!S505</f>
        <v>1232</v>
      </c>
      <c r="O505" s="13">
        <f>Econ!T505</f>
        <v>21</v>
      </c>
      <c r="P505" s="7" t="str">
        <f>Econ!A505</f>
        <v>Pikeman</v>
      </c>
      <c r="Q505" s="10">
        <f>Econ!C505</f>
        <v>6005497.16</v>
      </c>
      <c r="R505" s="10">
        <f>Econ!E505</f>
        <v>556.9739298</v>
      </c>
      <c r="S505" s="10">
        <f>Econ!G505</f>
        <v>900824.574</v>
      </c>
      <c r="T505" s="10">
        <f>Econ!I505</f>
        <v>2506.382684</v>
      </c>
    </row>
    <row r="506">
      <c r="A506" s="7" t="str">
        <f>Econ!A506&amp;if(Econ!B506&lt;10,"_0"&amp;Econ!B506,"_"&amp;Econ!B506)</f>
        <v>Pikeman_205</v>
      </c>
      <c r="B506" s="7" t="str">
        <f>"T"&amp;Econ!B506&amp;" "&amp;Econ!A506</f>
        <v>T205 Pikeman</v>
      </c>
      <c r="C506" s="8">
        <f>Econ!B506</f>
        <v>205</v>
      </c>
      <c r="D506" s="7"/>
      <c r="E506" s="9"/>
      <c r="F506" s="9"/>
      <c r="G506" s="10">
        <f>Econ!L506</f>
        <v>119040</v>
      </c>
      <c r="H506" s="11">
        <f>Econ!M506</f>
        <v>10334</v>
      </c>
      <c r="I506" s="11">
        <f>Econ!N506</f>
        <v>1194</v>
      </c>
      <c r="J506" s="12">
        <f>Econ!O506</f>
        <v>4968</v>
      </c>
      <c r="K506" s="13">
        <f>Econ!P506</f>
        <v>29760</v>
      </c>
      <c r="L506" s="14">
        <f>Econ!Q506</f>
        <v>2583.5</v>
      </c>
      <c r="M506" s="14">
        <f>Econ!R506</f>
        <v>298.5</v>
      </c>
      <c r="N506" s="13">
        <f>Econ!S506</f>
        <v>1242</v>
      </c>
      <c r="O506" s="13">
        <f>Econ!T506</f>
        <v>22</v>
      </c>
      <c r="P506" s="7" t="str">
        <f>Econ!A506</f>
        <v>Pikeman</v>
      </c>
      <c r="Q506" s="10">
        <f>Econ!C506</f>
        <v>6305772.018</v>
      </c>
      <c r="R506" s="10">
        <f>Econ!E506</f>
        <v>568.1134084</v>
      </c>
      <c r="S506" s="10">
        <f>Econ!G506</f>
        <v>945865.8027</v>
      </c>
      <c r="T506" s="10">
        <f>Econ!I506</f>
        <v>2556.510338</v>
      </c>
    </row>
    <row r="507">
      <c r="A507" s="7" t="str">
        <f>Econ!A507&amp;if(Econ!B507&lt;10,"_0"&amp;Econ!B507,"_"&amp;Econ!B507)</f>
        <v>Pikeman_206</v>
      </c>
      <c r="B507" s="7" t="str">
        <f>"T"&amp;Econ!B507&amp;" "&amp;Econ!A507</f>
        <v>T206 Pikeman</v>
      </c>
      <c r="C507" s="8">
        <f>Econ!B507</f>
        <v>206</v>
      </c>
      <c r="D507" s="7"/>
      <c r="E507" s="9"/>
      <c r="F507" s="9"/>
      <c r="G507" s="10">
        <f>Econ!L507</f>
        <v>120022</v>
      </c>
      <c r="H507" s="11">
        <f>Econ!M507</f>
        <v>10413</v>
      </c>
      <c r="I507" s="11">
        <f>Econ!N507</f>
        <v>1234</v>
      </c>
      <c r="J507" s="12">
        <f>Econ!O507</f>
        <v>5008</v>
      </c>
      <c r="K507" s="13">
        <f>Econ!P507</f>
        <v>30005.5</v>
      </c>
      <c r="L507" s="14">
        <f>Econ!Q507</f>
        <v>2603.25</v>
      </c>
      <c r="M507" s="14">
        <f>Econ!R507</f>
        <v>308.5</v>
      </c>
      <c r="N507" s="13">
        <f>Econ!S507</f>
        <v>1252</v>
      </c>
      <c r="O507" s="13">
        <f>Econ!T507</f>
        <v>22</v>
      </c>
      <c r="P507" s="7" t="str">
        <f>Econ!A507</f>
        <v>Pikeman</v>
      </c>
      <c r="Q507" s="10">
        <f>Econ!C507</f>
        <v>6621060.619</v>
      </c>
      <c r="R507" s="10">
        <f>Econ!E507</f>
        <v>579.4756765</v>
      </c>
      <c r="S507" s="10">
        <f>Econ!G507</f>
        <v>993159.0928</v>
      </c>
      <c r="T507" s="10">
        <f>Econ!I507</f>
        <v>2607.640544</v>
      </c>
    </row>
    <row r="508">
      <c r="A508" s="7" t="str">
        <f>Econ!A508&amp;if(Econ!B508&lt;10,"_0"&amp;Econ!B508,"_"&amp;Econ!B508)</f>
        <v>Pikeman_207</v>
      </c>
      <c r="B508" s="7" t="str">
        <f>"T"&amp;Econ!B508&amp;" "&amp;Econ!A508</f>
        <v>T207 Pikeman</v>
      </c>
      <c r="C508" s="8">
        <f>Econ!B508</f>
        <v>207</v>
      </c>
      <c r="D508" s="7"/>
      <c r="E508" s="9"/>
      <c r="F508" s="9"/>
      <c r="G508" s="10">
        <f>Econ!L508</f>
        <v>121008</v>
      </c>
      <c r="H508" s="11">
        <f>Econ!M508</f>
        <v>10493</v>
      </c>
      <c r="I508" s="11">
        <f>Econ!N508</f>
        <v>1274</v>
      </c>
      <c r="J508" s="12">
        <f>Econ!O508</f>
        <v>5048</v>
      </c>
      <c r="K508" s="13">
        <f>Econ!P508</f>
        <v>30252</v>
      </c>
      <c r="L508" s="14">
        <f>Econ!Q508</f>
        <v>2623.25</v>
      </c>
      <c r="M508" s="14">
        <f>Econ!R508</f>
        <v>318.5</v>
      </c>
      <c r="N508" s="13">
        <f>Econ!S508</f>
        <v>1262</v>
      </c>
      <c r="O508" s="13">
        <f>Econ!T508</f>
        <v>22</v>
      </c>
      <c r="P508" s="7" t="str">
        <f>Econ!A508</f>
        <v>Pikeman</v>
      </c>
      <c r="Q508" s="10">
        <f>Econ!C508</f>
        <v>6952113.65</v>
      </c>
      <c r="R508" s="10">
        <f>Econ!E508</f>
        <v>591.0651901</v>
      </c>
      <c r="S508" s="10">
        <f>Econ!G508</f>
        <v>1042817.047</v>
      </c>
      <c r="T508" s="10">
        <f>Econ!I508</f>
        <v>2659.793355</v>
      </c>
    </row>
    <row r="509">
      <c r="A509" s="7" t="str">
        <f>Econ!A509&amp;if(Econ!B509&lt;10,"_0"&amp;Econ!B509,"_"&amp;Econ!B509)</f>
        <v>Pikeman_208</v>
      </c>
      <c r="B509" s="7" t="str">
        <f>"T"&amp;Econ!B509&amp;" "&amp;Econ!A509</f>
        <v>T208 Pikeman</v>
      </c>
      <c r="C509" s="8">
        <f>Econ!B509</f>
        <v>208</v>
      </c>
      <c r="D509" s="7"/>
      <c r="E509" s="9"/>
      <c r="F509" s="9"/>
      <c r="G509" s="10">
        <f>Econ!L509</f>
        <v>121997</v>
      </c>
      <c r="H509" s="11">
        <f>Econ!M509</f>
        <v>10573</v>
      </c>
      <c r="I509" s="11">
        <f>Econ!N509</f>
        <v>1315</v>
      </c>
      <c r="J509" s="12">
        <f>Econ!O509</f>
        <v>5089</v>
      </c>
      <c r="K509" s="13">
        <f>Econ!P509</f>
        <v>30499.25</v>
      </c>
      <c r="L509" s="14">
        <f>Econ!Q509</f>
        <v>2643.25</v>
      </c>
      <c r="M509" s="14">
        <f>Econ!R509</f>
        <v>328.75</v>
      </c>
      <c r="N509" s="13">
        <f>Econ!S509</f>
        <v>1272.25</v>
      </c>
      <c r="O509" s="13">
        <f>Econ!T509</f>
        <v>22</v>
      </c>
      <c r="P509" s="7" t="str">
        <f>Econ!A509</f>
        <v>Pikeman</v>
      </c>
      <c r="Q509" s="10">
        <f>Econ!C509</f>
        <v>7299719.332</v>
      </c>
      <c r="R509" s="10">
        <f>Econ!E509</f>
        <v>602.8864939</v>
      </c>
      <c r="S509" s="10">
        <f>Econ!G509</f>
        <v>1094957.9</v>
      </c>
      <c r="T509" s="10">
        <f>Econ!I509</f>
        <v>2712.989222</v>
      </c>
    </row>
    <row r="510">
      <c r="A510" s="7" t="str">
        <f>Econ!A510&amp;if(Econ!B510&lt;10,"_0"&amp;Econ!B510,"_"&amp;Econ!B510)</f>
        <v>Pikeman_209</v>
      </c>
      <c r="B510" s="7" t="str">
        <f>"T"&amp;Econ!B510&amp;" "&amp;Econ!A510</f>
        <v>T209 Pikeman</v>
      </c>
      <c r="C510" s="8">
        <f>Econ!B510</f>
        <v>209</v>
      </c>
      <c r="D510" s="7"/>
      <c r="E510" s="9"/>
      <c r="F510" s="9"/>
      <c r="G510" s="10">
        <f>Econ!L510</f>
        <v>122989</v>
      </c>
      <c r="H510" s="11">
        <f>Econ!M510</f>
        <v>10653</v>
      </c>
      <c r="I510" s="11">
        <f>Econ!N510</f>
        <v>1356</v>
      </c>
      <c r="J510" s="12">
        <f>Econ!O510</f>
        <v>5130</v>
      </c>
      <c r="K510" s="13">
        <f>Econ!P510</f>
        <v>30747.25</v>
      </c>
      <c r="L510" s="14">
        <f>Econ!Q510</f>
        <v>2663.25</v>
      </c>
      <c r="M510" s="14">
        <f>Econ!R510</f>
        <v>339</v>
      </c>
      <c r="N510" s="13">
        <f>Econ!S510</f>
        <v>1282.5</v>
      </c>
      <c r="O510" s="13">
        <f>Econ!T510</f>
        <v>22</v>
      </c>
      <c r="P510" s="7" t="str">
        <f>Econ!A510</f>
        <v>Pikeman</v>
      </c>
      <c r="Q510" s="10">
        <f>Econ!C510</f>
        <v>7664705.299</v>
      </c>
      <c r="R510" s="10">
        <f>Econ!E510</f>
        <v>614.9442237</v>
      </c>
      <c r="S510" s="10">
        <f>Econ!G510</f>
        <v>1149705.795</v>
      </c>
      <c r="T510" s="10">
        <f>Econ!I510</f>
        <v>2767.249007</v>
      </c>
    </row>
    <row r="511">
      <c r="A511" s="7" t="str">
        <f>Econ!A511&amp;if(Econ!B511&lt;10,"_0"&amp;Econ!B511,"_"&amp;Econ!B511)</f>
        <v>Pikeman_210</v>
      </c>
      <c r="B511" s="7" t="str">
        <f>"T"&amp;Econ!B511&amp;" "&amp;Econ!A511</f>
        <v>T210 Pikeman</v>
      </c>
      <c r="C511" s="8">
        <f>Econ!B511</f>
        <v>210</v>
      </c>
      <c r="D511" s="7"/>
      <c r="E511" s="9"/>
      <c r="F511" s="9"/>
      <c r="G511" s="10">
        <f>Econ!L511</f>
        <v>123985</v>
      </c>
      <c r="H511" s="11">
        <f>Econ!M511</f>
        <v>10734</v>
      </c>
      <c r="I511" s="11">
        <f>Econ!N511</f>
        <v>1397</v>
      </c>
      <c r="J511" s="12">
        <f>Econ!O511</f>
        <v>5171</v>
      </c>
      <c r="K511" s="13">
        <f>Econ!P511</f>
        <v>30996.25</v>
      </c>
      <c r="L511" s="14">
        <f>Econ!Q511</f>
        <v>2683.5</v>
      </c>
      <c r="M511" s="14">
        <f>Econ!R511</f>
        <v>349.25</v>
      </c>
      <c r="N511" s="13">
        <f>Econ!S511</f>
        <v>1292.75</v>
      </c>
      <c r="O511" s="13">
        <f>Econ!T511</f>
        <v>22</v>
      </c>
      <c r="P511" s="7" t="str">
        <f>Econ!A511</f>
        <v>Pikeman</v>
      </c>
      <c r="Q511" s="10">
        <f>Econ!C511</f>
        <v>8047940.564</v>
      </c>
      <c r="R511" s="10">
        <f>Econ!E511</f>
        <v>627.2431082</v>
      </c>
      <c r="S511" s="10">
        <f>Econ!G511</f>
        <v>1207191.085</v>
      </c>
      <c r="T511" s="10">
        <f>Econ!I511</f>
        <v>2822.593987</v>
      </c>
    </row>
    <row r="512">
      <c r="A512" s="7" t="str">
        <f>Econ!A512&amp;if(Econ!B512&lt;10,"_0"&amp;Econ!B512,"_"&amp;Econ!B512)</f>
        <v>Pikeman_211</v>
      </c>
      <c r="B512" s="7" t="str">
        <f>"T"&amp;Econ!B512&amp;" "&amp;Econ!A512</f>
        <v>T211 Pikeman</v>
      </c>
      <c r="C512" s="8">
        <f>Econ!B512</f>
        <v>211</v>
      </c>
      <c r="D512" s="7"/>
      <c r="E512" s="9"/>
      <c r="F512" s="9"/>
      <c r="G512" s="10">
        <f>Econ!L512</f>
        <v>124984</v>
      </c>
      <c r="H512" s="11">
        <f>Econ!M512</f>
        <v>10815</v>
      </c>
      <c r="I512" s="11">
        <f>Econ!N512</f>
        <v>1438</v>
      </c>
      <c r="J512" s="12">
        <f>Econ!O512</f>
        <v>5212</v>
      </c>
      <c r="K512" s="13">
        <f>Econ!P512</f>
        <v>31246</v>
      </c>
      <c r="L512" s="14">
        <f>Econ!Q512</f>
        <v>2703.75</v>
      </c>
      <c r="M512" s="14">
        <f>Econ!R512</f>
        <v>359.5</v>
      </c>
      <c r="N512" s="13">
        <f>Econ!S512</f>
        <v>1303</v>
      </c>
      <c r="O512" s="13">
        <f>Econ!T512</f>
        <v>22</v>
      </c>
      <c r="P512" s="7" t="str">
        <f>Econ!A512</f>
        <v>Pikeman</v>
      </c>
      <c r="Q512" s="10">
        <f>Econ!C512</f>
        <v>8450337.592</v>
      </c>
      <c r="R512" s="10">
        <f>Econ!E512</f>
        <v>639.7879704</v>
      </c>
      <c r="S512" s="10">
        <f>Econ!G512</f>
        <v>1267550.639</v>
      </c>
      <c r="T512" s="10">
        <f>Econ!I512</f>
        <v>2879.045867</v>
      </c>
    </row>
    <row r="513">
      <c r="A513" s="7" t="str">
        <f>Econ!A513&amp;if(Econ!B513&lt;10,"_0"&amp;Econ!B513,"_"&amp;Econ!B513)</f>
        <v>Pikeman_212</v>
      </c>
      <c r="B513" s="7" t="str">
        <f>"T"&amp;Econ!B513&amp;" "&amp;Econ!A513</f>
        <v>T212 Pikeman</v>
      </c>
      <c r="C513" s="8">
        <f>Econ!B513</f>
        <v>212</v>
      </c>
      <c r="D513" s="7"/>
      <c r="E513" s="9"/>
      <c r="F513" s="9"/>
      <c r="G513" s="10">
        <f>Econ!L513</f>
        <v>125986</v>
      </c>
      <c r="H513" s="11">
        <f>Econ!M513</f>
        <v>10896</v>
      </c>
      <c r="I513" s="11">
        <f>Econ!N513</f>
        <v>1479</v>
      </c>
      <c r="J513" s="12">
        <f>Econ!O513</f>
        <v>5253</v>
      </c>
      <c r="K513" s="13">
        <f>Econ!P513</f>
        <v>31496.5</v>
      </c>
      <c r="L513" s="14">
        <f>Econ!Q513</f>
        <v>2724</v>
      </c>
      <c r="M513" s="14">
        <f>Econ!R513</f>
        <v>369.75</v>
      </c>
      <c r="N513" s="13">
        <f>Econ!S513</f>
        <v>1313.25</v>
      </c>
      <c r="O513" s="13">
        <f>Econ!T513</f>
        <v>22</v>
      </c>
      <c r="P513" s="7" t="str">
        <f>Econ!A513</f>
        <v>Pikeman</v>
      </c>
      <c r="Q513" s="10">
        <f>Econ!C513</f>
        <v>8872854.471</v>
      </c>
      <c r="R513" s="10">
        <f>Econ!E513</f>
        <v>652.5837298</v>
      </c>
      <c r="S513" s="10">
        <f>Econ!G513</f>
        <v>1330928.171</v>
      </c>
      <c r="T513" s="10">
        <f>Econ!I513</f>
        <v>2936.626784</v>
      </c>
    </row>
    <row r="514">
      <c r="A514" s="7" t="str">
        <f>Econ!A514&amp;if(Econ!B514&lt;10,"_0"&amp;Econ!B514,"_"&amp;Econ!B514)</f>
        <v>Pikeman_213</v>
      </c>
      <c r="B514" s="7" t="str">
        <f>"T"&amp;Econ!B514&amp;" "&amp;Econ!A514</f>
        <v>T213 Pikeman</v>
      </c>
      <c r="C514" s="8">
        <f>Econ!B514</f>
        <v>213</v>
      </c>
      <c r="D514" s="7"/>
      <c r="E514" s="9"/>
      <c r="F514" s="9"/>
      <c r="G514" s="10">
        <f>Econ!L514</f>
        <v>126992</v>
      </c>
      <c r="H514" s="11">
        <f>Econ!M514</f>
        <v>10977</v>
      </c>
      <c r="I514" s="11">
        <f>Econ!N514</f>
        <v>1520</v>
      </c>
      <c r="J514" s="12">
        <f>Econ!O514</f>
        <v>5294</v>
      </c>
      <c r="K514" s="13">
        <f>Econ!P514</f>
        <v>31748</v>
      </c>
      <c r="L514" s="14">
        <f>Econ!Q514</f>
        <v>2744.25</v>
      </c>
      <c r="M514" s="14">
        <f>Econ!R514</f>
        <v>380</v>
      </c>
      <c r="N514" s="13">
        <f>Econ!S514</f>
        <v>1323.5</v>
      </c>
      <c r="O514" s="13">
        <f>Econ!T514</f>
        <v>22</v>
      </c>
      <c r="P514" s="7" t="str">
        <f>Econ!A514</f>
        <v>Pikeman</v>
      </c>
      <c r="Q514" s="10">
        <f>Econ!C514</f>
        <v>9316497.195</v>
      </c>
      <c r="R514" s="10">
        <f>Econ!E514</f>
        <v>665.6354044</v>
      </c>
      <c r="S514" s="10">
        <f>Econ!G514</f>
        <v>1397474.579</v>
      </c>
      <c r="T514" s="10">
        <f>Econ!I514</f>
        <v>2995.35932</v>
      </c>
    </row>
    <row r="515">
      <c r="A515" s="7" t="str">
        <f>Econ!A515&amp;if(Econ!B515&lt;10,"_0"&amp;Econ!B515,"_"&amp;Econ!B515)</f>
        <v>Pikeman_214</v>
      </c>
      <c r="B515" s="7" t="str">
        <f>"T"&amp;Econ!B515&amp;" "&amp;Econ!A515</f>
        <v>T214 Pikeman</v>
      </c>
      <c r="C515" s="8">
        <f>Econ!B515</f>
        <v>214</v>
      </c>
      <c r="D515" s="7"/>
      <c r="E515" s="9"/>
      <c r="F515" s="9"/>
      <c r="G515" s="10">
        <f>Econ!L515</f>
        <v>128001</v>
      </c>
      <c r="H515" s="11">
        <f>Econ!M515</f>
        <v>11059</v>
      </c>
      <c r="I515" s="11">
        <f>Econ!N515</f>
        <v>1561</v>
      </c>
      <c r="J515" s="12">
        <f>Econ!O515</f>
        <v>5335</v>
      </c>
      <c r="K515" s="13">
        <f>Econ!P515</f>
        <v>32000.25</v>
      </c>
      <c r="L515" s="14">
        <f>Econ!Q515</f>
        <v>2764.75</v>
      </c>
      <c r="M515" s="14">
        <f>Econ!R515</f>
        <v>390.25</v>
      </c>
      <c r="N515" s="13">
        <f>Econ!S515</f>
        <v>1333.75</v>
      </c>
      <c r="O515" s="13">
        <f>Econ!T515</f>
        <v>22</v>
      </c>
      <c r="P515" s="7" t="str">
        <f>Econ!A515</f>
        <v>Pikeman</v>
      </c>
      <c r="Q515" s="10">
        <f>Econ!C515</f>
        <v>9782322.055</v>
      </c>
      <c r="R515" s="10">
        <f>Econ!E515</f>
        <v>678.9481125</v>
      </c>
      <c r="S515" s="10">
        <f>Econ!G515</f>
        <v>1467348.308</v>
      </c>
      <c r="T515" s="10">
        <f>Econ!I515</f>
        <v>3055.266506</v>
      </c>
    </row>
    <row r="516">
      <c r="A516" s="7" t="str">
        <f>Econ!A516&amp;if(Econ!B516&lt;10,"_0"&amp;Econ!B516,"_"&amp;Econ!B516)</f>
        <v>Pikeman_215</v>
      </c>
      <c r="B516" s="7" t="str">
        <f>"T"&amp;Econ!B516&amp;" "&amp;Econ!A516</f>
        <v>T215 Pikeman</v>
      </c>
      <c r="C516" s="8">
        <f>Econ!B516</f>
        <v>215</v>
      </c>
      <c r="D516" s="7"/>
      <c r="E516" s="9"/>
      <c r="F516" s="9"/>
      <c r="G516" s="10">
        <f>Econ!L516</f>
        <v>129013</v>
      </c>
      <c r="H516" s="11">
        <f>Econ!M516</f>
        <v>11141</v>
      </c>
      <c r="I516" s="11">
        <f>Econ!N516</f>
        <v>1602</v>
      </c>
      <c r="J516" s="12">
        <f>Econ!O516</f>
        <v>5376</v>
      </c>
      <c r="K516" s="13">
        <f>Econ!P516</f>
        <v>32253.25</v>
      </c>
      <c r="L516" s="14">
        <f>Econ!Q516</f>
        <v>2785.25</v>
      </c>
      <c r="M516" s="14">
        <f>Econ!R516</f>
        <v>400.5</v>
      </c>
      <c r="N516" s="13">
        <f>Econ!S516</f>
        <v>1344</v>
      </c>
      <c r="O516" s="13">
        <f>Econ!T516</f>
        <v>23</v>
      </c>
      <c r="P516" s="7" t="str">
        <f>Econ!A516</f>
        <v>Pikeman</v>
      </c>
      <c r="Q516" s="10">
        <f>Econ!C516</f>
        <v>10271438.16</v>
      </c>
      <c r="R516" s="10">
        <f>Econ!E516</f>
        <v>692.5270747</v>
      </c>
      <c r="S516" s="10">
        <f>Econ!G516</f>
        <v>1540715.724</v>
      </c>
      <c r="T516" s="10">
        <f>Econ!I516</f>
        <v>3116.371836</v>
      </c>
    </row>
    <row r="517">
      <c r="A517" s="7" t="str">
        <f>Econ!A517&amp;if(Econ!B517&lt;10,"_0"&amp;Econ!B517,"_"&amp;Econ!B517)</f>
        <v>Pikeman_216</v>
      </c>
      <c r="B517" s="7" t="str">
        <f>"T"&amp;Econ!B517&amp;" "&amp;Econ!A517</f>
        <v>T216 Pikeman</v>
      </c>
      <c r="C517" s="8">
        <f>Econ!B517</f>
        <v>216</v>
      </c>
      <c r="D517" s="7"/>
      <c r="E517" s="9"/>
      <c r="F517" s="9"/>
      <c r="G517" s="10">
        <f>Econ!L517</f>
        <v>130028</v>
      </c>
      <c r="H517" s="11">
        <f>Econ!M517</f>
        <v>11223</v>
      </c>
      <c r="I517" s="11">
        <f>Econ!N517</f>
        <v>1644</v>
      </c>
      <c r="J517" s="12">
        <f>Econ!O517</f>
        <v>5418</v>
      </c>
      <c r="K517" s="13">
        <f>Econ!P517</f>
        <v>32507</v>
      </c>
      <c r="L517" s="14">
        <f>Econ!Q517</f>
        <v>2805.75</v>
      </c>
      <c r="M517" s="14">
        <f>Econ!R517</f>
        <v>411</v>
      </c>
      <c r="N517" s="13">
        <f>Econ!S517</f>
        <v>1354.5</v>
      </c>
      <c r="O517" s="13">
        <f>Econ!T517</f>
        <v>23</v>
      </c>
      <c r="P517" s="7" t="str">
        <f>Econ!A517</f>
        <v>Pikeman</v>
      </c>
      <c r="Q517" s="10">
        <f>Econ!C517</f>
        <v>10785010.07</v>
      </c>
      <c r="R517" s="10">
        <f>Econ!E517</f>
        <v>706.3776162</v>
      </c>
      <c r="S517" s="10">
        <f>Econ!G517</f>
        <v>1617751.51</v>
      </c>
      <c r="T517" s="10">
        <f>Econ!I517</f>
        <v>3178.699273</v>
      </c>
    </row>
    <row r="518">
      <c r="A518" s="7" t="str">
        <f>Econ!A518&amp;if(Econ!B518&lt;10,"_0"&amp;Econ!B518,"_"&amp;Econ!B518)</f>
        <v>Pikeman_217</v>
      </c>
      <c r="B518" s="7" t="str">
        <f>"T"&amp;Econ!B518&amp;" "&amp;Econ!A518</f>
        <v>T217 Pikeman</v>
      </c>
      <c r="C518" s="8">
        <f>Econ!B518</f>
        <v>217</v>
      </c>
      <c r="D518" s="7"/>
      <c r="E518" s="9"/>
      <c r="F518" s="9"/>
      <c r="G518" s="10">
        <f>Econ!L518</f>
        <v>131047</v>
      </c>
      <c r="H518" s="11">
        <f>Econ!M518</f>
        <v>11305</v>
      </c>
      <c r="I518" s="11">
        <f>Econ!N518</f>
        <v>1686</v>
      </c>
      <c r="J518" s="12">
        <f>Econ!O518</f>
        <v>5460</v>
      </c>
      <c r="K518" s="13">
        <f>Econ!P518</f>
        <v>32761.75</v>
      </c>
      <c r="L518" s="14">
        <f>Econ!Q518</f>
        <v>2826.25</v>
      </c>
      <c r="M518" s="14">
        <f>Econ!R518</f>
        <v>421.5</v>
      </c>
      <c r="N518" s="13">
        <f>Econ!S518</f>
        <v>1365</v>
      </c>
      <c r="O518" s="13">
        <f>Econ!T518</f>
        <v>23</v>
      </c>
      <c r="P518" s="7" t="str">
        <f>Econ!A518</f>
        <v>Pikeman</v>
      </c>
      <c r="Q518" s="10">
        <f>Econ!C518</f>
        <v>11324260.57</v>
      </c>
      <c r="R518" s="10">
        <f>Econ!E518</f>
        <v>720.5051685</v>
      </c>
      <c r="S518" s="10">
        <f>Econ!G518</f>
        <v>1698639.085</v>
      </c>
      <c r="T518" s="10">
        <f>Econ!I518</f>
        <v>3242.273258</v>
      </c>
    </row>
    <row r="519">
      <c r="A519" s="7" t="str">
        <f>Econ!A519&amp;if(Econ!B519&lt;10,"_0"&amp;Econ!B519,"_"&amp;Econ!B519)</f>
        <v>Pikeman_218</v>
      </c>
      <c r="B519" s="7" t="str">
        <f>"T"&amp;Econ!B519&amp;" "&amp;Econ!A519</f>
        <v>T218 Pikeman</v>
      </c>
      <c r="C519" s="8">
        <f>Econ!B519</f>
        <v>218</v>
      </c>
      <c r="D519" s="7"/>
      <c r="E519" s="9"/>
      <c r="F519" s="9"/>
      <c r="G519" s="10">
        <f>Econ!L519</f>
        <v>132069</v>
      </c>
      <c r="H519" s="11">
        <f>Econ!M519</f>
        <v>11388</v>
      </c>
      <c r="I519" s="11">
        <f>Econ!N519</f>
        <v>1728</v>
      </c>
      <c r="J519" s="12">
        <f>Econ!O519</f>
        <v>5502</v>
      </c>
      <c r="K519" s="13">
        <f>Econ!P519</f>
        <v>33017.25</v>
      </c>
      <c r="L519" s="14">
        <f>Econ!Q519</f>
        <v>2847</v>
      </c>
      <c r="M519" s="14">
        <f>Econ!R519</f>
        <v>432</v>
      </c>
      <c r="N519" s="13">
        <f>Econ!S519</f>
        <v>1375.5</v>
      </c>
      <c r="O519" s="13">
        <f>Econ!T519</f>
        <v>23</v>
      </c>
      <c r="P519" s="7" t="str">
        <f>Econ!A519</f>
        <v>Pikeman</v>
      </c>
      <c r="Q519" s="10">
        <f>Econ!C519</f>
        <v>11890473.6</v>
      </c>
      <c r="R519" s="10">
        <f>Econ!E519</f>
        <v>734.9152719</v>
      </c>
      <c r="S519" s="10">
        <f>Econ!G519</f>
        <v>1783571.04</v>
      </c>
      <c r="T519" s="10">
        <f>Econ!I519</f>
        <v>3307.118724</v>
      </c>
    </row>
    <row r="520">
      <c r="A520" s="7" t="str">
        <f>Econ!A520&amp;if(Econ!B520&lt;10,"_0"&amp;Econ!B520,"_"&amp;Econ!B520)</f>
        <v>Pikeman_219</v>
      </c>
      <c r="B520" s="7" t="str">
        <f>"T"&amp;Econ!B520&amp;" "&amp;Econ!A520</f>
        <v>T219 Pikeman</v>
      </c>
      <c r="C520" s="8">
        <f>Econ!B520</f>
        <v>219</v>
      </c>
      <c r="D520" s="7"/>
      <c r="E520" s="9"/>
      <c r="F520" s="9"/>
      <c r="G520" s="10">
        <f>Econ!L520</f>
        <v>133094</v>
      </c>
      <c r="H520" s="11">
        <f>Econ!M520</f>
        <v>11471</v>
      </c>
      <c r="I520" s="11">
        <f>Econ!N520</f>
        <v>1770</v>
      </c>
      <c r="J520" s="12">
        <f>Econ!O520</f>
        <v>5544</v>
      </c>
      <c r="K520" s="13">
        <f>Econ!P520</f>
        <v>33273.5</v>
      </c>
      <c r="L520" s="14">
        <f>Econ!Q520</f>
        <v>2867.75</v>
      </c>
      <c r="M520" s="14">
        <f>Econ!R520</f>
        <v>442.5</v>
      </c>
      <c r="N520" s="13">
        <f>Econ!S520</f>
        <v>1386</v>
      </c>
      <c r="O520" s="13">
        <f>Econ!T520</f>
        <v>23</v>
      </c>
      <c r="P520" s="7" t="str">
        <f>Econ!A520</f>
        <v>Pikeman</v>
      </c>
      <c r="Q520" s="10">
        <f>Econ!C520</f>
        <v>12484997.28</v>
      </c>
      <c r="R520" s="10">
        <f>Econ!E520</f>
        <v>749.6135774</v>
      </c>
      <c r="S520" s="10">
        <f>Econ!G520</f>
        <v>1872749.592</v>
      </c>
      <c r="T520" s="10">
        <f>Econ!I520</f>
        <v>3373.261098</v>
      </c>
    </row>
    <row r="521">
      <c r="A521" s="7" t="str">
        <f>Econ!A521&amp;if(Econ!B521&lt;10,"_0"&amp;Econ!B521,"_"&amp;Econ!B521)</f>
        <v>Pikeman_220</v>
      </c>
      <c r="B521" s="7" t="str">
        <f>"T"&amp;Econ!B521&amp;" "&amp;Econ!A521</f>
        <v>T220 Pikeman</v>
      </c>
      <c r="C521" s="8">
        <f>Econ!B521</f>
        <v>220</v>
      </c>
      <c r="D521" s="7"/>
      <c r="E521" s="9"/>
      <c r="F521" s="9"/>
      <c r="G521" s="10">
        <f>Econ!L521</f>
        <v>134123</v>
      </c>
      <c r="H521" s="11">
        <f>Econ!M521</f>
        <v>11554</v>
      </c>
      <c r="I521" s="11">
        <f>Econ!N521</f>
        <v>1812</v>
      </c>
      <c r="J521" s="12">
        <f>Econ!O521</f>
        <v>5586</v>
      </c>
      <c r="K521" s="13">
        <f>Econ!P521</f>
        <v>33530.75</v>
      </c>
      <c r="L521" s="14">
        <f>Econ!Q521</f>
        <v>2888.5</v>
      </c>
      <c r="M521" s="14">
        <f>Econ!R521</f>
        <v>453</v>
      </c>
      <c r="N521" s="13">
        <f>Econ!S521</f>
        <v>1396.5</v>
      </c>
      <c r="O521" s="13">
        <f>Econ!T521</f>
        <v>23</v>
      </c>
      <c r="P521" s="7" t="str">
        <f>Econ!A521</f>
        <v>Pikeman</v>
      </c>
      <c r="Q521" s="10">
        <f>Econ!C521</f>
        <v>13109247.14</v>
      </c>
      <c r="R521" s="10">
        <f>Econ!E521</f>
        <v>764.6058489</v>
      </c>
      <c r="S521" s="10">
        <f>Econ!G521</f>
        <v>1966387.071</v>
      </c>
      <c r="T521" s="10">
        <f>Econ!I521</f>
        <v>3440.72632</v>
      </c>
    </row>
    <row r="522">
      <c r="A522" s="7" t="str">
        <f>Econ!A522&amp;if(Econ!B522&lt;10,"_0"&amp;Econ!B522,"_"&amp;Econ!B522)</f>
        <v>Pikeman_221</v>
      </c>
      <c r="B522" s="7" t="str">
        <f>"T"&amp;Econ!B522&amp;" "&amp;Econ!A522</f>
        <v>T221 Pikeman</v>
      </c>
      <c r="C522" s="8">
        <f>Econ!B522</f>
        <v>221</v>
      </c>
      <c r="D522" s="7"/>
      <c r="E522" s="9"/>
      <c r="F522" s="9"/>
      <c r="G522" s="10">
        <f>Econ!L522</f>
        <v>135155</v>
      </c>
      <c r="H522" s="11">
        <f>Econ!M522</f>
        <v>11637</v>
      </c>
      <c r="I522" s="11">
        <f>Econ!N522</f>
        <v>1854</v>
      </c>
      <c r="J522" s="12">
        <f>Econ!O522</f>
        <v>5628</v>
      </c>
      <c r="K522" s="13">
        <f>Econ!P522</f>
        <v>33788.75</v>
      </c>
      <c r="L522" s="14">
        <f>Econ!Q522</f>
        <v>2909.25</v>
      </c>
      <c r="M522" s="14">
        <f>Econ!R522</f>
        <v>463.5</v>
      </c>
      <c r="N522" s="13">
        <f>Econ!S522</f>
        <v>1407</v>
      </c>
      <c r="O522" s="13">
        <f>Econ!T522</f>
        <v>23</v>
      </c>
      <c r="P522" s="7" t="str">
        <f>Econ!A522</f>
        <v>Pikeman</v>
      </c>
      <c r="Q522" s="10">
        <f>Econ!C522</f>
        <v>13764709.5</v>
      </c>
      <c r="R522" s="10">
        <f>Econ!E522</f>
        <v>779.8979659</v>
      </c>
      <c r="S522" s="10">
        <f>Econ!G522</f>
        <v>2064706.425</v>
      </c>
      <c r="T522" s="10">
        <f>Econ!I522</f>
        <v>3509.540846</v>
      </c>
    </row>
    <row r="523">
      <c r="A523" s="7" t="str">
        <f>Econ!A523&amp;if(Econ!B523&lt;10,"_0"&amp;Econ!B523,"_"&amp;Econ!B523)</f>
        <v>Pikeman_222</v>
      </c>
      <c r="B523" s="7" t="str">
        <f>"T"&amp;Econ!B523&amp;" "&amp;Econ!A523</f>
        <v>T222 Pikeman</v>
      </c>
      <c r="C523" s="8">
        <f>Econ!B523</f>
        <v>222</v>
      </c>
      <c r="D523" s="7"/>
      <c r="E523" s="9"/>
      <c r="F523" s="9"/>
      <c r="G523" s="10">
        <f>Econ!L523</f>
        <v>136190</v>
      </c>
      <c r="H523" s="11">
        <f>Econ!M523</f>
        <v>11721</v>
      </c>
      <c r="I523" s="11">
        <f>Econ!N523</f>
        <v>1896</v>
      </c>
      <c r="J523" s="12">
        <f>Econ!O523</f>
        <v>5670</v>
      </c>
      <c r="K523" s="13">
        <f>Econ!P523</f>
        <v>34047.5</v>
      </c>
      <c r="L523" s="14">
        <f>Econ!Q523</f>
        <v>2930.25</v>
      </c>
      <c r="M523" s="14">
        <f>Econ!R523</f>
        <v>474</v>
      </c>
      <c r="N523" s="13">
        <f>Econ!S523</f>
        <v>1417.5</v>
      </c>
      <c r="O523" s="13">
        <f>Econ!T523</f>
        <v>23</v>
      </c>
      <c r="P523" s="7" t="str">
        <f>Econ!A523</f>
        <v>Pikeman</v>
      </c>
      <c r="Q523" s="10">
        <f>Econ!C523</f>
        <v>14452944.97</v>
      </c>
      <c r="R523" s="10">
        <f>Econ!E523</f>
        <v>795.4959252</v>
      </c>
      <c r="S523" s="10">
        <f>Econ!G523</f>
        <v>2167941.746</v>
      </c>
      <c r="T523" s="10">
        <f>Econ!I523</f>
        <v>3579.731663</v>
      </c>
    </row>
    <row r="524">
      <c r="A524" s="7" t="str">
        <f>Econ!A524&amp;if(Econ!B524&lt;10,"_0"&amp;Econ!B524,"_"&amp;Econ!B524)</f>
        <v>Pikeman_223</v>
      </c>
      <c r="B524" s="7" t="str">
        <f>"T"&amp;Econ!B524&amp;" "&amp;Econ!A524</f>
        <v>T223 Pikeman</v>
      </c>
      <c r="C524" s="8">
        <f>Econ!B524</f>
        <v>223</v>
      </c>
      <c r="D524" s="7"/>
      <c r="E524" s="9"/>
      <c r="F524" s="9"/>
      <c r="G524" s="10">
        <f>Econ!L524</f>
        <v>137229</v>
      </c>
      <c r="H524" s="11">
        <f>Econ!M524</f>
        <v>11805</v>
      </c>
      <c r="I524" s="11">
        <f>Econ!N524</f>
        <v>1939</v>
      </c>
      <c r="J524" s="12">
        <f>Econ!O524</f>
        <v>5713</v>
      </c>
      <c r="K524" s="13">
        <f>Econ!P524</f>
        <v>34307.25</v>
      </c>
      <c r="L524" s="14">
        <f>Econ!Q524</f>
        <v>2951.25</v>
      </c>
      <c r="M524" s="14">
        <f>Econ!R524</f>
        <v>484.75</v>
      </c>
      <c r="N524" s="13">
        <f>Econ!S524</f>
        <v>1428.25</v>
      </c>
      <c r="O524" s="13">
        <f>Econ!T524</f>
        <v>23</v>
      </c>
      <c r="P524" s="7" t="str">
        <f>Econ!A524</f>
        <v>Pikeman</v>
      </c>
      <c r="Q524" s="10">
        <f>Econ!C524</f>
        <v>15175592.22</v>
      </c>
      <c r="R524" s="10">
        <f>Econ!E524</f>
        <v>811.4058437</v>
      </c>
      <c r="S524" s="10">
        <f>Econ!G524</f>
        <v>2276338.833</v>
      </c>
      <c r="T524" s="10">
        <f>Econ!I524</f>
        <v>3651.326297</v>
      </c>
    </row>
    <row r="525">
      <c r="A525" s="7" t="str">
        <f>Econ!A525&amp;if(Econ!B525&lt;10,"_0"&amp;Econ!B525,"_"&amp;Econ!B525)</f>
        <v>Pikeman_224</v>
      </c>
      <c r="B525" s="7" t="str">
        <f>"T"&amp;Econ!B525&amp;" "&amp;Econ!A525</f>
        <v>T224 Pikeman</v>
      </c>
      <c r="C525" s="8">
        <f>Econ!B525</f>
        <v>224</v>
      </c>
      <c r="D525" s="7"/>
      <c r="E525" s="9"/>
      <c r="F525" s="9"/>
      <c r="G525" s="10">
        <f>Econ!L525</f>
        <v>138271</v>
      </c>
      <c r="H525" s="11">
        <f>Econ!M525</f>
        <v>11889</v>
      </c>
      <c r="I525" s="11">
        <f>Econ!N525</f>
        <v>1982</v>
      </c>
      <c r="J525" s="12">
        <f>Econ!O525</f>
        <v>5756</v>
      </c>
      <c r="K525" s="13">
        <f>Econ!P525</f>
        <v>34567.75</v>
      </c>
      <c r="L525" s="14">
        <f>Econ!Q525</f>
        <v>2972.25</v>
      </c>
      <c r="M525" s="14">
        <f>Econ!R525</f>
        <v>495.5</v>
      </c>
      <c r="N525" s="13">
        <f>Econ!S525</f>
        <v>1439</v>
      </c>
      <c r="O525" s="13">
        <f>Econ!T525</f>
        <v>23</v>
      </c>
      <c r="P525" s="7" t="str">
        <f>Econ!A525</f>
        <v>Pikeman</v>
      </c>
      <c r="Q525" s="10">
        <f>Econ!C525</f>
        <v>15934371.83</v>
      </c>
      <c r="R525" s="10">
        <f>Econ!E525</f>
        <v>827.6339606</v>
      </c>
      <c r="S525" s="10">
        <f>Econ!G525</f>
        <v>2390155.775</v>
      </c>
      <c r="T525" s="10">
        <f>Econ!I525</f>
        <v>3724.352823</v>
      </c>
    </row>
    <row r="526">
      <c r="A526" s="7" t="str">
        <f>Econ!A526&amp;if(Econ!B526&lt;10,"_0"&amp;Econ!B526,"_"&amp;Econ!B526)</f>
        <v>Pikeman_225</v>
      </c>
      <c r="B526" s="7" t="str">
        <f>"T"&amp;Econ!B526&amp;" "&amp;Econ!A526</f>
        <v>T225 Pikeman</v>
      </c>
      <c r="C526" s="8">
        <f>Econ!B526</f>
        <v>225</v>
      </c>
      <c r="D526" s="7"/>
      <c r="E526" s="9"/>
      <c r="F526" s="9"/>
      <c r="G526" s="10">
        <f>Econ!L526</f>
        <v>139316</v>
      </c>
      <c r="H526" s="11">
        <f>Econ!M526</f>
        <v>11974</v>
      </c>
      <c r="I526" s="11">
        <f>Econ!N526</f>
        <v>2025</v>
      </c>
      <c r="J526" s="12">
        <f>Econ!O526</f>
        <v>5799</v>
      </c>
      <c r="K526" s="13">
        <f>Econ!P526</f>
        <v>34829</v>
      </c>
      <c r="L526" s="14">
        <f>Econ!Q526</f>
        <v>2993.5</v>
      </c>
      <c r="M526" s="14">
        <f>Econ!R526</f>
        <v>506.25</v>
      </c>
      <c r="N526" s="13">
        <f>Econ!S526</f>
        <v>1449.75</v>
      </c>
      <c r="O526" s="13">
        <f>Econ!T526</f>
        <v>24</v>
      </c>
      <c r="P526" s="7" t="str">
        <f>Econ!A526</f>
        <v>Pikeman</v>
      </c>
      <c r="Q526" s="10">
        <f>Econ!C526</f>
        <v>16731090.42</v>
      </c>
      <c r="R526" s="10">
        <f>Econ!E526</f>
        <v>844.1866398</v>
      </c>
      <c r="S526" s="10">
        <f>Econ!G526</f>
        <v>2509663.564</v>
      </c>
      <c r="T526" s="10">
        <f>Econ!I526</f>
        <v>3798.839879</v>
      </c>
    </row>
    <row r="527">
      <c r="A527" s="7" t="str">
        <f>Econ!A527&amp;if(Econ!B527&lt;10,"_0"&amp;Econ!B527,"_"&amp;Econ!B527)</f>
        <v>Pikeman_226</v>
      </c>
      <c r="B527" s="7" t="str">
        <f>"T"&amp;Econ!B527&amp;" "&amp;Econ!A527</f>
        <v>T226 Pikeman</v>
      </c>
      <c r="C527" s="8">
        <f>Econ!B527</f>
        <v>226</v>
      </c>
      <c r="D527" s="7"/>
      <c r="E527" s="9"/>
      <c r="F527" s="9"/>
      <c r="G527" s="10">
        <f>Econ!L527</f>
        <v>140364</v>
      </c>
      <c r="H527" s="11">
        <f>Econ!M527</f>
        <v>12059</v>
      </c>
      <c r="I527" s="11">
        <f>Econ!N527</f>
        <v>2068</v>
      </c>
      <c r="J527" s="12">
        <f>Econ!O527</f>
        <v>5842</v>
      </c>
      <c r="K527" s="13">
        <f>Econ!P527</f>
        <v>35091</v>
      </c>
      <c r="L527" s="14">
        <f>Econ!Q527</f>
        <v>3014.75</v>
      </c>
      <c r="M527" s="14">
        <f>Econ!R527</f>
        <v>517</v>
      </c>
      <c r="N527" s="13">
        <f>Econ!S527</f>
        <v>1460.5</v>
      </c>
      <c r="O527" s="13">
        <f>Econ!T527</f>
        <v>24</v>
      </c>
      <c r="P527" s="7" t="str">
        <f>Econ!A527</f>
        <v>Pikeman</v>
      </c>
      <c r="Q527" s="10">
        <f>Econ!C527</f>
        <v>17567644.95</v>
      </c>
      <c r="R527" s="10">
        <f>Econ!E527</f>
        <v>861.0703726</v>
      </c>
      <c r="S527" s="10">
        <f>Econ!G527</f>
        <v>2635146.742</v>
      </c>
      <c r="T527" s="10">
        <f>Econ!I527</f>
        <v>3874.816677</v>
      </c>
    </row>
    <row r="528">
      <c r="A528" s="7" t="str">
        <f>Econ!A528&amp;if(Econ!B528&lt;10,"_0"&amp;Econ!B528,"_"&amp;Econ!B528)</f>
        <v>Pikeman_227</v>
      </c>
      <c r="B528" s="7" t="str">
        <f>"T"&amp;Econ!B528&amp;" "&amp;Econ!A528</f>
        <v>T227 Pikeman</v>
      </c>
      <c r="C528" s="8">
        <f>Econ!B528</f>
        <v>227</v>
      </c>
      <c r="D528" s="7"/>
      <c r="E528" s="9"/>
      <c r="F528" s="9"/>
      <c r="G528" s="10">
        <f>Econ!L528</f>
        <v>141416</v>
      </c>
      <c r="H528" s="11">
        <f>Econ!M528</f>
        <v>12144</v>
      </c>
      <c r="I528" s="11">
        <f>Econ!N528</f>
        <v>2111</v>
      </c>
      <c r="J528" s="12">
        <f>Econ!O528</f>
        <v>5885</v>
      </c>
      <c r="K528" s="13">
        <f>Econ!P528</f>
        <v>35354</v>
      </c>
      <c r="L528" s="14">
        <f>Econ!Q528</f>
        <v>3036</v>
      </c>
      <c r="M528" s="14">
        <f>Econ!R528</f>
        <v>527.75</v>
      </c>
      <c r="N528" s="13">
        <f>Econ!S528</f>
        <v>1471.25</v>
      </c>
      <c r="O528" s="13">
        <f>Econ!T528</f>
        <v>24</v>
      </c>
      <c r="P528" s="7" t="str">
        <f>Econ!A528</f>
        <v>Pikeman</v>
      </c>
      <c r="Q528" s="10">
        <f>Econ!C528</f>
        <v>18446027.19</v>
      </c>
      <c r="R528" s="10">
        <f>Econ!E528</f>
        <v>878.29178</v>
      </c>
      <c r="S528" s="10">
        <f>Econ!G528</f>
        <v>2766904.079</v>
      </c>
      <c r="T528" s="10">
        <f>Econ!I528</f>
        <v>3952.31301</v>
      </c>
    </row>
    <row r="529">
      <c r="A529" s="7" t="str">
        <f>Econ!A529&amp;if(Econ!B529&lt;10,"_0"&amp;Econ!B529,"_"&amp;Econ!B529)</f>
        <v>Pikeman_228</v>
      </c>
      <c r="B529" s="7" t="str">
        <f>"T"&amp;Econ!B529&amp;" "&amp;Econ!A529</f>
        <v>T228 Pikeman</v>
      </c>
      <c r="C529" s="8">
        <f>Econ!B529</f>
        <v>228</v>
      </c>
      <c r="D529" s="7"/>
      <c r="E529" s="9"/>
      <c r="F529" s="9"/>
      <c r="G529" s="10">
        <f>Econ!L529</f>
        <v>142471</v>
      </c>
      <c r="H529" s="11">
        <f>Econ!M529</f>
        <v>12229</v>
      </c>
      <c r="I529" s="11">
        <f>Econ!N529</f>
        <v>2154</v>
      </c>
      <c r="J529" s="12">
        <f>Econ!O529</f>
        <v>5928</v>
      </c>
      <c r="K529" s="13">
        <f>Econ!P529</f>
        <v>35617.75</v>
      </c>
      <c r="L529" s="14">
        <f>Econ!Q529</f>
        <v>3057.25</v>
      </c>
      <c r="M529" s="14">
        <f>Econ!R529</f>
        <v>538.5</v>
      </c>
      <c r="N529" s="13">
        <f>Econ!S529</f>
        <v>1482</v>
      </c>
      <c r="O529" s="13">
        <f>Econ!T529</f>
        <v>24</v>
      </c>
      <c r="P529" s="7" t="str">
        <f>Econ!A529</f>
        <v>Pikeman</v>
      </c>
      <c r="Q529" s="10">
        <f>Econ!C529</f>
        <v>19368328.55</v>
      </c>
      <c r="R529" s="10">
        <f>Econ!E529</f>
        <v>895.8576156</v>
      </c>
      <c r="S529" s="10">
        <f>Econ!G529</f>
        <v>2905249.283</v>
      </c>
      <c r="T529" s="10">
        <f>Econ!I529</f>
        <v>4031.35927</v>
      </c>
    </row>
    <row r="530">
      <c r="A530" s="7" t="str">
        <f>Econ!A530&amp;if(Econ!B530&lt;10,"_0"&amp;Econ!B530,"_"&amp;Econ!B530)</f>
        <v>Pikeman_229</v>
      </c>
      <c r="B530" s="7" t="str">
        <f>"T"&amp;Econ!B530&amp;" "&amp;Econ!A530</f>
        <v>T229 Pikeman</v>
      </c>
      <c r="C530" s="8">
        <f>Econ!B530</f>
        <v>229</v>
      </c>
      <c r="D530" s="7"/>
      <c r="E530" s="9"/>
      <c r="F530" s="9"/>
      <c r="G530" s="10">
        <f>Econ!L530</f>
        <v>143529</v>
      </c>
      <c r="H530" s="11">
        <f>Econ!M530</f>
        <v>12315</v>
      </c>
      <c r="I530" s="11">
        <f>Econ!N530</f>
        <v>2197</v>
      </c>
      <c r="J530" s="12">
        <f>Econ!O530</f>
        <v>5971</v>
      </c>
      <c r="K530" s="13">
        <f>Econ!P530</f>
        <v>35882.25</v>
      </c>
      <c r="L530" s="14">
        <f>Econ!Q530</f>
        <v>3078.75</v>
      </c>
      <c r="M530" s="14">
        <f>Econ!R530</f>
        <v>549.25</v>
      </c>
      <c r="N530" s="13">
        <f>Econ!S530</f>
        <v>1492.75</v>
      </c>
      <c r="O530" s="13">
        <f>Econ!T530</f>
        <v>24</v>
      </c>
      <c r="P530" s="7" t="str">
        <f>Econ!A530</f>
        <v>Pikeman</v>
      </c>
      <c r="Q530" s="10">
        <f>Econ!C530</f>
        <v>20336744.98</v>
      </c>
      <c r="R530" s="10">
        <f>Econ!E530</f>
        <v>913.7747679</v>
      </c>
      <c r="S530" s="10">
        <f>Econ!G530</f>
        <v>3050511.747</v>
      </c>
      <c r="T530" s="10">
        <f>Econ!I530</f>
        <v>4111.986456</v>
      </c>
    </row>
    <row r="531">
      <c r="A531" s="7" t="str">
        <f>Econ!A531&amp;if(Econ!B531&lt;10,"_0"&amp;Econ!B531,"_"&amp;Econ!B531)</f>
        <v>Pikeman_230</v>
      </c>
      <c r="B531" s="7" t="str">
        <f>"T"&amp;Econ!B531&amp;" "&amp;Econ!A531</f>
        <v>T230 Pikeman</v>
      </c>
      <c r="C531" s="8">
        <f>Econ!B531</f>
        <v>230</v>
      </c>
      <c r="D531" s="7"/>
      <c r="E531" s="9"/>
      <c r="F531" s="9"/>
      <c r="G531" s="10">
        <f>Econ!L531</f>
        <v>144590</v>
      </c>
      <c r="H531" s="11">
        <f>Econ!M531</f>
        <v>12401</v>
      </c>
      <c r="I531" s="11">
        <f>Econ!N531</f>
        <v>2240</v>
      </c>
      <c r="J531" s="12">
        <f>Econ!O531</f>
        <v>6014</v>
      </c>
      <c r="K531" s="13">
        <f>Econ!P531</f>
        <v>36147.5</v>
      </c>
      <c r="L531" s="14">
        <f>Econ!Q531</f>
        <v>3100.25</v>
      </c>
      <c r="M531" s="14">
        <f>Econ!R531</f>
        <v>560</v>
      </c>
      <c r="N531" s="13">
        <f>Econ!S531</f>
        <v>1503.5</v>
      </c>
      <c r="O531" s="13">
        <f>Econ!T531</f>
        <v>24</v>
      </c>
      <c r="P531" s="7" t="str">
        <f>Econ!A531</f>
        <v>Pikeman</v>
      </c>
      <c r="Q531" s="10">
        <f>Econ!C531</f>
        <v>21353582.23</v>
      </c>
      <c r="R531" s="10">
        <f>Econ!E531</f>
        <v>932.0502633</v>
      </c>
      <c r="S531" s="10">
        <f>Econ!G531</f>
        <v>3203037.334</v>
      </c>
      <c r="T531" s="10">
        <f>Econ!I531</f>
        <v>4194.226185</v>
      </c>
    </row>
    <row r="532">
      <c r="A532" s="7" t="str">
        <f>Econ!A532&amp;if(Econ!B532&lt;10,"_0"&amp;Econ!B532,"_"&amp;Econ!B532)</f>
        <v>Pikeman_231</v>
      </c>
      <c r="B532" s="7" t="str">
        <f>"T"&amp;Econ!B532&amp;" "&amp;Econ!A532</f>
        <v>T231 Pikeman</v>
      </c>
      <c r="C532" s="8">
        <f>Econ!B532</f>
        <v>231</v>
      </c>
      <c r="D532" s="7"/>
      <c r="E532" s="9"/>
      <c r="F532" s="9"/>
      <c r="G532" s="10">
        <f>Econ!L532</f>
        <v>145655</v>
      </c>
      <c r="H532" s="11">
        <f>Econ!M532</f>
        <v>12487</v>
      </c>
      <c r="I532" s="11">
        <f>Econ!N532</f>
        <v>2284</v>
      </c>
      <c r="J532" s="12">
        <f>Econ!O532</f>
        <v>6058</v>
      </c>
      <c r="K532" s="13">
        <f>Econ!P532</f>
        <v>36413.75</v>
      </c>
      <c r="L532" s="14">
        <f>Econ!Q532</f>
        <v>3121.75</v>
      </c>
      <c r="M532" s="14">
        <f>Econ!R532</f>
        <v>571</v>
      </c>
      <c r="N532" s="13">
        <f>Econ!S532</f>
        <v>1514.5</v>
      </c>
      <c r="O532" s="13">
        <f>Econ!T532</f>
        <v>24</v>
      </c>
      <c r="P532" s="7" t="str">
        <f>Econ!A532</f>
        <v>Pikeman</v>
      </c>
      <c r="Q532" s="10">
        <f>Econ!C532</f>
        <v>22421261.34</v>
      </c>
      <c r="R532" s="10">
        <f>Econ!E532</f>
        <v>950.6912686</v>
      </c>
      <c r="S532" s="10">
        <f>Econ!G532</f>
        <v>3363189.201</v>
      </c>
      <c r="T532" s="10">
        <f>Econ!I532</f>
        <v>4278.110709</v>
      </c>
    </row>
    <row r="533">
      <c r="A533" s="7" t="str">
        <f>Econ!A533&amp;if(Econ!B533&lt;10,"_0"&amp;Econ!B533,"_"&amp;Econ!B533)</f>
        <v>Pikeman_232</v>
      </c>
      <c r="B533" s="7" t="str">
        <f>"T"&amp;Econ!B533&amp;" "&amp;Econ!A533</f>
        <v>T232 Pikeman</v>
      </c>
      <c r="C533" s="8">
        <f>Econ!B533</f>
        <v>232</v>
      </c>
      <c r="D533" s="7"/>
      <c r="E533" s="9"/>
      <c r="F533" s="9"/>
      <c r="G533" s="10">
        <f>Econ!L533</f>
        <v>146723</v>
      </c>
      <c r="H533" s="11">
        <f>Econ!M533</f>
        <v>12573</v>
      </c>
      <c r="I533" s="11">
        <f>Econ!N533</f>
        <v>2328</v>
      </c>
      <c r="J533" s="12">
        <f>Econ!O533</f>
        <v>6102</v>
      </c>
      <c r="K533" s="13">
        <f>Econ!P533</f>
        <v>36680.75</v>
      </c>
      <c r="L533" s="14">
        <f>Econ!Q533</f>
        <v>3143.25</v>
      </c>
      <c r="M533" s="14">
        <f>Econ!R533</f>
        <v>582</v>
      </c>
      <c r="N533" s="13">
        <f>Econ!S533</f>
        <v>1525.5</v>
      </c>
      <c r="O533" s="13">
        <f>Econ!T533</f>
        <v>24</v>
      </c>
      <c r="P533" s="7" t="str">
        <f>Econ!A533</f>
        <v>Pikeman</v>
      </c>
      <c r="Q533" s="10">
        <f>Econ!C533</f>
        <v>23542324.41</v>
      </c>
      <c r="R533" s="10">
        <f>Econ!E533</f>
        <v>969.7050939</v>
      </c>
      <c r="S533" s="10">
        <f>Econ!G533</f>
        <v>3531348.661</v>
      </c>
      <c r="T533" s="10">
        <f>Econ!I533</f>
        <v>4363.672923</v>
      </c>
    </row>
    <row r="534">
      <c r="A534" s="7" t="str">
        <f>Econ!A534&amp;if(Econ!B534&lt;10,"_0"&amp;Econ!B534,"_"&amp;Econ!B534)</f>
        <v>Pikeman_233</v>
      </c>
      <c r="B534" s="7" t="str">
        <f>"T"&amp;Econ!B534&amp;" "&amp;Econ!A534</f>
        <v>T233 Pikeman</v>
      </c>
      <c r="C534" s="8">
        <f>Econ!B534</f>
        <v>233</v>
      </c>
      <c r="D534" s="7"/>
      <c r="E534" s="9"/>
      <c r="F534" s="9"/>
      <c r="G534" s="10">
        <f>Econ!L534</f>
        <v>147794</v>
      </c>
      <c r="H534" s="11">
        <f>Econ!M534</f>
        <v>12660</v>
      </c>
      <c r="I534" s="11">
        <f>Econ!N534</f>
        <v>2372</v>
      </c>
      <c r="J534" s="12">
        <f>Econ!O534</f>
        <v>6146</v>
      </c>
      <c r="K534" s="13">
        <f>Econ!P534</f>
        <v>36948.5</v>
      </c>
      <c r="L534" s="14">
        <f>Econ!Q534</f>
        <v>3165</v>
      </c>
      <c r="M534" s="14">
        <f>Econ!R534</f>
        <v>593</v>
      </c>
      <c r="N534" s="13">
        <f>Econ!S534</f>
        <v>1536.5</v>
      </c>
      <c r="O534" s="13">
        <f>Econ!T534</f>
        <v>24</v>
      </c>
      <c r="P534" s="7" t="str">
        <f>Econ!A534</f>
        <v>Pikeman</v>
      </c>
      <c r="Q534" s="10">
        <f>Econ!C534</f>
        <v>24719440.63</v>
      </c>
      <c r="R534" s="10">
        <f>Econ!E534</f>
        <v>989.0991958</v>
      </c>
      <c r="S534" s="10">
        <f>Econ!G534</f>
        <v>3707916.094</v>
      </c>
      <c r="T534" s="10">
        <f>Econ!I534</f>
        <v>4450.946381</v>
      </c>
    </row>
    <row r="535">
      <c r="A535" s="7" t="str">
        <f>Econ!A535&amp;if(Econ!B535&lt;10,"_0"&amp;Econ!B535,"_"&amp;Econ!B535)</f>
        <v>Pikeman_234</v>
      </c>
      <c r="B535" s="7" t="str">
        <f>"T"&amp;Econ!B535&amp;" "&amp;Econ!A535</f>
        <v>T234 Pikeman</v>
      </c>
      <c r="C535" s="8">
        <f>Econ!B535</f>
        <v>234</v>
      </c>
      <c r="D535" s="7"/>
      <c r="E535" s="9"/>
      <c r="F535" s="9"/>
      <c r="G535" s="10">
        <f>Econ!L535</f>
        <v>148868</v>
      </c>
      <c r="H535" s="11">
        <f>Econ!M535</f>
        <v>12747</v>
      </c>
      <c r="I535" s="11">
        <f>Econ!N535</f>
        <v>2416</v>
      </c>
      <c r="J535" s="12">
        <f>Econ!O535</f>
        <v>6190</v>
      </c>
      <c r="K535" s="13">
        <f>Econ!P535</f>
        <v>37217</v>
      </c>
      <c r="L535" s="14">
        <f>Econ!Q535</f>
        <v>3186.75</v>
      </c>
      <c r="M535" s="14">
        <f>Econ!R535</f>
        <v>604</v>
      </c>
      <c r="N535" s="13">
        <f>Econ!S535</f>
        <v>1547.5</v>
      </c>
      <c r="O535" s="13">
        <f>Econ!T535</f>
        <v>24</v>
      </c>
      <c r="P535" s="7" t="str">
        <f>Econ!A535</f>
        <v>Pikeman</v>
      </c>
      <c r="Q535" s="10">
        <f>Econ!C535</f>
        <v>25955412.66</v>
      </c>
      <c r="R535" s="10">
        <f>Econ!E535</f>
        <v>1008.88118</v>
      </c>
      <c r="S535" s="10">
        <f>Econ!G535</f>
        <v>3893311.899</v>
      </c>
      <c r="T535" s="10">
        <f>Econ!I535</f>
        <v>4539.965309</v>
      </c>
    </row>
    <row r="536">
      <c r="A536" s="7" t="str">
        <f>Econ!A536&amp;if(Econ!B536&lt;10,"_0"&amp;Econ!B536,"_"&amp;Econ!B536)</f>
        <v>Pikeman_235</v>
      </c>
      <c r="B536" s="7" t="str">
        <f>"T"&amp;Econ!B536&amp;" "&amp;Econ!A536</f>
        <v>T235 Pikeman</v>
      </c>
      <c r="C536" s="8">
        <f>Econ!B536</f>
        <v>235</v>
      </c>
      <c r="D536" s="7"/>
      <c r="E536" s="9"/>
      <c r="F536" s="9"/>
      <c r="G536" s="10">
        <f>Econ!L536</f>
        <v>149945</v>
      </c>
      <c r="H536" s="11">
        <f>Econ!M536</f>
        <v>12834</v>
      </c>
      <c r="I536" s="11">
        <f>Econ!N536</f>
        <v>2460</v>
      </c>
      <c r="J536" s="12">
        <f>Econ!O536</f>
        <v>6234</v>
      </c>
      <c r="K536" s="13">
        <f>Econ!P536</f>
        <v>37486.25</v>
      </c>
      <c r="L536" s="14">
        <f>Econ!Q536</f>
        <v>3208.5</v>
      </c>
      <c r="M536" s="14">
        <f>Econ!R536</f>
        <v>615</v>
      </c>
      <c r="N536" s="13">
        <f>Econ!S536</f>
        <v>1558.5</v>
      </c>
      <c r="O536" s="13">
        <f>Econ!T536</f>
        <v>25</v>
      </c>
      <c r="P536" s="7" t="str">
        <f>Econ!A536</f>
        <v>Pikeman</v>
      </c>
      <c r="Q536" s="10">
        <f>Econ!C536</f>
        <v>27253183.29</v>
      </c>
      <c r="R536" s="10">
        <f>Econ!E536</f>
        <v>1029.058803</v>
      </c>
      <c r="S536" s="10">
        <f>Econ!G536</f>
        <v>4087977.494</v>
      </c>
      <c r="T536" s="10">
        <f>Econ!I536</f>
        <v>4630.764615</v>
      </c>
    </row>
    <row r="537">
      <c r="A537" s="7" t="str">
        <f>Econ!A537&amp;if(Econ!B537&lt;10,"_0"&amp;Econ!B537,"_"&amp;Econ!B537)</f>
        <v>Pikeman_236</v>
      </c>
      <c r="B537" s="7" t="str">
        <f>"T"&amp;Econ!B537&amp;" "&amp;Econ!A537</f>
        <v>T236 Pikeman</v>
      </c>
      <c r="C537" s="8">
        <f>Econ!B537</f>
        <v>236</v>
      </c>
      <c r="D537" s="7"/>
      <c r="E537" s="9"/>
      <c r="F537" s="9"/>
      <c r="G537" s="10">
        <f>Econ!L537</f>
        <v>151026</v>
      </c>
      <c r="H537" s="11">
        <f>Econ!M537</f>
        <v>12921</v>
      </c>
      <c r="I537" s="11">
        <f>Econ!N537</f>
        <v>2504</v>
      </c>
      <c r="J537" s="12">
        <f>Econ!O537</f>
        <v>6278</v>
      </c>
      <c r="K537" s="13">
        <f>Econ!P537</f>
        <v>37756.5</v>
      </c>
      <c r="L537" s="14">
        <f>Econ!Q537</f>
        <v>3230.25</v>
      </c>
      <c r="M537" s="14">
        <f>Econ!R537</f>
        <v>626</v>
      </c>
      <c r="N537" s="13">
        <f>Econ!S537</f>
        <v>1569.5</v>
      </c>
      <c r="O537" s="13">
        <f>Econ!T537</f>
        <v>25</v>
      </c>
      <c r="P537" s="7" t="str">
        <f>Econ!A537</f>
        <v>Pikeman</v>
      </c>
      <c r="Q537" s="10">
        <f>Econ!C537</f>
        <v>28615842.46</v>
      </c>
      <c r="R537" s="10">
        <f>Econ!E537</f>
        <v>1049.639979</v>
      </c>
      <c r="S537" s="10">
        <f>Econ!G537</f>
        <v>4292376.368</v>
      </c>
      <c r="T537" s="10">
        <f>Econ!I537</f>
        <v>4723.379907</v>
      </c>
    </row>
    <row r="538">
      <c r="A538" s="7" t="str">
        <f>Econ!A538&amp;if(Econ!B538&lt;10,"_0"&amp;Econ!B538,"_"&amp;Econ!B538)</f>
        <v>Pikeman_237</v>
      </c>
      <c r="B538" s="7" t="str">
        <f>"T"&amp;Econ!B538&amp;" "&amp;Econ!A538</f>
        <v>T237 Pikeman</v>
      </c>
      <c r="C538" s="8">
        <f>Econ!B538</f>
        <v>237</v>
      </c>
      <c r="D538" s="7"/>
      <c r="E538" s="9"/>
      <c r="F538" s="9"/>
      <c r="G538" s="10">
        <f>Econ!L538</f>
        <v>152110</v>
      </c>
      <c r="H538" s="11">
        <f>Econ!M538</f>
        <v>13009</v>
      </c>
      <c r="I538" s="11">
        <f>Econ!N538</f>
        <v>2548</v>
      </c>
      <c r="J538" s="12">
        <f>Econ!O538</f>
        <v>6322</v>
      </c>
      <c r="K538" s="13">
        <f>Econ!P538</f>
        <v>38027.5</v>
      </c>
      <c r="L538" s="14">
        <f>Econ!Q538</f>
        <v>3252.25</v>
      </c>
      <c r="M538" s="14">
        <f>Econ!R538</f>
        <v>637</v>
      </c>
      <c r="N538" s="13">
        <f>Econ!S538</f>
        <v>1580.5</v>
      </c>
      <c r="O538" s="13">
        <f>Econ!T538</f>
        <v>25</v>
      </c>
      <c r="P538" s="7" t="str">
        <f>Econ!A538</f>
        <v>Pikeman</v>
      </c>
      <c r="Q538" s="10">
        <f>Econ!C538</f>
        <v>30046634.58</v>
      </c>
      <c r="R538" s="10">
        <f>Econ!E538</f>
        <v>1070.632779</v>
      </c>
      <c r="S538" s="10">
        <f>Econ!G538</f>
        <v>4506995.187</v>
      </c>
      <c r="T538" s="10">
        <f>Econ!I538</f>
        <v>4817.847505</v>
      </c>
    </row>
    <row r="539">
      <c r="A539" s="7" t="str">
        <f>Econ!A539&amp;if(Econ!B539&lt;10,"_0"&amp;Econ!B539,"_"&amp;Econ!B539)</f>
        <v>Pikeman_238</v>
      </c>
      <c r="B539" s="7" t="str">
        <f>"T"&amp;Econ!B539&amp;" "&amp;Econ!A539</f>
        <v>T238 Pikeman</v>
      </c>
      <c r="C539" s="8">
        <f>Econ!B539</f>
        <v>238</v>
      </c>
      <c r="D539" s="7"/>
      <c r="E539" s="9"/>
      <c r="F539" s="9"/>
      <c r="G539" s="10">
        <f>Econ!L539</f>
        <v>153197</v>
      </c>
      <c r="H539" s="11">
        <f>Econ!M539</f>
        <v>13097</v>
      </c>
      <c r="I539" s="11">
        <f>Econ!N539</f>
        <v>2592</v>
      </c>
      <c r="J539" s="12">
        <f>Econ!O539</f>
        <v>6366</v>
      </c>
      <c r="K539" s="13">
        <f>Econ!P539</f>
        <v>38299.25</v>
      </c>
      <c r="L539" s="14">
        <f>Econ!Q539</f>
        <v>3274.25</v>
      </c>
      <c r="M539" s="14">
        <f>Econ!R539</f>
        <v>648</v>
      </c>
      <c r="N539" s="13">
        <f>Econ!S539</f>
        <v>1591.5</v>
      </c>
      <c r="O539" s="13">
        <f>Econ!T539</f>
        <v>25</v>
      </c>
      <c r="P539" s="7" t="str">
        <f>Econ!A539</f>
        <v>Pikeman</v>
      </c>
      <c r="Q539" s="10">
        <f>Econ!C539</f>
        <v>31548966.31</v>
      </c>
      <c r="R539" s="10">
        <f>Econ!E539</f>
        <v>1092.045435</v>
      </c>
      <c r="S539" s="10">
        <f>Econ!G539</f>
        <v>4732344.946</v>
      </c>
      <c r="T539" s="10">
        <f>Econ!I539</f>
        <v>4914.204456</v>
      </c>
    </row>
    <row r="540">
      <c r="A540" s="7" t="str">
        <f>Econ!A540&amp;if(Econ!B540&lt;10,"_0"&amp;Econ!B540,"_"&amp;Econ!B540)</f>
        <v>Pikeman_239</v>
      </c>
      <c r="B540" s="7" t="str">
        <f>"T"&amp;Econ!B540&amp;" "&amp;Econ!A540</f>
        <v>T239 Pikeman</v>
      </c>
      <c r="C540" s="8">
        <f>Econ!B540</f>
        <v>239</v>
      </c>
      <c r="D540" s="7"/>
      <c r="E540" s="9"/>
      <c r="F540" s="9"/>
      <c r="G540" s="10">
        <f>Econ!L540</f>
        <v>154287</v>
      </c>
      <c r="H540" s="11">
        <f>Econ!M540</f>
        <v>13185</v>
      </c>
      <c r="I540" s="11">
        <f>Econ!N540</f>
        <v>2637</v>
      </c>
      <c r="J540" s="12">
        <f>Econ!O540</f>
        <v>6411</v>
      </c>
      <c r="K540" s="13">
        <f>Econ!P540</f>
        <v>38571.75</v>
      </c>
      <c r="L540" s="14">
        <f>Econ!Q540</f>
        <v>3296.25</v>
      </c>
      <c r="M540" s="14">
        <f>Econ!R540</f>
        <v>659.25</v>
      </c>
      <c r="N540" s="13">
        <f>Econ!S540</f>
        <v>1602.75</v>
      </c>
      <c r="O540" s="13">
        <f>Econ!T540</f>
        <v>25</v>
      </c>
      <c r="P540" s="7" t="str">
        <f>Econ!A540</f>
        <v>Pikeman</v>
      </c>
      <c r="Q540" s="10">
        <f>Econ!C540</f>
        <v>33126414.62</v>
      </c>
      <c r="R540" s="10">
        <f>Econ!E540</f>
        <v>1113.886343</v>
      </c>
      <c r="S540" s="10">
        <f>Econ!G540</f>
        <v>4968962.194</v>
      </c>
      <c r="T540" s="10">
        <f>Econ!I540</f>
        <v>5012.488545</v>
      </c>
    </row>
    <row r="541">
      <c r="A541" s="7" t="str">
        <f>Econ!A541&amp;if(Econ!B541&lt;10,"_0"&amp;Econ!B541,"_"&amp;Econ!B541)</f>
        <v>Pikeman_240</v>
      </c>
      <c r="B541" s="7" t="str">
        <f>"T"&amp;Econ!B541&amp;" "&amp;Econ!A541</f>
        <v>T240 Pikeman</v>
      </c>
      <c r="C541" s="8">
        <f>Econ!B541</f>
        <v>240</v>
      </c>
      <c r="D541" s="7"/>
      <c r="E541" s="9"/>
      <c r="F541" s="9"/>
      <c r="G541" s="10">
        <f>Econ!L541</f>
        <v>155381</v>
      </c>
      <c r="H541" s="11">
        <f>Econ!M541</f>
        <v>13273</v>
      </c>
      <c r="I541" s="11">
        <f>Econ!N541</f>
        <v>2682</v>
      </c>
      <c r="J541" s="12">
        <f>Econ!O541</f>
        <v>6456</v>
      </c>
      <c r="K541" s="13">
        <f>Econ!P541</f>
        <v>38845.25</v>
      </c>
      <c r="L541" s="14">
        <f>Econ!Q541</f>
        <v>3318.25</v>
      </c>
      <c r="M541" s="14">
        <f>Econ!R541</f>
        <v>670.5</v>
      </c>
      <c r="N541" s="13">
        <f>Econ!S541</f>
        <v>1614</v>
      </c>
      <c r="O541" s="13">
        <f>Econ!T541</f>
        <v>25</v>
      </c>
      <c r="P541" s="7" t="str">
        <f>Econ!A541</f>
        <v>Pikeman</v>
      </c>
      <c r="Q541" s="10">
        <f>Econ!C541</f>
        <v>34782735.35</v>
      </c>
      <c r="R541" s="10">
        <f>Econ!E541</f>
        <v>1136.16407</v>
      </c>
      <c r="S541" s="10">
        <f>Econ!G541</f>
        <v>5217410.303</v>
      </c>
      <c r="T541" s="10">
        <f>Econ!I541</f>
        <v>5112.738316</v>
      </c>
    </row>
    <row r="542">
      <c r="A542" s="7" t="str">
        <f>Econ!A542&amp;if(Econ!B542&lt;10,"_0"&amp;Econ!B542,"_"&amp;Econ!B542)</f>
        <v>Pikeman_241</v>
      </c>
      <c r="B542" s="7" t="str">
        <f>"T"&amp;Econ!B542&amp;" "&amp;Econ!A542</f>
        <v>T241 Pikeman</v>
      </c>
      <c r="C542" s="8">
        <f>Econ!B542</f>
        <v>241</v>
      </c>
      <c r="D542" s="7"/>
      <c r="E542" s="9"/>
      <c r="F542" s="9"/>
      <c r="G542" s="10">
        <f>Econ!L542</f>
        <v>156478</v>
      </c>
      <c r="H542" s="11">
        <f>Econ!M542</f>
        <v>13362</v>
      </c>
      <c r="I542" s="11">
        <f>Econ!N542</f>
        <v>2727</v>
      </c>
      <c r="J542" s="12">
        <f>Econ!O542</f>
        <v>6501</v>
      </c>
      <c r="K542" s="13">
        <f>Econ!P542</f>
        <v>39119.5</v>
      </c>
      <c r="L542" s="14">
        <f>Econ!Q542</f>
        <v>3340.5</v>
      </c>
      <c r="M542" s="14">
        <f>Econ!R542</f>
        <v>681.75</v>
      </c>
      <c r="N542" s="13">
        <f>Econ!S542</f>
        <v>1625.25</v>
      </c>
      <c r="O542" s="13">
        <f>Econ!T542</f>
        <v>25</v>
      </c>
      <c r="P542" s="7" t="str">
        <f>Econ!A542</f>
        <v>Pikeman</v>
      </c>
      <c r="Q542" s="10">
        <f>Econ!C542</f>
        <v>36521872.12</v>
      </c>
      <c r="R542" s="10">
        <f>Econ!E542</f>
        <v>1158.887352</v>
      </c>
      <c r="S542" s="10">
        <f>Econ!G542</f>
        <v>5478280.818</v>
      </c>
      <c r="T542" s="10">
        <f>Econ!I542</f>
        <v>5214.993082</v>
      </c>
    </row>
    <row r="543">
      <c r="A543" s="7" t="str">
        <f>Econ!A543&amp;if(Econ!B543&lt;10,"_0"&amp;Econ!B543,"_"&amp;Econ!B543)</f>
        <v>Pikeman_242</v>
      </c>
      <c r="B543" s="7" t="str">
        <f>"T"&amp;Econ!B543&amp;" "&amp;Econ!A543</f>
        <v>T242 Pikeman</v>
      </c>
      <c r="C543" s="8">
        <f>Econ!B543</f>
        <v>242</v>
      </c>
      <c r="D543" s="7"/>
      <c r="E543" s="9"/>
      <c r="F543" s="9"/>
      <c r="G543" s="10">
        <f>Econ!L543</f>
        <v>157578</v>
      </c>
      <c r="H543" s="11">
        <f>Econ!M543</f>
        <v>13451</v>
      </c>
      <c r="I543" s="11">
        <f>Econ!N543</f>
        <v>2772</v>
      </c>
      <c r="J543" s="12">
        <f>Econ!O543</f>
        <v>6546</v>
      </c>
      <c r="K543" s="13">
        <f>Econ!P543</f>
        <v>39394.5</v>
      </c>
      <c r="L543" s="14">
        <f>Econ!Q543</f>
        <v>3362.75</v>
      </c>
      <c r="M543" s="14">
        <f>Econ!R543</f>
        <v>693</v>
      </c>
      <c r="N543" s="13">
        <f>Econ!S543</f>
        <v>1636.5</v>
      </c>
      <c r="O543" s="13">
        <f>Econ!T543</f>
        <v>25</v>
      </c>
      <c r="P543" s="7" t="str">
        <f>Econ!A543</f>
        <v>Pikeman</v>
      </c>
      <c r="Q543" s="10">
        <f>Econ!C543</f>
        <v>38347965.73</v>
      </c>
      <c r="R543" s="10">
        <f>Econ!E543</f>
        <v>1182.065099</v>
      </c>
      <c r="S543" s="10">
        <f>Econ!G543</f>
        <v>5752194.859</v>
      </c>
      <c r="T543" s="10">
        <f>Econ!I543</f>
        <v>5319.292944</v>
      </c>
    </row>
    <row r="544">
      <c r="A544" s="7" t="str">
        <f>Econ!A544&amp;if(Econ!B544&lt;10,"_0"&amp;Econ!B544,"_"&amp;Econ!B544)</f>
        <v>Pikeman_243</v>
      </c>
      <c r="B544" s="7" t="str">
        <f>"T"&amp;Econ!B544&amp;" "&amp;Econ!A544</f>
        <v>T243 Pikeman</v>
      </c>
      <c r="C544" s="8">
        <f>Econ!B544</f>
        <v>243</v>
      </c>
      <c r="D544" s="7"/>
      <c r="E544" s="9"/>
      <c r="F544" s="9"/>
      <c r="G544" s="10">
        <f>Econ!L544</f>
        <v>158681</v>
      </c>
      <c r="H544" s="11">
        <f>Econ!M544</f>
        <v>13540</v>
      </c>
      <c r="I544" s="11">
        <f>Econ!N544</f>
        <v>2817</v>
      </c>
      <c r="J544" s="12">
        <f>Econ!O544</f>
        <v>6591</v>
      </c>
      <c r="K544" s="13">
        <f>Econ!P544</f>
        <v>39670.25</v>
      </c>
      <c r="L544" s="14">
        <f>Econ!Q544</f>
        <v>3385</v>
      </c>
      <c r="M544" s="14">
        <f>Econ!R544</f>
        <v>704.25</v>
      </c>
      <c r="N544" s="13">
        <f>Econ!S544</f>
        <v>1647.75</v>
      </c>
      <c r="O544" s="13">
        <f>Econ!T544</f>
        <v>25</v>
      </c>
      <c r="P544" s="7" t="str">
        <f>Econ!A544</f>
        <v>Pikeman</v>
      </c>
      <c r="Q544" s="10">
        <f>Econ!C544</f>
        <v>40265364.02</v>
      </c>
      <c r="R544" s="10">
        <f>Econ!E544</f>
        <v>1205.706401</v>
      </c>
      <c r="S544" s="10">
        <f>Econ!G544</f>
        <v>6039804.602</v>
      </c>
      <c r="T544" s="10">
        <f>Econ!I544</f>
        <v>5425.678802</v>
      </c>
    </row>
    <row r="545">
      <c r="A545" s="7" t="str">
        <f>Econ!A545&amp;if(Econ!B545&lt;10,"_0"&amp;Econ!B545,"_"&amp;Econ!B545)</f>
        <v>Pikeman_244</v>
      </c>
      <c r="B545" s="7" t="str">
        <f>"T"&amp;Econ!B545&amp;" "&amp;Econ!A545</f>
        <v>T244 Pikeman</v>
      </c>
      <c r="C545" s="8">
        <f>Econ!B545</f>
        <v>244</v>
      </c>
      <c r="D545" s="7"/>
      <c r="E545" s="9"/>
      <c r="F545" s="9"/>
      <c r="G545" s="10">
        <f>Econ!L545</f>
        <v>159787</v>
      </c>
      <c r="H545" s="11">
        <f>Econ!M545</f>
        <v>13629</v>
      </c>
      <c r="I545" s="11">
        <f>Econ!N545</f>
        <v>2862</v>
      </c>
      <c r="J545" s="12">
        <f>Econ!O545</f>
        <v>6636</v>
      </c>
      <c r="K545" s="13">
        <f>Econ!P545</f>
        <v>39946.75</v>
      </c>
      <c r="L545" s="14">
        <f>Econ!Q545</f>
        <v>3407.25</v>
      </c>
      <c r="M545" s="14">
        <f>Econ!R545</f>
        <v>715.5</v>
      </c>
      <c r="N545" s="13">
        <f>Econ!S545</f>
        <v>1659</v>
      </c>
      <c r="O545" s="13">
        <f>Econ!T545</f>
        <v>25</v>
      </c>
      <c r="P545" s="7" t="str">
        <f>Econ!A545</f>
        <v>Pikeman</v>
      </c>
      <c r="Q545" s="10">
        <f>Econ!C545</f>
        <v>42278632.22</v>
      </c>
      <c r="R545" s="10">
        <f>Econ!E545</f>
        <v>1229.820529</v>
      </c>
      <c r="S545" s="10">
        <f>Econ!G545</f>
        <v>6341794.832</v>
      </c>
      <c r="T545" s="10">
        <f>Econ!I545</f>
        <v>5534.192378</v>
      </c>
    </row>
    <row r="546">
      <c r="A546" s="7" t="str">
        <f>Econ!A546&amp;if(Econ!B546&lt;10,"_0"&amp;Econ!B546,"_"&amp;Econ!B546)</f>
        <v>Pikeman_245</v>
      </c>
      <c r="B546" s="7" t="str">
        <f>"T"&amp;Econ!B546&amp;" "&amp;Econ!A546</f>
        <v>T245 Pikeman</v>
      </c>
      <c r="C546" s="8">
        <f>Econ!B546</f>
        <v>245</v>
      </c>
      <c r="D546" s="7"/>
      <c r="E546" s="9"/>
      <c r="F546" s="9"/>
      <c r="G546" s="10">
        <f>Econ!L546</f>
        <v>160896</v>
      </c>
      <c r="H546" s="11">
        <f>Econ!M546</f>
        <v>13719</v>
      </c>
      <c r="I546" s="11">
        <f>Econ!N546</f>
        <v>2907</v>
      </c>
      <c r="J546" s="12">
        <f>Econ!O546</f>
        <v>6681</v>
      </c>
      <c r="K546" s="13">
        <f>Econ!P546</f>
        <v>40224</v>
      </c>
      <c r="L546" s="14">
        <f>Econ!Q546</f>
        <v>3429.75</v>
      </c>
      <c r="M546" s="14">
        <f>Econ!R546</f>
        <v>726.75</v>
      </c>
      <c r="N546" s="13">
        <f>Econ!S546</f>
        <v>1670.25</v>
      </c>
      <c r="O546" s="13">
        <f>Econ!T546</f>
        <v>26</v>
      </c>
      <c r="P546" s="7" t="str">
        <f>Econ!A546</f>
        <v>Pikeman</v>
      </c>
      <c r="Q546" s="10">
        <f>Econ!C546</f>
        <v>44392563.83</v>
      </c>
      <c r="R546" s="10">
        <f>Econ!E546</f>
        <v>1254.416939</v>
      </c>
      <c r="S546" s="10">
        <f>Econ!G546</f>
        <v>6658884.574</v>
      </c>
      <c r="T546" s="10">
        <f>Econ!I546</f>
        <v>5644.876226</v>
      </c>
    </row>
    <row r="547">
      <c r="A547" s="7" t="str">
        <f>Econ!A547&amp;if(Econ!B547&lt;10,"_0"&amp;Econ!B547,"_"&amp;Econ!B547)</f>
        <v>Pikeman_246</v>
      </c>
      <c r="B547" s="7" t="str">
        <f>"T"&amp;Econ!B547&amp;" "&amp;Econ!A547</f>
        <v>T246 Pikeman</v>
      </c>
      <c r="C547" s="8">
        <f>Econ!B547</f>
        <v>246</v>
      </c>
      <c r="D547" s="7"/>
      <c r="E547" s="9"/>
      <c r="F547" s="9"/>
      <c r="G547" s="10">
        <f>Econ!L547</f>
        <v>162009</v>
      </c>
      <c r="H547" s="11">
        <f>Econ!M547</f>
        <v>13809</v>
      </c>
      <c r="I547" s="11">
        <f>Econ!N547</f>
        <v>2952</v>
      </c>
      <c r="J547" s="12">
        <f>Econ!O547</f>
        <v>6726</v>
      </c>
      <c r="K547" s="13">
        <f>Econ!P547</f>
        <v>40502.25</v>
      </c>
      <c r="L547" s="14">
        <f>Econ!Q547</f>
        <v>3452.25</v>
      </c>
      <c r="M547" s="14">
        <f>Econ!R547</f>
        <v>738</v>
      </c>
      <c r="N547" s="13">
        <f>Econ!S547</f>
        <v>1681.5</v>
      </c>
      <c r="O547" s="13">
        <f>Econ!T547</f>
        <v>26</v>
      </c>
      <c r="P547" s="7" t="str">
        <f>Econ!A547</f>
        <v>Pikeman</v>
      </c>
      <c r="Q547" s="10">
        <f>Econ!C547</f>
        <v>46612192.02</v>
      </c>
      <c r="R547" s="10">
        <f>Econ!E547</f>
        <v>1279.505278</v>
      </c>
      <c r="S547" s="10">
        <f>Econ!G547</f>
        <v>6991828.803</v>
      </c>
      <c r="T547" s="10">
        <f>Econ!I547</f>
        <v>5757.773751</v>
      </c>
    </row>
    <row r="548">
      <c r="A548" s="7" t="str">
        <f>Econ!A548&amp;if(Econ!B548&lt;10,"_0"&amp;Econ!B548,"_"&amp;Econ!B548)</f>
        <v>Pikeman_247</v>
      </c>
      <c r="B548" s="7" t="str">
        <f>"T"&amp;Econ!B548&amp;" "&amp;Econ!A548</f>
        <v>T247 Pikeman</v>
      </c>
      <c r="C548" s="8">
        <f>Econ!B548</f>
        <v>247</v>
      </c>
      <c r="D548" s="7"/>
      <c r="E548" s="9"/>
      <c r="F548" s="9"/>
      <c r="G548" s="10">
        <f>Econ!L548</f>
        <v>163125</v>
      </c>
      <c r="H548" s="11">
        <f>Econ!M548</f>
        <v>13899</v>
      </c>
      <c r="I548" s="11">
        <f>Econ!N548</f>
        <v>2998</v>
      </c>
      <c r="J548" s="12">
        <f>Econ!O548</f>
        <v>6772</v>
      </c>
      <c r="K548" s="13">
        <f>Econ!P548</f>
        <v>40781.25</v>
      </c>
      <c r="L548" s="14">
        <f>Econ!Q548</f>
        <v>3474.75</v>
      </c>
      <c r="M548" s="14">
        <f>Econ!R548</f>
        <v>749.5</v>
      </c>
      <c r="N548" s="13">
        <f>Econ!S548</f>
        <v>1693</v>
      </c>
      <c r="O548" s="13">
        <f>Econ!T548</f>
        <v>26</v>
      </c>
      <c r="P548" s="7" t="str">
        <f>Econ!A548</f>
        <v>Pikeman</v>
      </c>
      <c r="Q548" s="10">
        <f>Econ!C548</f>
        <v>48942801.62</v>
      </c>
      <c r="R548" s="10">
        <f>Econ!E548</f>
        <v>1305.095383</v>
      </c>
      <c r="S548" s="10">
        <f>Econ!G548</f>
        <v>7341420.243</v>
      </c>
      <c r="T548" s="10">
        <f>Econ!I548</f>
        <v>5872.929226</v>
      </c>
    </row>
    <row r="549">
      <c r="A549" s="7" t="str">
        <f>Econ!A549&amp;if(Econ!B549&lt;10,"_0"&amp;Econ!B549,"_"&amp;Econ!B549)</f>
        <v>Pikeman_248</v>
      </c>
      <c r="B549" s="7" t="str">
        <f>"T"&amp;Econ!B549&amp;" "&amp;Econ!A549</f>
        <v>T248 Pikeman</v>
      </c>
      <c r="C549" s="8">
        <f>Econ!B549</f>
        <v>248</v>
      </c>
      <c r="D549" s="7"/>
      <c r="E549" s="9"/>
      <c r="F549" s="9"/>
      <c r="G549" s="10">
        <f>Econ!L549</f>
        <v>164244</v>
      </c>
      <c r="H549" s="11">
        <f>Econ!M549</f>
        <v>13989</v>
      </c>
      <c r="I549" s="11">
        <f>Econ!N549</f>
        <v>3044</v>
      </c>
      <c r="J549" s="12">
        <f>Econ!O549</f>
        <v>6818</v>
      </c>
      <c r="K549" s="13">
        <f>Econ!P549</f>
        <v>41061</v>
      </c>
      <c r="L549" s="14">
        <f>Econ!Q549</f>
        <v>3497.25</v>
      </c>
      <c r="M549" s="14">
        <f>Econ!R549</f>
        <v>761</v>
      </c>
      <c r="N549" s="13">
        <f>Econ!S549</f>
        <v>1704.5</v>
      </c>
      <c r="O549" s="13">
        <f>Econ!T549</f>
        <v>26</v>
      </c>
      <c r="P549" s="7" t="str">
        <f>Econ!A549</f>
        <v>Pikeman</v>
      </c>
      <c r="Q549" s="10">
        <f>Econ!C549</f>
        <v>51389941.7</v>
      </c>
      <c r="R549" s="10">
        <f>Econ!E549</f>
        <v>1331.197291</v>
      </c>
      <c r="S549" s="10">
        <f>Econ!G549</f>
        <v>7708491.255</v>
      </c>
      <c r="T549" s="10">
        <f>Econ!I549</f>
        <v>5990.38781</v>
      </c>
    </row>
    <row r="550">
      <c r="A550" s="7" t="str">
        <f>Econ!A550&amp;if(Econ!B550&lt;10,"_0"&amp;Econ!B550,"_"&amp;Econ!B550)</f>
        <v>Pikeman_249</v>
      </c>
      <c r="B550" s="7" t="str">
        <f>"T"&amp;Econ!B550&amp;" "&amp;Econ!A550</f>
        <v>T249 Pikeman</v>
      </c>
      <c r="C550" s="8">
        <f>Econ!B550</f>
        <v>249</v>
      </c>
      <c r="D550" s="7"/>
      <c r="E550" s="9"/>
      <c r="F550" s="9"/>
      <c r="G550" s="10">
        <f>Econ!L550</f>
        <v>165366</v>
      </c>
      <c r="H550" s="11">
        <f>Econ!M550</f>
        <v>14080</v>
      </c>
      <c r="I550" s="11">
        <f>Econ!N550</f>
        <v>3090</v>
      </c>
      <c r="J550" s="12">
        <f>Econ!O550</f>
        <v>6864</v>
      </c>
      <c r="K550" s="13">
        <f>Econ!P550</f>
        <v>41341.5</v>
      </c>
      <c r="L550" s="14">
        <f>Econ!Q550</f>
        <v>3520</v>
      </c>
      <c r="M550" s="14">
        <f>Econ!R550</f>
        <v>772.5</v>
      </c>
      <c r="N550" s="13">
        <f>Econ!S550</f>
        <v>1716</v>
      </c>
      <c r="O550" s="13">
        <f>Econ!T550</f>
        <v>26</v>
      </c>
      <c r="P550" s="7" t="str">
        <f>Econ!A550</f>
        <v>Pikeman</v>
      </c>
      <c r="Q550" s="10">
        <f>Econ!C550</f>
        <v>53959438.79</v>
      </c>
      <c r="R550" s="10">
        <f>Econ!E550</f>
        <v>1357.821237</v>
      </c>
      <c r="S550" s="10">
        <f>Econ!G550</f>
        <v>8093915.818</v>
      </c>
      <c r="T550" s="10">
        <f>Econ!I550</f>
        <v>6110.195566</v>
      </c>
    </row>
    <row r="551">
      <c r="A551" s="7" t="str">
        <f>Econ!A551&amp;if(Econ!B551&lt;10,"_0"&amp;Econ!B551,"_"&amp;Econ!B551)</f>
        <v>Pikeman_250</v>
      </c>
      <c r="B551" s="7" t="str">
        <f>"T"&amp;Econ!B551&amp;" "&amp;Econ!A551</f>
        <v>T250 Pikeman</v>
      </c>
      <c r="C551" s="8">
        <f>Econ!B551</f>
        <v>250</v>
      </c>
      <c r="D551" s="7"/>
      <c r="E551" s="9"/>
      <c r="F551" s="9"/>
      <c r="G551" s="10">
        <f>Econ!L551</f>
        <v>166491</v>
      </c>
      <c r="H551" s="11">
        <f>Econ!M551</f>
        <v>14171</v>
      </c>
      <c r="I551" s="11">
        <f>Econ!N551</f>
        <v>3136</v>
      </c>
      <c r="J551" s="12">
        <f>Econ!O551</f>
        <v>6910</v>
      </c>
      <c r="K551" s="13">
        <f>Econ!P551</f>
        <v>41622.75</v>
      </c>
      <c r="L551" s="14">
        <f>Econ!Q551</f>
        <v>3542.75</v>
      </c>
      <c r="M551" s="14">
        <f>Econ!R551</f>
        <v>784</v>
      </c>
      <c r="N551" s="13">
        <f>Econ!S551</f>
        <v>1727.5</v>
      </c>
      <c r="O551" s="13">
        <f>Econ!T551</f>
        <v>26</v>
      </c>
      <c r="P551" s="7" t="str">
        <f>Econ!A551</f>
        <v>Pikeman</v>
      </c>
      <c r="Q551" s="10">
        <f>Econ!C551</f>
        <v>56657410.72</v>
      </c>
      <c r="R551" s="10">
        <f>Econ!E551</f>
        <v>1384.977662</v>
      </c>
      <c r="S551" s="10">
        <f>Econ!G551</f>
        <v>8498611.609</v>
      </c>
      <c r="T551" s="10">
        <f>Econ!I551</f>
        <v>6232.399478</v>
      </c>
    </row>
    <row r="552">
      <c r="A552" s="7" t="str">
        <f>Econ!A552&amp;if(Econ!B552&lt;10,"_0"&amp;Econ!B552,"_"&amp;Econ!B552)</f>
        <v>Pikeman_251</v>
      </c>
      <c r="B552" s="7" t="str">
        <f>"T"&amp;Econ!B552&amp;" "&amp;Econ!A552</f>
        <v>T251 Pikeman</v>
      </c>
      <c r="C552" s="8">
        <f>Econ!B552</f>
        <v>251</v>
      </c>
      <c r="D552" s="7"/>
      <c r="E552" s="9"/>
      <c r="F552" s="9"/>
      <c r="G552" s="10">
        <f>Econ!L552</f>
        <v>167619</v>
      </c>
      <c r="H552" s="11">
        <f>Econ!M552</f>
        <v>14262</v>
      </c>
      <c r="I552" s="11">
        <f>Econ!N552</f>
        <v>3182</v>
      </c>
      <c r="J552" s="12">
        <f>Econ!O552</f>
        <v>6956</v>
      </c>
      <c r="K552" s="13">
        <f>Econ!P552</f>
        <v>41904.75</v>
      </c>
      <c r="L552" s="14">
        <f>Econ!Q552</f>
        <v>3565.5</v>
      </c>
      <c r="M552" s="14">
        <f>Econ!R552</f>
        <v>795.5</v>
      </c>
      <c r="N552" s="13">
        <f>Econ!S552</f>
        <v>1739</v>
      </c>
      <c r="O552" s="13">
        <f>Econ!T552</f>
        <v>26</v>
      </c>
      <c r="P552" s="7" t="str">
        <f>Econ!A552</f>
        <v>Pikeman</v>
      </c>
      <c r="Q552" s="10">
        <f>Econ!C552</f>
        <v>59490281.26</v>
      </c>
      <c r="R552" s="10">
        <f>Econ!E552</f>
        <v>1412.677215</v>
      </c>
      <c r="S552" s="10">
        <f>Econ!G552</f>
        <v>8923542.189</v>
      </c>
      <c r="T552" s="10">
        <f>Econ!I552</f>
        <v>6357.047467</v>
      </c>
    </row>
    <row r="553">
      <c r="A553" s="7" t="str">
        <f>Econ!A553&amp;if(Econ!B553&lt;10,"_0"&amp;Econ!B553,"_"&amp;Econ!B553)</f>
        <v>Pikeman_252</v>
      </c>
      <c r="B553" s="7" t="str">
        <f>"T"&amp;Econ!B553&amp;" "&amp;Econ!A553</f>
        <v>T252 Pikeman</v>
      </c>
      <c r="C553" s="8">
        <f>Econ!B553</f>
        <v>252</v>
      </c>
      <c r="D553" s="7"/>
      <c r="E553" s="9"/>
      <c r="F553" s="9"/>
      <c r="G553" s="10">
        <f>Econ!L553</f>
        <v>168751</v>
      </c>
      <c r="H553" s="11">
        <f>Econ!M553</f>
        <v>14353</v>
      </c>
      <c r="I553" s="11">
        <f>Econ!N553</f>
        <v>3228</v>
      </c>
      <c r="J553" s="12">
        <f>Econ!O553</f>
        <v>7002</v>
      </c>
      <c r="K553" s="13">
        <f>Econ!P553</f>
        <v>42187.75</v>
      </c>
      <c r="L553" s="14">
        <f>Econ!Q553</f>
        <v>3588.25</v>
      </c>
      <c r="M553" s="14">
        <f>Econ!R553</f>
        <v>807</v>
      </c>
      <c r="N553" s="13">
        <f>Econ!S553</f>
        <v>1750.5</v>
      </c>
      <c r="O553" s="13">
        <f>Econ!T553</f>
        <v>26</v>
      </c>
      <c r="P553" s="7" t="str">
        <f>Econ!A553</f>
        <v>Pikeman</v>
      </c>
      <c r="Q553" s="10">
        <f>Econ!C553</f>
        <v>62464795.32</v>
      </c>
      <c r="R553" s="10">
        <f>Econ!E553</f>
        <v>1440.930759</v>
      </c>
      <c r="S553" s="10">
        <f>Econ!G553</f>
        <v>9369719.299</v>
      </c>
      <c r="T553" s="10">
        <f>Econ!I553</f>
        <v>6484.188416</v>
      </c>
    </row>
    <row r="554">
      <c r="A554" s="7" t="str">
        <f>Econ!A554&amp;if(Econ!B554&lt;10,"_0"&amp;Econ!B554,"_"&amp;Econ!B554)</f>
        <v>Pikeman_253</v>
      </c>
      <c r="B554" s="7" t="str">
        <f>"T"&amp;Econ!B554&amp;" "&amp;Econ!A554</f>
        <v>T253 Pikeman</v>
      </c>
      <c r="C554" s="8">
        <f>Econ!B554</f>
        <v>253</v>
      </c>
      <c r="D554" s="7"/>
      <c r="E554" s="9"/>
      <c r="F554" s="9"/>
      <c r="G554" s="10">
        <f>Econ!L554</f>
        <v>169886</v>
      </c>
      <c r="H554" s="11">
        <f>Econ!M554</f>
        <v>14445</v>
      </c>
      <c r="I554" s="11">
        <f>Econ!N554</f>
        <v>3274</v>
      </c>
      <c r="J554" s="12">
        <f>Econ!O554</f>
        <v>7048</v>
      </c>
      <c r="K554" s="13">
        <f>Econ!P554</f>
        <v>42471.5</v>
      </c>
      <c r="L554" s="14">
        <f>Econ!Q554</f>
        <v>3611.25</v>
      </c>
      <c r="M554" s="14">
        <f>Econ!R554</f>
        <v>818.5</v>
      </c>
      <c r="N554" s="13">
        <f>Econ!S554</f>
        <v>1762</v>
      </c>
      <c r="O554" s="13">
        <f>Econ!T554</f>
        <v>26</v>
      </c>
      <c r="P554" s="7" t="str">
        <f>Econ!A554</f>
        <v>Pikeman</v>
      </c>
      <c r="Q554" s="10">
        <f>Econ!C554</f>
        <v>65588035.09</v>
      </c>
      <c r="R554" s="10">
        <f>Econ!E554</f>
        <v>1469.749374</v>
      </c>
      <c r="S554" s="10">
        <f>Econ!G554</f>
        <v>9838205.263</v>
      </c>
      <c r="T554" s="10">
        <f>Econ!I554</f>
        <v>6613.872185</v>
      </c>
    </row>
    <row r="555">
      <c r="A555" s="7" t="str">
        <f>Econ!A555&amp;if(Econ!B555&lt;10,"_0"&amp;Econ!B555,"_"&amp;Econ!B555)</f>
        <v>Pikeman_254</v>
      </c>
      <c r="B555" s="7" t="str">
        <f>"T"&amp;Econ!B555&amp;" "&amp;Econ!A555</f>
        <v>T254 Pikeman</v>
      </c>
      <c r="C555" s="8">
        <f>Econ!B555</f>
        <v>254</v>
      </c>
      <c r="D555" s="7"/>
      <c r="E555" s="9"/>
      <c r="F555" s="9"/>
      <c r="G555" s="10">
        <f>Econ!L555</f>
        <v>171024</v>
      </c>
      <c r="H555" s="11">
        <f>Econ!M555</f>
        <v>14537</v>
      </c>
      <c r="I555" s="11">
        <f>Econ!N555</f>
        <v>3320</v>
      </c>
      <c r="J555" s="12">
        <f>Econ!O555</f>
        <v>7094</v>
      </c>
      <c r="K555" s="13">
        <f>Econ!P555</f>
        <v>42756</v>
      </c>
      <c r="L555" s="14">
        <f>Econ!Q555</f>
        <v>3634.25</v>
      </c>
      <c r="M555" s="14">
        <f>Econ!R555</f>
        <v>830</v>
      </c>
      <c r="N555" s="13">
        <f>Econ!S555</f>
        <v>1773.5</v>
      </c>
      <c r="O555" s="13">
        <f>Econ!T555</f>
        <v>26</v>
      </c>
      <c r="P555" s="7" t="str">
        <f>Econ!A555</f>
        <v>Pikeman</v>
      </c>
      <c r="Q555" s="10">
        <f>Econ!C555</f>
        <v>68867436.84</v>
      </c>
      <c r="R555" s="10">
        <f>Econ!E555</f>
        <v>1499.144362</v>
      </c>
      <c r="S555" s="10">
        <f>Econ!G555</f>
        <v>10330115.53</v>
      </c>
      <c r="T555" s="10">
        <f>Econ!I555</f>
        <v>6746.149628</v>
      </c>
    </row>
    <row r="556">
      <c r="A556" s="7" t="str">
        <f>Econ!A556&amp;if(Econ!B556&lt;10,"_0"&amp;Econ!B556,"_"&amp;Econ!B556)</f>
        <v>Pikeman_255</v>
      </c>
      <c r="B556" s="7" t="str">
        <f>"T"&amp;Econ!B556&amp;" "&amp;Econ!A556</f>
        <v>T255 Pikeman</v>
      </c>
      <c r="C556" s="8">
        <f>Econ!B556</f>
        <v>255</v>
      </c>
      <c r="D556" s="7"/>
      <c r="E556" s="9"/>
      <c r="F556" s="9"/>
      <c r="G556" s="10">
        <f>Econ!L556</f>
        <v>172165</v>
      </c>
      <c r="H556" s="11">
        <f>Econ!M556</f>
        <v>14629</v>
      </c>
      <c r="I556" s="11">
        <f>Econ!N556</f>
        <v>3367</v>
      </c>
      <c r="J556" s="12">
        <f>Econ!O556</f>
        <v>7141</v>
      </c>
      <c r="K556" s="13">
        <f>Econ!P556</f>
        <v>43041.25</v>
      </c>
      <c r="L556" s="14">
        <f>Econ!Q556</f>
        <v>3657.25</v>
      </c>
      <c r="M556" s="14">
        <f>Econ!R556</f>
        <v>841.75</v>
      </c>
      <c r="N556" s="13">
        <f>Econ!S556</f>
        <v>1785.25</v>
      </c>
      <c r="O556" s="13">
        <f>Econ!T556</f>
        <v>27</v>
      </c>
      <c r="P556" s="7" t="str">
        <f>Econ!A556</f>
        <v>Pikeman</v>
      </c>
      <c r="Q556" s="10">
        <f>Econ!C556</f>
        <v>72310808.69</v>
      </c>
      <c r="R556" s="10">
        <f>Econ!E556</f>
        <v>1529.127249</v>
      </c>
      <c r="S556" s="10">
        <f>Econ!G556</f>
        <v>10846621.3</v>
      </c>
      <c r="T556" s="10">
        <f>Econ!I556</f>
        <v>6881.072621</v>
      </c>
    </row>
    <row r="557">
      <c r="A557" s="7" t="str">
        <f>Econ!A557&amp;if(Econ!B557&lt;10,"_0"&amp;Econ!B557,"_"&amp;Econ!B557)</f>
        <v>Pikeman_256</v>
      </c>
      <c r="B557" s="7" t="str">
        <f>"T"&amp;Econ!B557&amp;" "&amp;Econ!A557</f>
        <v>T256 Pikeman</v>
      </c>
      <c r="C557" s="8">
        <f>Econ!B557</f>
        <v>256</v>
      </c>
      <c r="D557" s="7"/>
      <c r="E557" s="9"/>
      <c r="F557" s="9"/>
      <c r="G557" s="10">
        <f>Econ!L557</f>
        <v>173309</v>
      </c>
      <c r="H557" s="11">
        <f>Econ!M557</f>
        <v>14721</v>
      </c>
      <c r="I557" s="11">
        <f>Econ!N557</f>
        <v>3414</v>
      </c>
      <c r="J557" s="12">
        <f>Econ!O557</f>
        <v>7188</v>
      </c>
      <c r="K557" s="13">
        <f>Econ!P557</f>
        <v>43327.25</v>
      </c>
      <c r="L557" s="14">
        <f>Econ!Q557</f>
        <v>3680.25</v>
      </c>
      <c r="M557" s="14">
        <f>Econ!R557</f>
        <v>853.5</v>
      </c>
      <c r="N557" s="13">
        <f>Econ!S557</f>
        <v>1797</v>
      </c>
      <c r="O557" s="13">
        <f>Econ!T557</f>
        <v>27</v>
      </c>
      <c r="P557" s="7" t="str">
        <f>Econ!A557</f>
        <v>Pikeman</v>
      </c>
      <c r="Q557" s="10">
        <f>Econ!C557</f>
        <v>75926349.12</v>
      </c>
      <c r="R557" s="10">
        <f>Econ!E557</f>
        <v>1559.709794</v>
      </c>
      <c r="S557" s="10">
        <f>Econ!G557</f>
        <v>11388952.37</v>
      </c>
      <c r="T557" s="10">
        <f>Econ!I557</f>
        <v>7018.694073</v>
      </c>
    </row>
    <row r="558">
      <c r="A558" s="7" t="str">
        <f>Econ!A558&amp;if(Econ!B558&lt;10,"_0"&amp;Econ!B558,"_"&amp;Econ!B558)</f>
        <v>Pikeman_257</v>
      </c>
      <c r="B558" s="7" t="str">
        <f>"T"&amp;Econ!B558&amp;" "&amp;Econ!A558</f>
        <v>T257 Pikeman</v>
      </c>
      <c r="C558" s="8">
        <f>Econ!B558</f>
        <v>257</v>
      </c>
      <c r="D558" s="7"/>
      <c r="E558" s="9"/>
      <c r="F558" s="9"/>
      <c r="G558" s="10">
        <f>Econ!L558</f>
        <v>174456</v>
      </c>
      <c r="H558" s="11">
        <f>Econ!M558</f>
        <v>14814</v>
      </c>
      <c r="I558" s="11">
        <f>Econ!N558</f>
        <v>3461</v>
      </c>
      <c r="J558" s="12">
        <f>Econ!O558</f>
        <v>7235</v>
      </c>
      <c r="K558" s="13">
        <f>Econ!P558</f>
        <v>43614</v>
      </c>
      <c r="L558" s="14">
        <f>Econ!Q558</f>
        <v>3703.5</v>
      </c>
      <c r="M558" s="14">
        <f>Econ!R558</f>
        <v>865.25</v>
      </c>
      <c r="N558" s="13">
        <f>Econ!S558</f>
        <v>1808.75</v>
      </c>
      <c r="O558" s="13">
        <f>Econ!T558</f>
        <v>27</v>
      </c>
      <c r="P558" s="7" t="str">
        <f>Econ!A558</f>
        <v>Pikeman</v>
      </c>
      <c r="Q558" s="10">
        <f>Econ!C558</f>
        <v>79722666.58</v>
      </c>
      <c r="R558" s="10">
        <f>Econ!E558</f>
        <v>1590.90399</v>
      </c>
      <c r="S558" s="10">
        <f>Econ!G558</f>
        <v>11958399.99</v>
      </c>
      <c r="T558" s="10">
        <f>Econ!I558</f>
        <v>7159.067955</v>
      </c>
    </row>
    <row r="559">
      <c r="A559" s="7" t="str">
        <f>Econ!A559&amp;if(Econ!B559&lt;10,"_0"&amp;Econ!B559,"_"&amp;Econ!B559)</f>
        <v>Pikeman_258</v>
      </c>
      <c r="B559" s="7" t="str">
        <f>"T"&amp;Econ!B559&amp;" "&amp;Econ!A559</f>
        <v>T258 Pikeman</v>
      </c>
      <c r="C559" s="8">
        <f>Econ!B559</f>
        <v>258</v>
      </c>
      <c r="D559" s="7"/>
      <c r="E559" s="9"/>
      <c r="F559" s="9"/>
      <c r="G559" s="10">
        <f>Econ!L559</f>
        <v>175606</v>
      </c>
      <c r="H559" s="11">
        <f>Econ!M559</f>
        <v>14907</v>
      </c>
      <c r="I559" s="11">
        <f>Econ!N559</f>
        <v>3508</v>
      </c>
      <c r="J559" s="12">
        <f>Econ!O559</f>
        <v>7282</v>
      </c>
      <c r="K559" s="13">
        <f>Econ!P559</f>
        <v>43901.5</v>
      </c>
      <c r="L559" s="14">
        <f>Econ!Q559</f>
        <v>3726.75</v>
      </c>
      <c r="M559" s="14">
        <f>Econ!R559</f>
        <v>877</v>
      </c>
      <c r="N559" s="13">
        <f>Econ!S559</f>
        <v>1820.5</v>
      </c>
      <c r="O559" s="13">
        <f>Econ!T559</f>
        <v>27</v>
      </c>
      <c r="P559" s="7" t="str">
        <f>Econ!A559</f>
        <v>Pikeman</v>
      </c>
      <c r="Q559" s="10">
        <f>Econ!C559</f>
        <v>83708799.91</v>
      </c>
      <c r="R559" s="10">
        <f>Econ!E559</f>
        <v>1622.72207</v>
      </c>
      <c r="S559" s="10">
        <f>Econ!G559</f>
        <v>12556319.99</v>
      </c>
      <c r="T559" s="10">
        <f>Econ!I559</f>
        <v>7302.249314</v>
      </c>
    </row>
    <row r="560">
      <c r="A560" s="7" t="str">
        <f>Econ!A560&amp;if(Econ!B560&lt;10,"_0"&amp;Econ!B560,"_"&amp;Econ!B560)</f>
        <v>Pikeman_259</v>
      </c>
      <c r="B560" s="7" t="str">
        <f>"T"&amp;Econ!B560&amp;" "&amp;Econ!A560</f>
        <v>T259 Pikeman</v>
      </c>
      <c r="C560" s="8">
        <f>Econ!B560</f>
        <v>259</v>
      </c>
      <c r="D560" s="7"/>
      <c r="E560" s="9"/>
      <c r="F560" s="9"/>
      <c r="G560" s="10">
        <f>Econ!L560</f>
        <v>176760</v>
      </c>
      <c r="H560" s="11">
        <f>Econ!M560</f>
        <v>15000</v>
      </c>
      <c r="I560" s="11">
        <f>Econ!N560</f>
        <v>3555</v>
      </c>
      <c r="J560" s="12">
        <f>Econ!O560</f>
        <v>7329</v>
      </c>
      <c r="K560" s="13">
        <f>Econ!P560</f>
        <v>44190</v>
      </c>
      <c r="L560" s="14">
        <f>Econ!Q560</f>
        <v>3750</v>
      </c>
      <c r="M560" s="14">
        <f>Econ!R560</f>
        <v>888.75</v>
      </c>
      <c r="N560" s="13">
        <f>Econ!S560</f>
        <v>1832.25</v>
      </c>
      <c r="O560" s="13">
        <f>Econ!T560</f>
        <v>27</v>
      </c>
      <c r="P560" s="7" t="str">
        <f>Econ!A560</f>
        <v>Pikeman</v>
      </c>
      <c r="Q560" s="10">
        <f>Econ!C560</f>
        <v>87894239.9</v>
      </c>
      <c r="R560" s="10">
        <f>Econ!E560</f>
        <v>1655.176511</v>
      </c>
      <c r="S560" s="10">
        <f>Econ!G560</f>
        <v>13184135.99</v>
      </c>
      <c r="T560" s="10">
        <f>Econ!I560</f>
        <v>7448.2943</v>
      </c>
    </row>
    <row r="561">
      <c r="A561" s="7" t="str">
        <f>Econ!A561&amp;if(Econ!B561&lt;10,"_0"&amp;Econ!B561,"_"&amp;Econ!B561)</f>
        <v>Pikeman_260</v>
      </c>
      <c r="B561" s="7" t="str">
        <f>"T"&amp;Econ!B561&amp;" "&amp;Econ!A561</f>
        <v>T260 Pikeman</v>
      </c>
      <c r="C561" s="8">
        <f>Econ!B561</f>
        <v>260</v>
      </c>
      <c r="D561" s="7"/>
      <c r="E561" s="9"/>
      <c r="F561" s="9"/>
      <c r="G561" s="10">
        <f>Econ!L561</f>
        <v>177917</v>
      </c>
      <c r="H561" s="11">
        <f>Econ!M561</f>
        <v>15093</v>
      </c>
      <c r="I561" s="11">
        <f>Econ!N561</f>
        <v>3602</v>
      </c>
      <c r="J561" s="12">
        <f>Econ!O561</f>
        <v>7376</v>
      </c>
      <c r="K561" s="13">
        <f>Econ!P561</f>
        <v>44479.25</v>
      </c>
      <c r="L561" s="14">
        <f>Econ!Q561</f>
        <v>3773.25</v>
      </c>
      <c r="M561" s="14">
        <f>Econ!R561</f>
        <v>900.5</v>
      </c>
      <c r="N561" s="13">
        <f>Econ!S561</f>
        <v>1844</v>
      </c>
      <c r="O561" s="13">
        <f>Econ!T561</f>
        <v>27</v>
      </c>
      <c r="P561" s="7" t="str">
        <f>Econ!A561</f>
        <v>Pikeman</v>
      </c>
      <c r="Q561" s="10">
        <f>Econ!C561</f>
        <v>92288951.9</v>
      </c>
      <c r="R561" s="10">
        <f>Econ!E561</f>
        <v>1688.280041</v>
      </c>
      <c r="S561" s="10">
        <f>Econ!G561</f>
        <v>13843342.78</v>
      </c>
      <c r="T561" s="10">
        <f>Econ!I561</f>
        <v>7597.260186</v>
      </c>
    </row>
    <row r="562">
      <c r="A562" s="7" t="str">
        <f>Econ!A562&amp;if(Econ!B562&lt;10,"_0"&amp;Econ!B562,"_"&amp;Econ!B562)</f>
        <v>Pikeman_261</v>
      </c>
      <c r="B562" s="7" t="str">
        <f>"T"&amp;Econ!B562&amp;" "&amp;Econ!A562</f>
        <v>T261 Pikeman</v>
      </c>
      <c r="C562" s="8">
        <f>Econ!B562</f>
        <v>261</v>
      </c>
      <c r="D562" s="7"/>
      <c r="E562" s="9"/>
      <c r="F562" s="9"/>
      <c r="G562" s="10">
        <f>Econ!L562</f>
        <v>179077</v>
      </c>
      <c r="H562" s="11">
        <f>Econ!M562</f>
        <v>15187</v>
      </c>
      <c r="I562" s="11">
        <f>Econ!N562</f>
        <v>3649</v>
      </c>
      <c r="J562" s="12">
        <f>Econ!O562</f>
        <v>7423</v>
      </c>
      <c r="K562" s="13">
        <f>Econ!P562</f>
        <v>44769.25</v>
      </c>
      <c r="L562" s="14">
        <f>Econ!Q562</f>
        <v>3796.75</v>
      </c>
      <c r="M562" s="14">
        <f>Econ!R562</f>
        <v>912.25</v>
      </c>
      <c r="N562" s="13">
        <f>Econ!S562</f>
        <v>1855.75</v>
      </c>
      <c r="O562" s="13">
        <f>Econ!T562</f>
        <v>27</v>
      </c>
      <c r="P562" s="7" t="str">
        <f>Econ!A562</f>
        <v>Pikeman</v>
      </c>
      <c r="Q562" s="10">
        <f>Econ!C562</f>
        <v>96903399.49</v>
      </c>
      <c r="R562" s="10">
        <f>Econ!E562</f>
        <v>1722.045642</v>
      </c>
      <c r="S562" s="10">
        <f>Econ!G562</f>
        <v>14535509.92</v>
      </c>
      <c r="T562" s="10">
        <f>Econ!I562</f>
        <v>7749.20539</v>
      </c>
    </row>
    <row r="563">
      <c r="A563" s="7" t="str">
        <f>Econ!A563&amp;if(Econ!B563&lt;10,"_0"&amp;Econ!B563,"_"&amp;Econ!B563)</f>
        <v>Pikeman_262</v>
      </c>
      <c r="B563" s="7" t="str">
        <f>"T"&amp;Econ!B563&amp;" "&amp;Econ!A563</f>
        <v>T262 Pikeman</v>
      </c>
      <c r="C563" s="8">
        <f>Econ!B563</f>
        <v>262</v>
      </c>
      <c r="D563" s="7"/>
      <c r="E563" s="9"/>
      <c r="F563" s="9"/>
      <c r="G563" s="10">
        <f>Econ!L563</f>
        <v>180240</v>
      </c>
      <c r="H563" s="11">
        <f>Econ!M563</f>
        <v>15281</v>
      </c>
      <c r="I563" s="11">
        <f>Econ!N563</f>
        <v>3696</v>
      </c>
      <c r="J563" s="12">
        <f>Econ!O563</f>
        <v>7470</v>
      </c>
      <c r="K563" s="13">
        <f>Econ!P563</f>
        <v>45060</v>
      </c>
      <c r="L563" s="14">
        <f>Econ!Q563</f>
        <v>3820.25</v>
      </c>
      <c r="M563" s="14">
        <f>Econ!R563</f>
        <v>924</v>
      </c>
      <c r="N563" s="13">
        <f>Econ!S563</f>
        <v>1867.5</v>
      </c>
      <c r="O563" s="13">
        <f>Econ!T563</f>
        <v>27</v>
      </c>
      <c r="P563" s="7" t="str">
        <f>Econ!A563</f>
        <v>Pikeman</v>
      </c>
      <c r="Q563" s="10">
        <f>Econ!C563</f>
        <v>101748569.5</v>
      </c>
      <c r="R563" s="10">
        <f>Econ!E563</f>
        <v>1756.486555</v>
      </c>
      <c r="S563" s="10">
        <f>Econ!G563</f>
        <v>15262285.42</v>
      </c>
      <c r="T563" s="10">
        <f>Econ!I563</f>
        <v>7904.189498</v>
      </c>
    </row>
    <row r="564">
      <c r="A564" s="7" t="str">
        <f>Econ!A564&amp;if(Econ!B564&lt;10,"_0"&amp;Econ!B564,"_"&amp;Econ!B564)</f>
        <v>Pikeman_263</v>
      </c>
      <c r="B564" s="7" t="str">
        <f>"T"&amp;Econ!B564&amp;" "&amp;Econ!A564</f>
        <v>T263 Pikeman</v>
      </c>
      <c r="C564" s="8">
        <f>Econ!B564</f>
        <v>263</v>
      </c>
      <c r="D564" s="7"/>
      <c r="E564" s="9"/>
      <c r="F564" s="9"/>
      <c r="G564" s="10">
        <f>Econ!L564</f>
        <v>181406</v>
      </c>
      <c r="H564" s="11">
        <f>Econ!M564</f>
        <v>15375</v>
      </c>
      <c r="I564" s="11">
        <f>Econ!N564</f>
        <v>3744</v>
      </c>
      <c r="J564" s="12">
        <f>Econ!O564</f>
        <v>7518</v>
      </c>
      <c r="K564" s="13">
        <f>Econ!P564</f>
        <v>45351.5</v>
      </c>
      <c r="L564" s="14">
        <f>Econ!Q564</f>
        <v>3843.75</v>
      </c>
      <c r="M564" s="14">
        <f>Econ!R564</f>
        <v>936</v>
      </c>
      <c r="N564" s="13">
        <f>Econ!S564</f>
        <v>1879.5</v>
      </c>
      <c r="O564" s="13">
        <f>Econ!T564</f>
        <v>27</v>
      </c>
      <c r="P564" s="7" t="str">
        <f>Econ!A564</f>
        <v>Pikeman</v>
      </c>
      <c r="Q564" s="10">
        <f>Econ!C564</f>
        <v>106835997.9</v>
      </c>
      <c r="R564" s="10">
        <f>Econ!E564</f>
        <v>1791.616286</v>
      </c>
      <c r="S564" s="10">
        <f>Econ!G564</f>
        <v>16025399.69</v>
      </c>
      <c r="T564" s="10">
        <f>Econ!I564</f>
        <v>8062.273288</v>
      </c>
    </row>
    <row r="565">
      <c r="A565" s="7" t="str">
        <f>Econ!A565&amp;if(Econ!B565&lt;10,"_0"&amp;Econ!B565,"_"&amp;Econ!B565)</f>
        <v>Pikeman_264</v>
      </c>
      <c r="B565" s="7" t="str">
        <f>"T"&amp;Econ!B565&amp;" "&amp;Econ!A565</f>
        <v>T264 Pikeman</v>
      </c>
      <c r="C565" s="8">
        <f>Econ!B565</f>
        <v>264</v>
      </c>
      <c r="D565" s="7"/>
      <c r="E565" s="9"/>
      <c r="F565" s="9"/>
      <c r="G565" s="10">
        <f>Econ!L565</f>
        <v>182575</v>
      </c>
      <c r="H565" s="11">
        <f>Econ!M565</f>
        <v>15469</v>
      </c>
      <c r="I565" s="11">
        <f>Econ!N565</f>
        <v>3792</v>
      </c>
      <c r="J565" s="12">
        <f>Econ!O565</f>
        <v>7566</v>
      </c>
      <c r="K565" s="13">
        <f>Econ!P565</f>
        <v>45643.75</v>
      </c>
      <c r="L565" s="14">
        <f>Econ!Q565</f>
        <v>3867.25</v>
      </c>
      <c r="M565" s="14">
        <f>Econ!R565</f>
        <v>948</v>
      </c>
      <c r="N565" s="13">
        <f>Econ!S565</f>
        <v>1891.5</v>
      </c>
      <c r="O565" s="13">
        <f>Econ!T565</f>
        <v>27</v>
      </c>
      <c r="P565" s="7" t="str">
        <f>Econ!A565</f>
        <v>Pikeman</v>
      </c>
      <c r="Q565" s="10">
        <f>Econ!C565</f>
        <v>112177797.8</v>
      </c>
      <c r="R565" s="10">
        <f>Econ!E565</f>
        <v>1827.448612</v>
      </c>
      <c r="S565" s="10">
        <f>Econ!G565</f>
        <v>16826669.68</v>
      </c>
      <c r="T565" s="10">
        <f>Econ!I565</f>
        <v>8223.518754</v>
      </c>
    </row>
    <row r="566">
      <c r="A566" s="7" t="str">
        <f>Econ!A566&amp;if(Econ!B566&lt;10,"_0"&amp;Econ!B566,"_"&amp;Econ!B566)</f>
        <v>Pikeman_265</v>
      </c>
      <c r="B566" s="7" t="str">
        <f>"T"&amp;Econ!B566&amp;" "&amp;Econ!A566</f>
        <v>T265 Pikeman</v>
      </c>
      <c r="C566" s="8">
        <f>Econ!B566</f>
        <v>265</v>
      </c>
      <c r="D566" s="7"/>
      <c r="E566" s="9"/>
      <c r="F566" s="9"/>
      <c r="G566" s="10">
        <f>Econ!L566</f>
        <v>183747</v>
      </c>
      <c r="H566" s="11">
        <f>Econ!M566</f>
        <v>15564</v>
      </c>
      <c r="I566" s="11">
        <f>Econ!N566</f>
        <v>3840</v>
      </c>
      <c r="J566" s="12">
        <f>Econ!O566</f>
        <v>7614</v>
      </c>
      <c r="K566" s="13">
        <f>Econ!P566</f>
        <v>45936.75</v>
      </c>
      <c r="L566" s="14">
        <f>Econ!Q566</f>
        <v>3891</v>
      </c>
      <c r="M566" s="14">
        <f>Econ!R566</f>
        <v>960</v>
      </c>
      <c r="N566" s="13">
        <f>Econ!S566</f>
        <v>1903.5</v>
      </c>
      <c r="O566" s="13">
        <f>Econ!T566</f>
        <v>28</v>
      </c>
      <c r="P566" s="7" t="str">
        <f>Econ!A566</f>
        <v>Pikeman</v>
      </c>
      <c r="Q566" s="10">
        <f>Econ!C566</f>
        <v>117786687.7</v>
      </c>
      <c r="R566" s="10">
        <f>Econ!E566</f>
        <v>1863.997584</v>
      </c>
      <c r="S566" s="10">
        <f>Econ!G566</f>
        <v>17668003.16</v>
      </c>
      <c r="T566" s="10">
        <f>Econ!I566</f>
        <v>8387.989129</v>
      </c>
    </row>
    <row r="567">
      <c r="A567" s="7" t="str">
        <f>Econ!A567&amp;if(Econ!B567&lt;10,"_0"&amp;Econ!B567,"_"&amp;Econ!B567)</f>
        <v>Pikeman_266</v>
      </c>
      <c r="B567" s="7" t="str">
        <f>"T"&amp;Econ!B567&amp;" "&amp;Econ!A567</f>
        <v>T266 Pikeman</v>
      </c>
      <c r="C567" s="8">
        <f>Econ!B567</f>
        <v>266</v>
      </c>
      <c r="D567" s="7"/>
      <c r="E567" s="9"/>
      <c r="F567" s="9"/>
      <c r="G567" s="10">
        <f>Econ!L567</f>
        <v>184922</v>
      </c>
      <c r="H567" s="11">
        <f>Econ!M567</f>
        <v>15659</v>
      </c>
      <c r="I567" s="11">
        <f>Econ!N567</f>
        <v>3888</v>
      </c>
      <c r="J567" s="12">
        <f>Econ!O567</f>
        <v>7662</v>
      </c>
      <c r="K567" s="13">
        <f>Econ!P567</f>
        <v>46230.5</v>
      </c>
      <c r="L567" s="14">
        <f>Econ!Q567</f>
        <v>3914.75</v>
      </c>
      <c r="M567" s="14">
        <f>Econ!R567</f>
        <v>972</v>
      </c>
      <c r="N567" s="13">
        <f>Econ!S567</f>
        <v>1915.5</v>
      </c>
      <c r="O567" s="13">
        <f>Econ!T567</f>
        <v>28</v>
      </c>
      <c r="P567" s="7" t="str">
        <f>Econ!A567</f>
        <v>Pikeman</v>
      </c>
      <c r="Q567" s="10">
        <f>Econ!C567</f>
        <v>123676022.1</v>
      </c>
      <c r="R567" s="10">
        <f>Econ!E567</f>
        <v>1901.277536</v>
      </c>
      <c r="S567" s="10">
        <f>Econ!G567</f>
        <v>18551403.32</v>
      </c>
      <c r="T567" s="10">
        <f>Econ!I567</f>
        <v>8555.748911</v>
      </c>
    </row>
    <row r="568">
      <c r="A568" s="7" t="str">
        <f>Econ!A568&amp;if(Econ!B568&lt;10,"_0"&amp;Econ!B568,"_"&amp;Econ!B568)</f>
        <v>Pikeman_267</v>
      </c>
      <c r="B568" s="7" t="str">
        <f>"T"&amp;Econ!B568&amp;" "&amp;Econ!A568</f>
        <v>T267 Pikeman</v>
      </c>
      <c r="C568" s="8">
        <f>Econ!B568</f>
        <v>267</v>
      </c>
      <c r="D568" s="7"/>
      <c r="E568" s="9"/>
      <c r="F568" s="9"/>
      <c r="G568" s="10">
        <f>Econ!L568</f>
        <v>186100</v>
      </c>
      <c r="H568" s="11">
        <f>Econ!M568</f>
        <v>15754</v>
      </c>
      <c r="I568" s="11">
        <f>Econ!N568</f>
        <v>3936</v>
      </c>
      <c r="J568" s="12">
        <f>Econ!O568</f>
        <v>7710</v>
      </c>
      <c r="K568" s="13">
        <f>Econ!P568</f>
        <v>46525</v>
      </c>
      <c r="L568" s="14">
        <f>Econ!Q568</f>
        <v>3938.5</v>
      </c>
      <c r="M568" s="14">
        <f>Econ!R568</f>
        <v>984</v>
      </c>
      <c r="N568" s="13">
        <f>Econ!S568</f>
        <v>1927.5</v>
      </c>
      <c r="O568" s="13">
        <f>Econ!T568</f>
        <v>28</v>
      </c>
      <c r="P568" s="7" t="str">
        <f>Econ!A568</f>
        <v>Pikeman</v>
      </c>
      <c r="Q568" s="10">
        <f>Econ!C568</f>
        <v>129859823.2</v>
      </c>
      <c r="R568" s="10">
        <f>Econ!E568</f>
        <v>1939.303087</v>
      </c>
      <c r="S568" s="10">
        <f>Econ!G568</f>
        <v>19478973.48</v>
      </c>
      <c r="T568" s="10">
        <f>Econ!I568</f>
        <v>8726.863889</v>
      </c>
    </row>
    <row r="569">
      <c r="A569" s="7" t="str">
        <f>Econ!A569&amp;if(Econ!B569&lt;10,"_0"&amp;Econ!B569,"_"&amp;Econ!B569)</f>
        <v>Pikeman_268</v>
      </c>
      <c r="B569" s="7" t="str">
        <f>"T"&amp;Econ!B569&amp;" "&amp;Econ!A569</f>
        <v>T268 Pikeman</v>
      </c>
      <c r="C569" s="8">
        <f>Econ!B569</f>
        <v>268</v>
      </c>
      <c r="D569" s="7"/>
      <c r="E569" s="9"/>
      <c r="F569" s="9"/>
      <c r="G569" s="10">
        <f>Econ!L569</f>
        <v>187282</v>
      </c>
      <c r="H569" s="11">
        <f>Econ!M569</f>
        <v>15849</v>
      </c>
      <c r="I569" s="11">
        <f>Econ!N569</f>
        <v>3984</v>
      </c>
      <c r="J569" s="12">
        <f>Econ!O569</f>
        <v>7758</v>
      </c>
      <c r="K569" s="13">
        <f>Econ!P569</f>
        <v>46820.5</v>
      </c>
      <c r="L569" s="14">
        <f>Econ!Q569</f>
        <v>3962.25</v>
      </c>
      <c r="M569" s="14">
        <f>Econ!R569</f>
        <v>996</v>
      </c>
      <c r="N569" s="13">
        <f>Econ!S569</f>
        <v>1939.5</v>
      </c>
      <c r="O569" s="13">
        <f>Econ!T569</f>
        <v>28</v>
      </c>
      <c r="P569" s="7" t="str">
        <f>Econ!A569</f>
        <v>Pikeman</v>
      </c>
      <c r="Q569" s="10">
        <f>Econ!C569</f>
        <v>136352814.4</v>
      </c>
      <c r="R569" s="10">
        <f>Econ!E569</f>
        <v>1978.089148</v>
      </c>
      <c r="S569" s="10">
        <f>Econ!G569</f>
        <v>20452922.16</v>
      </c>
      <c r="T569" s="10">
        <f>Econ!I569</f>
        <v>8901.401167</v>
      </c>
    </row>
    <row r="570">
      <c r="A570" s="7" t="str">
        <f>Econ!A570&amp;if(Econ!B570&lt;10,"_0"&amp;Econ!B570,"_"&amp;Econ!B570)</f>
        <v>Pikeman_269</v>
      </c>
      <c r="B570" s="7" t="str">
        <f>"T"&amp;Econ!B570&amp;" "&amp;Econ!A570</f>
        <v>T269 Pikeman</v>
      </c>
      <c r="C570" s="8">
        <f>Econ!B570</f>
        <v>269</v>
      </c>
      <c r="D570" s="7"/>
      <c r="E570" s="9"/>
      <c r="F570" s="9"/>
      <c r="G570" s="10">
        <f>Econ!L570</f>
        <v>188467</v>
      </c>
      <c r="H570" s="11">
        <f>Econ!M570</f>
        <v>15945</v>
      </c>
      <c r="I570" s="11">
        <f>Econ!N570</f>
        <v>4032</v>
      </c>
      <c r="J570" s="12">
        <f>Econ!O570</f>
        <v>7806</v>
      </c>
      <c r="K570" s="13">
        <f>Econ!P570</f>
        <v>47116.75</v>
      </c>
      <c r="L570" s="14">
        <f>Econ!Q570</f>
        <v>3986.25</v>
      </c>
      <c r="M570" s="14">
        <f>Econ!R570</f>
        <v>1008</v>
      </c>
      <c r="N570" s="13">
        <f>Econ!S570</f>
        <v>1951.5</v>
      </c>
      <c r="O570" s="13">
        <f>Econ!T570</f>
        <v>28</v>
      </c>
      <c r="P570" s="7" t="str">
        <f>Econ!A570</f>
        <v>Pikeman</v>
      </c>
      <c r="Q570" s="10">
        <f>Econ!C570</f>
        <v>143170455.1</v>
      </c>
      <c r="R570" s="10">
        <f>Econ!E570</f>
        <v>2017.650931</v>
      </c>
      <c r="S570" s="10">
        <f>Econ!G570</f>
        <v>21475568.26</v>
      </c>
      <c r="T570" s="10">
        <f>Econ!I570</f>
        <v>9079.429191</v>
      </c>
    </row>
    <row r="571">
      <c r="A571" s="7" t="str">
        <f>Econ!A571&amp;if(Econ!B571&lt;10,"_0"&amp;Econ!B571,"_"&amp;Econ!B571)</f>
        <v>Pikeman_270</v>
      </c>
      <c r="B571" s="7" t="str">
        <f>"T"&amp;Econ!B571&amp;" "&amp;Econ!A571</f>
        <v>T270 Pikeman</v>
      </c>
      <c r="C571" s="8">
        <f>Econ!B571</f>
        <v>270</v>
      </c>
      <c r="D571" s="7"/>
      <c r="E571" s="9"/>
      <c r="F571" s="9"/>
      <c r="G571" s="10">
        <f>Econ!L571</f>
        <v>189655</v>
      </c>
      <c r="H571" s="11">
        <f>Econ!M571</f>
        <v>16041</v>
      </c>
      <c r="I571" s="11">
        <f>Econ!N571</f>
        <v>4080</v>
      </c>
      <c r="J571" s="12">
        <f>Econ!O571</f>
        <v>7854</v>
      </c>
      <c r="K571" s="13">
        <f>Econ!P571</f>
        <v>47413.75</v>
      </c>
      <c r="L571" s="14">
        <f>Econ!Q571</f>
        <v>4010.25</v>
      </c>
      <c r="M571" s="14">
        <f>Econ!R571</f>
        <v>1020</v>
      </c>
      <c r="N571" s="13">
        <f>Econ!S571</f>
        <v>1963.5</v>
      </c>
      <c r="O571" s="13">
        <f>Econ!T571</f>
        <v>28</v>
      </c>
      <c r="P571" s="7" t="str">
        <f>Econ!A571</f>
        <v>Pikeman</v>
      </c>
      <c r="Q571" s="10">
        <f>Econ!C571</f>
        <v>150328977.9</v>
      </c>
      <c r="R571" s="10">
        <f>Econ!E571</f>
        <v>2058.00395</v>
      </c>
      <c r="S571" s="10">
        <f>Econ!G571</f>
        <v>22549346.68</v>
      </c>
      <c r="T571" s="10">
        <f>Econ!I571</f>
        <v>9261.017774</v>
      </c>
    </row>
    <row r="572">
      <c r="A572" s="7" t="str">
        <f>Econ!A572&amp;if(Econ!B572&lt;10,"_0"&amp;Econ!B572,"_"&amp;Econ!B572)</f>
        <v>Pikeman_271</v>
      </c>
      <c r="B572" s="7" t="str">
        <f>"T"&amp;Econ!B572&amp;" "&amp;Econ!A572</f>
        <v>T271 Pikeman</v>
      </c>
      <c r="C572" s="8">
        <f>Econ!B572</f>
        <v>271</v>
      </c>
      <c r="D572" s="7"/>
      <c r="E572" s="9"/>
      <c r="F572" s="9"/>
      <c r="G572" s="10">
        <f>Econ!L572</f>
        <v>190846</v>
      </c>
      <c r="H572" s="11">
        <f>Econ!M572</f>
        <v>16137</v>
      </c>
      <c r="I572" s="11">
        <f>Econ!N572</f>
        <v>4129</v>
      </c>
      <c r="J572" s="12">
        <f>Econ!O572</f>
        <v>7903</v>
      </c>
      <c r="K572" s="13">
        <f>Econ!P572</f>
        <v>47711.5</v>
      </c>
      <c r="L572" s="14">
        <f>Econ!Q572</f>
        <v>4034.25</v>
      </c>
      <c r="M572" s="14">
        <f>Econ!R572</f>
        <v>1032.25</v>
      </c>
      <c r="N572" s="13">
        <f>Econ!S572</f>
        <v>1975.75</v>
      </c>
      <c r="O572" s="13">
        <f>Econ!T572</f>
        <v>28</v>
      </c>
      <c r="P572" s="7" t="str">
        <f>Econ!A572</f>
        <v>Pikeman</v>
      </c>
      <c r="Q572" s="10">
        <f>Econ!C572</f>
        <v>157845426.7</v>
      </c>
      <c r="R572" s="10">
        <f>Econ!E572</f>
        <v>2099.164029</v>
      </c>
      <c r="S572" s="10">
        <f>Econ!G572</f>
        <v>23676814.01</v>
      </c>
      <c r="T572" s="10">
        <f>Econ!I572</f>
        <v>9446.23813</v>
      </c>
    </row>
    <row r="573">
      <c r="A573" s="7" t="str">
        <f>Econ!A573&amp;if(Econ!B573&lt;10,"_0"&amp;Econ!B573,"_"&amp;Econ!B573)</f>
        <v>Pikeman_272</v>
      </c>
      <c r="B573" s="7" t="str">
        <f>"T"&amp;Econ!B573&amp;" "&amp;Econ!A573</f>
        <v>T272 Pikeman</v>
      </c>
      <c r="C573" s="8">
        <f>Econ!B573</f>
        <v>272</v>
      </c>
      <c r="D573" s="7"/>
      <c r="E573" s="9"/>
      <c r="F573" s="9"/>
      <c r="G573" s="10">
        <f>Econ!L573</f>
        <v>192040</v>
      </c>
      <c r="H573" s="11">
        <f>Econ!M573</f>
        <v>16233</v>
      </c>
      <c r="I573" s="11">
        <f>Econ!N573</f>
        <v>4178</v>
      </c>
      <c r="J573" s="12">
        <f>Econ!O573</f>
        <v>7952</v>
      </c>
      <c r="K573" s="13">
        <f>Econ!P573</f>
        <v>48010</v>
      </c>
      <c r="L573" s="14">
        <f>Econ!Q573</f>
        <v>4058.25</v>
      </c>
      <c r="M573" s="14">
        <f>Econ!R573</f>
        <v>1044.5</v>
      </c>
      <c r="N573" s="13">
        <f>Econ!S573</f>
        <v>1988</v>
      </c>
      <c r="O573" s="13">
        <f>Econ!T573</f>
        <v>28</v>
      </c>
      <c r="P573" s="7" t="str">
        <f>Econ!A573</f>
        <v>Pikeman</v>
      </c>
      <c r="Q573" s="10">
        <f>Econ!C573</f>
        <v>165737698.1</v>
      </c>
      <c r="R573" s="10">
        <f>Econ!E573</f>
        <v>2141.147309</v>
      </c>
      <c r="S573" s="10">
        <f>Econ!G573</f>
        <v>24860654.71</v>
      </c>
      <c r="T573" s="10">
        <f>Econ!I573</f>
        <v>9635.162892</v>
      </c>
    </row>
    <row r="574">
      <c r="A574" s="7" t="str">
        <f>Econ!A574&amp;if(Econ!B574&lt;10,"_0"&amp;Econ!B574,"_"&amp;Econ!B574)</f>
        <v>Pikeman_273</v>
      </c>
      <c r="B574" s="7" t="str">
        <f>"T"&amp;Econ!B574&amp;" "&amp;Econ!A574</f>
        <v>T273 Pikeman</v>
      </c>
      <c r="C574" s="8">
        <f>Econ!B574</f>
        <v>273</v>
      </c>
      <c r="D574" s="7"/>
      <c r="E574" s="9"/>
      <c r="F574" s="9"/>
      <c r="G574" s="10">
        <f>Econ!L574</f>
        <v>193237</v>
      </c>
      <c r="H574" s="11">
        <f>Econ!M574</f>
        <v>16330</v>
      </c>
      <c r="I574" s="11">
        <f>Econ!N574</f>
        <v>4227</v>
      </c>
      <c r="J574" s="12">
        <f>Econ!O574</f>
        <v>8001</v>
      </c>
      <c r="K574" s="13">
        <f>Econ!P574</f>
        <v>48309.25</v>
      </c>
      <c r="L574" s="14">
        <f>Econ!Q574</f>
        <v>4082.5</v>
      </c>
      <c r="M574" s="14">
        <f>Econ!R574</f>
        <v>1056.75</v>
      </c>
      <c r="N574" s="13">
        <f>Econ!S574</f>
        <v>2000.25</v>
      </c>
      <c r="O574" s="13">
        <f>Econ!T574</f>
        <v>28</v>
      </c>
      <c r="P574" s="7" t="str">
        <f>Econ!A574</f>
        <v>Pikeman</v>
      </c>
      <c r="Q574" s="10">
        <f>Econ!C574</f>
        <v>174024583</v>
      </c>
      <c r="R574" s="10">
        <f>Econ!E574</f>
        <v>2183.970256</v>
      </c>
      <c r="S574" s="10">
        <f>Econ!G574</f>
        <v>26103687.45</v>
      </c>
      <c r="T574" s="10">
        <f>Econ!I574</f>
        <v>9827.86615</v>
      </c>
    </row>
    <row r="575">
      <c r="A575" s="7" t="str">
        <f>Econ!A575&amp;if(Econ!B575&lt;10,"_0"&amp;Econ!B575,"_"&amp;Econ!B575)</f>
        <v>Pikeman_274</v>
      </c>
      <c r="B575" s="7" t="str">
        <f>"T"&amp;Econ!B575&amp;" "&amp;Econ!A575</f>
        <v>T274 Pikeman</v>
      </c>
      <c r="C575" s="8">
        <f>Econ!B575</f>
        <v>274</v>
      </c>
      <c r="D575" s="7"/>
      <c r="E575" s="9"/>
      <c r="F575" s="9"/>
      <c r="G575" s="10">
        <f>Econ!L575</f>
        <v>194437</v>
      </c>
      <c r="H575" s="11">
        <f>Econ!M575</f>
        <v>16427</v>
      </c>
      <c r="I575" s="11">
        <f>Econ!N575</f>
        <v>4276</v>
      </c>
      <c r="J575" s="12">
        <f>Econ!O575</f>
        <v>8050</v>
      </c>
      <c r="K575" s="13">
        <f>Econ!P575</f>
        <v>48609.25</v>
      </c>
      <c r="L575" s="14">
        <f>Econ!Q575</f>
        <v>4106.75</v>
      </c>
      <c r="M575" s="14">
        <f>Econ!R575</f>
        <v>1069</v>
      </c>
      <c r="N575" s="13">
        <f>Econ!S575</f>
        <v>2012.5</v>
      </c>
      <c r="O575" s="13">
        <f>Econ!T575</f>
        <v>28</v>
      </c>
      <c r="P575" s="7" t="str">
        <f>Econ!A575</f>
        <v>Pikeman</v>
      </c>
      <c r="Q575" s="10">
        <f>Econ!C575</f>
        <v>182725812.1</v>
      </c>
      <c r="R575" s="10">
        <f>Econ!E575</f>
        <v>2227.649661</v>
      </c>
      <c r="S575" s="10">
        <f>Econ!G575</f>
        <v>27408871.82</v>
      </c>
      <c r="T575" s="10">
        <f>Econ!I575</f>
        <v>10024.42347</v>
      </c>
    </row>
    <row r="576">
      <c r="A576" s="7" t="str">
        <f>Econ!A576&amp;if(Econ!B576&lt;10,"_0"&amp;Econ!B576,"_"&amp;Econ!B576)</f>
        <v>Pikeman_275</v>
      </c>
      <c r="B576" s="7" t="str">
        <f>"T"&amp;Econ!B576&amp;" "&amp;Econ!A576</f>
        <v>T275 Pikeman</v>
      </c>
      <c r="C576" s="8">
        <f>Econ!B576</f>
        <v>275</v>
      </c>
      <c r="D576" s="7"/>
      <c r="E576" s="9"/>
      <c r="F576" s="9"/>
      <c r="G576" s="10">
        <f>Econ!L576</f>
        <v>195640</v>
      </c>
      <c r="H576" s="11">
        <f>Econ!M576</f>
        <v>16524</v>
      </c>
      <c r="I576" s="11">
        <f>Econ!N576</f>
        <v>4325</v>
      </c>
      <c r="J576" s="12">
        <f>Econ!O576</f>
        <v>8099</v>
      </c>
      <c r="K576" s="13">
        <f>Econ!P576</f>
        <v>48910</v>
      </c>
      <c r="L576" s="14">
        <f>Econ!Q576</f>
        <v>4131</v>
      </c>
      <c r="M576" s="14">
        <f>Econ!R576</f>
        <v>1081.25</v>
      </c>
      <c r="N576" s="13">
        <f>Econ!S576</f>
        <v>2024.75</v>
      </c>
      <c r="O576" s="13">
        <f>Econ!T576</f>
        <v>29</v>
      </c>
      <c r="P576" s="7" t="str">
        <f>Econ!A576</f>
        <v>Pikeman</v>
      </c>
      <c r="Q576" s="10">
        <f>Econ!C576</f>
        <v>191862102.7</v>
      </c>
      <c r="R576" s="10">
        <f>Econ!E576</f>
        <v>2272.202654</v>
      </c>
      <c r="S576" s="10">
        <f>Econ!G576</f>
        <v>28779315.41</v>
      </c>
      <c r="T576" s="10">
        <f>Econ!I576</f>
        <v>10224.91194</v>
      </c>
    </row>
    <row r="577">
      <c r="A577" s="7" t="str">
        <f>Econ!A577&amp;if(Econ!B577&lt;10,"_0"&amp;Econ!B577,"_"&amp;Econ!B577)</f>
        <v>Pikeman_276</v>
      </c>
      <c r="B577" s="7" t="str">
        <f>"T"&amp;Econ!B577&amp;" "&amp;Econ!A577</f>
        <v>T276 Pikeman</v>
      </c>
      <c r="C577" s="8">
        <f>Econ!B577</f>
        <v>276</v>
      </c>
      <c r="D577" s="7"/>
      <c r="E577" s="9"/>
      <c r="F577" s="9"/>
      <c r="G577" s="10">
        <f>Econ!L577</f>
        <v>196846</v>
      </c>
      <c r="H577" s="11">
        <f>Econ!M577</f>
        <v>16621</v>
      </c>
      <c r="I577" s="11">
        <f>Econ!N577</f>
        <v>4374</v>
      </c>
      <c r="J577" s="12">
        <f>Econ!O577</f>
        <v>8148</v>
      </c>
      <c r="K577" s="13">
        <f>Econ!P577</f>
        <v>49211.5</v>
      </c>
      <c r="L577" s="14">
        <f>Econ!Q577</f>
        <v>4155.25</v>
      </c>
      <c r="M577" s="14">
        <f>Econ!R577</f>
        <v>1093.5</v>
      </c>
      <c r="N577" s="13">
        <f>Econ!S577</f>
        <v>2037</v>
      </c>
      <c r="O577" s="13">
        <f>Econ!T577</f>
        <v>29</v>
      </c>
      <c r="P577" s="7" t="str">
        <f>Econ!A577</f>
        <v>Pikeman</v>
      </c>
      <c r="Q577" s="10">
        <f>Econ!C577</f>
        <v>201455207.9</v>
      </c>
      <c r="R577" s="10">
        <f>Econ!E577</f>
        <v>2317.646707</v>
      </c>
      <c r="S577" s="10">
        <f>Econ!G577</f>
        <v>30218281.18</v>
      </c>
      <c r="T577" s="10">
        <f>Econ!I577</f>
        <v>10429.41018</v>
      </c>
    </row>
    <row r="578">
      <c r="A578" s="7" t="str">
        <f>Econ!A578&amp;if(Econ!B578&lt;10,"_0"&amp;Econ!B578,"_"&amp;Econ!B578)</f>
        <v>Pikeman_277</v>
      </c>
      <c r="B578" s="7" t="str">
        <f>"T"&amp;Econ!B578&amp;" "&amp;Econ!A578</f>
        <v>T277 Pikeman</v>
      </c>
      <c r="C578" s="8">
        <f>Econ!B578</f>
        <v>277</v>
      </c>
      <c r="D578" s="7"/>
      <c r="E578" s="9"/>
      <c r="F578" s="9"/>
      <c r="G578" s="10">
        <f>Econ!L578</f>
        <v>198055</v>
      </c>
      <c r="H578" s="11">
        <f>Econ!M578</f>
        <v>16719</v>
      </c>
      <c r="I578" s="11">
        <f>Econ!N578</f>
        <v>4423</v>
      </c>
      <c r="J578" s="12">
        <f>Econ!O578</f>
        <v>8197</v>
      </c>
      <c r="K578" s="13">
        <f>Econ!P578</f>
        <v>49513.75</v>
      </c>
      <c r="L578" s="14">
        <f>Econ!Q578</f>
        <v>4179.75</v>
      </c>
      <c r="M578" s="14">
        <f>Econ!R578</f>
        <v>1105.75</v>
      </c>
      <c r="N578" s="13">
        <f>Econ!S578</f>
        <v>2049.25</v>
      </c>
      <c r="O578" s="13">
        <f>Econ!T578</f>
        <v>29</v>
      </c>
      <c r="P578" s="7" t="str">
        <f>Econ!A578</f>
        <v>Pikeman</v>
      </c>
      <c r="Q578" s="10">
        <f>Econ!C578</f>
        <v>211527968.3</v>
      </c>
      <c r="R578" s="10">
        <f>Econ!E578</f>
        <v>2363.999641</v>
      </c>
      <c r="S578" s="10">
        <f>Econ!G578</f>
        <v>31729195.24</v>
      </c>
      <c r="T578" s="10">
        <f>Econ!I578</f>
        <v>10637.99839</v>
      </c>
    </row>
    <row r="579">
      <c r="A579" s="7" t="str">
        <f>Econ!A579&amp;if(Econ!B579&lt;10,"_0"&amp;Econ!B579,"_"&amp;Econ!B579)</f>
        <v>Pikeman_278</v>
      </c>
      <c r="B579" s="7" t="str">
        <f>"T"&amp;Econ!B579&amp;" "&amp;Econ!A579</f>
        <v>T278 Pikeman</v>
      </c>
      <c r="C579" s="8">
        <f>Econ!B579</f>
        <v>278</v>
      </c>
      <c r="D579" s="7"/>
      <c r="E579" s="9"/>
      <c r="F579" s="9"/>
      <c r="G579" s="10">
        <f>Econ!L579</f>
        <v>199267</v>
      </c>
      <c r="H579" s="11">
        <f>Econ!M579</f>
        <v>16817</v>
      </c>
      <c r="I579" s="11">
        <f>Econ!N579</f>
        <v>4472</v>
      </c>
      <c r="J579" s="12">
        <f>Econ!O579</f>
        <v>8246</v>
      </c>
      <c r="K579" s="13">
        <f>Econ!P579</f>
        <v>49816.75</v>
      </c>
      <c r="L579" s="14">
        <f>Econ!Q579</f>
        <v>4204.25</v>
      </c>
      <c r="M579" s="14">
        <f>Econ!R579</f>
        <v>1118</v>
      </c>
      <c r="N579" s="13">
        <f>Econ!S579</f>
        <v>2061.5</v>
      </c>
      <c r="O579" s="13">
        <f>Econ!T579</f>
        <v>29</v>
      </c>
      <c r="P579" s="7" t="str">
        <f>Econ!A579</f>
        <v>Pikeman</v>
      </c>
      <c r="Q579" s="10">
        <f>Econ!C579</f>
        <v>222104366.7</v>
      </c>
      <c r="R579" s="10">
        <f>Econ!E579</f>
        <v>2411.279634</v>
      </c>
      <c r="S579" s="10">
        <f>Econ!G579</f>
        <v>33315655</v>
      </c>
      <c r="T579" s="10">
        <f>Econ!I579</f>
        <v>10850.75835</v>
      </c>
    </row>
    <row r="580">
      <c r="A580" s="7" t="str">
        <f>Econ!A580&amp;if(Econ!B580&lt;10,"_0"&amp;Econ!B580,"_"&amp;Econ!B580)</f>
        <v>Pikeman_279</v>
      </c>
      <c r="B580" s="7" t="str">
        <f>"T"&amp;Econ!B580&amp;" "&amp;Econ!A580</f>
        <v>T279 Pikeman</v>
      </c>
      <c r="C580" s="8">
        <f>Econ!B580</f>
        <v>279</v>
      </c>
      <c r="D580" s="7"/>
      <c r="E580" s="9"/>
      <c r="F580" s="9"/>
      <c r="G580" s="10">
        <f>Econ!L580</f>
        <v>200482</v>
      </c>
      <c r="H580" s="11">
        <f>Econ!M580</f>
        <v>16915</v>
      </c>
      <c r="I580" s="11">
        <f>Econ!N580</f>
        <v>4522</v>
      </c>
      <c r="J580" s="12">
        <f>Econ!O580</f>
        <v>8296</v>
      </c>
      <c r="K580" s="13">
        <f>Econ!P580</f>
        <v>50120.5</v>
      </c>
      <c r="L580" s="14">
        <f>Econ!Q580</f>
        <v>4228.75</v>
      </c>
      <c r="M580" s="14">
        <f>Econ!R580</f>
        <v>1130.5</v>
      </c>
      <c r="N580" s="13">
        <f>Econ!S580</f>
        <v>2074</v>
      </c>
      <c r="O580" s="13">
        <f>Econ!T580</f>
        <v>29</v>
      </c>
      <c r="P580" s="7" t="str">
        <f>Econ!A580</f>
        <v>Pikeman</v>
      </c>
      <c r="Q580" s="10">
        <f>Econ!C580</f>
        <v>233209585</v>
      </c>
      <c r="R580" s="10">
        <f>Econ!E580</f>
        <v>2459.505227</v>
      </c>
      <c r="S580" s="10">
        <f>Econ!G580</f>
        <v>34981437.75</v>
      </c>
      <c r="T580" s="10">
        <f>Econ!I580</f>
        <v>11067.77352</v>
      </c>
    </row>
    <row r="581">
      <c r="A581" s="7" t="str">
        <f>Econ!A581&amp;if(Econ!B581&lt;10,"_0"&amp;Econ!B581,"_"&amp;Econ!B581)</f>
        <v>Pikeman_280</v>
      </c>
      <c r="B581" s="7" t="str">
        <f>"T"&amp;Econ!B581&amp;" "&amp;Econ!A581</f>
        <v>T280 Pikeman</v>
      </c>
      <c r="C581" s="8">
        <f>Econ!B581</f>
        <v>280</v>
      </c>
      <c r="D581" s="7"/>
      <c r="E581" s="9"/>
      <c r="F581" s="9"/>
      <c r="G581" s="10">
        <f>Econ!L581</f>
        <v>201700</v>
      </c>
      <c r="H581" s="11">
        <f>Econ!M581</f>
        <v>17013</v>
      </c>
      <c r="I581" s="11">
        <f>Econ!N581</f>
        <v>4572</v>
      </c>
      <c r="J581" s="12">
        <f>Econ!O581</f>
        <v>8346</v>
      </c>
      <c r="K581" s="13">
        <f>Econ!P581</f>
        <v>50425</v>
      </c>
      <c r="L581" s="14">
        <f>Econ!Q581</f>
        <v>4253.25</v>
      </c>
      <c r="M581" s="14">
        <f>Econ!R581</f>
        <v>1143</v>
      </c>
      <c r="N581" s="13">
        <f>Econ!S581</f>
        <v>2086.5</v>
      </c>
      <c r="O581" s="13">
        <f>Econ!T581</f>
        <v>29</v>
      </c>
      <c r="P581" s="7" t="str">
        <f>Econ!A581</f>
        <v>Pikeman</v>
      </c>
      <c r="Q581" s="10">
        <f>Econ!C581</f>
        <v>244870064.3</v>
      </c>
      <c r="R581" s="10">
        <f>Econ!E581</f>
        <v>2508.695331</v>
      </c>
      <c r="S581" s="10">
        <f>Econ!G581</f>
        <v>36730509.64</v>
      </c>
      <c r="T581" s="10">
        <f>Econ!I581</f>
        <v>11289.12899</v>
      </c>
    </row>
    <row r="582">
      <c r="A582" s="7" t="str">
        <f>Econ!A582&amp;if(Econ!B582&lt;10,"_0"&amp;Econ!B582,"_"&amp;Econ!B582)</f>
        <v>Pikeman_281</v>
      </c>
      <c r="B582" s="7" t="str">
        <f>"T"&amp;Econ!B582&amp;" "&amp;Econ!A582</f>
        <v>T281 Pikeman</v>
      </c>
      <c r="C582" s="8">
        <f>Econ!B582</f>
        <v>281</v>
      </c>
      <c r="D582" s="7"/>
      <c r="E582" s="9"/>
      <c r="F582" s="9"/>
      <c r="G582" s="10">
        <f>Econ!L582</f>
        <v>202922</v>
      </c>
      <c r="H582" s="11">
        <f>Econ!M582</f>
        <v>17112</v>
      </c>
      <c r="I582" s="11">
        <f>Econ!N582</f>
        <v>4622</v>
      </c>
      <c r="J582" s="12">
        <f>Econ!O582</f>
        <v>8396</v>
      </c>
      <c r="K582" s="13">
        <f>Econ!P582</f>
        <v>50730.5</v>
      </c>
      <c r="L582" s="14">
        <f>Econ!Q582</f>
        <v>4278</v>
      </c>
      <c r="M582" s="14">
        <f>Econ!R582</f>
        <v>1155.5</v>
      </c>
      <c r="N582" s="13">
        <f>Econ!S582</f>
        <v>2099</v>
      </c>
      <c r="O582" s="13">
        <f>Econ!T582</f>
        <v>29</v>
      </c>
      <c r="P582" s="7" t="str">
        <f>Econ!A582</f>
        <v>Pikeman</v>
      </c>
      <c r="Q582" s="10">
        <f>Econ!C582</f>
        <v>257113567.5</v>
      </c>
      <c r="R582" s="10">
        <f>Econ!E582</f>
        <v>2558.869238</v>
      </c>
      <c r="S582" s="10">
        <f>Econ!G582</f>
        <v>38567035.12</v>
      </c>
      <c r="T582" s="10">
        <f>Econ!I582</f>
        <v>11514.91157</v>
      </c>
    </row>
    <row r="583">
      <c r="A583" s="7" t="str">
        <f>Econ!A583&amp;if(Econ!B583&lt;10,"_0"&amp;Econ!B583,"_"&amp;Econ!B583)</f>
        <v>Pikeman_282</v>
      </c>
      <c r="B583" s="7" t="str">
        <f>"T"&amp;Econ!B583&amp;" "&amp;Econ!A583</f>
        <v>T282 Pikeman</v>
      </c>
      <c r="C583" s="8">
        <f>Econ!B583</f>
        <v>282</v>
      </c>
      <c r="D583" s="7"/>
      <c r="E583" s="9"/>
      <c r="F583" s="9"/>
      <c r="G583" s="10">
        <f>Econ!L583</f>
        <v>204147</v>
      </c>
      <c r="H583" s="11">
        <f>Econ!M583</f>
        <v>17211</v>
      </c>
      <c r="I583" s="11">
        <f>Econ!N583</f>
        <v>4672</v>
      </c>
      <c r="J583" s="12">
        <f>Econ!O583</f>
        <v>8446</v>
      </c>
      <c r="K583" s="13">
        <f>Econ!P583</f>
        <v>51036.75</v>
      </c>
      <c r="L583" s="14">
        <f>Econ!Q583</f>
        <v>4302.75</v>
      </c>
      <c r="M583" s="14">
        <f>Econ!R583</f>
        <v>1168</v>
      </c>
      <c r="N583" s="13">
        <f>Econ!S583</f>
        <v>2111.5</v>
      </c>
      <c r="O583" s="13">
        <f>Econ!T583</f>
        <v>29</v>
      </c>
      <c r="P583" s="7" t="str">
        <f>Econ!A583</f>
        <v>Pikeman</v>
      </c>
      <c r="Q583" s="10">
        <f>Econ!C583</f>
        <v>269969245.9</v>
      </c>
      <c r="R583" s="10">
        <f>Econ!E583</f>
        <v>2610.046623</v>
      </c>
      <c r="S583" s="10">
        <f>Econ!G583</f>
        <v>40495386.88</v>
      </c>
      <c r="T583" s="10">
        <f>Econ!I583</f>
        <v>11745.2098</v>
      </c>
    </row>
    <row r="584">
      <c r="A584" s="7" t="str">
        <f>Econ!A584&amp;if(Econ!B584&lt;10,"_0"&amp;Econ!B584,"_"&amp;Econ!B584)</f>
        <v>Pikeman_283</v>
      </c>
      <c r="B584" s="7" t="str">
        <f>"T"&amp;Econ!B584&amp;" "&amp;Econ!A584</f>
        <v>T283 Pikeman</v>
      </c>
      <c r="C584" s="8">
        <f>Econ!B584</f>
        <v>283</v>
      </c>
      <c r="D584" s="7"/>
      <c r="E584" s="9"/>
      <c r="F584" s="9"/>
      <c r="G584" s="10">
        <f>Econ!L584</f>
        <v>205375</v>
      </c>
      <c r="H584" s="11">
        <f>Econ!M584</f>
        <v>17310</v>
      </c>
      <c r="I584" s="11">
        <f>Econ!N584</f>
        <v>4722</v>
      </c>
      <c r="J584" s="12">
        <f>Econ!O584</f>
        <v>8496</v>
      </c>
      <c r="K584" s="13">
        <f>Econ!P584</f>
        <v>51343.75</v>
      </c>
      <c r="L584" s="14">
        <f>Econ!Q584</f>
        <v>4327.5</v>
      </c>
      <c r="M584" s="14">
        <f>Econ!R584</f>
        <v>1180.5</v>
      </c>
      <c r="N584" s="13">
        <f>Econ!S584</f>
        <v>2124</v>
      </c>
      <c r="O584" s="13">
        <f>Econ!T584</f>
        <v>29</v>
      </c>
      <c r="P584" s="7" t="str">
        <f>Econ!A584</f>
        <v>Pikeman</v>
      </c>
      <c r="Q584" s="10">
        <f>Econ!C584</f>
        <v>283467708.2</v>
      </c>
      <c r="R584" s="10">
        <f>Econ!E584</f>
        <v>2662.247555</v>
      </c>
      <c r="S584" s="10">
        <f>Econ!G584</f>
        <v>42520156.22</v>
      </c>
      <c r="T584" s="10">
        <f>Econ!I584</f>
        <v>11980.114</v>
      </c>
    </row>
    <row r="585">
      <c r="A585" s="7" t="str">
        <f>Econ!A585&amp;if(Econ!B585&lt;10,"_0"&amp;Econ!B585,"_"&amp;Econ!B585)</f>
        <v>Pikeman_284</v>
      </c>
      <c r="B585" s="7" t="str">
        <f>"T"&amp;Econ!B585&amp;" "&amp;Econ!A585</f>
        <v>T284 Pikeman</v>
      </c>
      <c r="C585" s="8">
        <f>Econ!B585</f>
        <v>284</v>
      </c>
      <c r="D585" s="7"/>
      <c r="E585" s="9"/>
      <c r="F585" s="9"/>
      <c r="G585" s="10">
        <f>Econ!L585</f>
        <v>206606</v>
      </c>
      <c r="H585" s="11">
        <f>Econ!M585</f>
        <v>17409</v>
      </c>
      <c r="I585" s="11">
        <f>Econ!N585</f>
        <v>4772</v>
      </c>
      <c r="J585" s="12">
        <f>Econ!O585</f>
        <v>8546</v>
      </c>
      <c r="K585" s="13">
        <f>Econ!P585</f>
        <v>51651.5</v>
      </c>
      <c r="L585" s="14">
        <f>Econ!Q585</f>
        <v>4352.25</v>
      </c>
      <c r="M585" s="14">
        <f>Econ!R585</f>
        <v>1193</v>
      </c>
      <c r="N585" s="13">
        <f>Econ!S585</f>
        <v>2136.5</v>
      </c>
      <c r="O585" s="13">
        <f>Econ!T585</f>
        <v>29</v>
      </c>
      <c r="P585" s="7" t="str">
        <f>Econ!A585</f>
        <v>Pikeman</v>
      </c>
      <c r="Q585" s="10">
        <f>Econ!C585</f>
        <v>297641093.6</v>
      </c>
      <c r="R585" s="10">
        <f>Econ!E585</f>
        <v>2715.492506</v>
      </c>
      <c r="S585" s="10">
        <f>Econ!G585</f>
        <v>44646164.03</v>
      </c>
      <c r="T585" s="10">
        <f>Econ!I585</f>
        <v>12219.71628</v>
      </c>
    </row>
    <row r="586">
      <c r="A586" s="7" t="str">
        <f>Econ!A586&amp;if(Econ!B586&lt;10,"_0"&amp;Econ!B586,"_"&amp;Econ!B586)</f>
        <v>Pikeman_285</v>
      </c>
      <c r="B586" s="7" t="str">
        <f>"T"&amp;Econ!B586&amp;" "&amp;Econ!A586</f>
        <v>T285 Pikeman</v>
      </c>
      <c r="C586" s="8">
        <f>Econ!B586</f>
        <v>285</v>
      </c>
      <c r="D586" s="7"/>
      <c r="E586" s="9"/>
      <c r="F586" s="9"/>
      <c r="G586" s="10">
        <f>Econ!L586</f>
        <v>207840</v>
      </c>
      <c r="H586" s="11">
        <f>Econ!M586</f>
        <v>17509</v>
      </c>
      <c r="I586" s="11">
        <f>Econ!N586</f>
        <v>4822</v>
      </c>
      <c r="J586" s="12">
        <f>Econ!O586</f>
        <v>8596</v>
      </c>
      <c r="K586" s="13">
        <f>Econ!P586</f>
        <v>51960</v>
      </c>
      <c r="L586" s="14">
        <f>Econ!Q586</f>
        <v>4377.25</v>
      </c>
      <c r="M586" s="14">
        <f>Econ!R586</f>
        <v>1205.5</v>
      </c>
      <c r="N586" s="13">
        <f>Econ!S586</f>
        <v>2149</v>
      </c>
      <c r="O586" s="13">
        <f>Econ!T586</f>
        <v>30</v>
      </c>
      <c r="P586" s="7" t="str">
        <f>Econ!A586</f>
        <v>Pikeman</v>
      </c>
      <c r="Q586" s="10">
        <f>Econ!C586</f>
        <v>312523148.2</v>
      </c>
      <c r="R586" s="10">
        <f>Econ!E586</f>
        <v>2769.802356</v>
      </c>
      <c r="S586" s="10">
        <f>Econ!G586</f>
        <v>46878472.24</v>
      </c>
      <c r="T586" s="10">
        <f>Econ!I586</f>
        <v>12464.1106</v>
      </c>
    </row>
    <row r="587">
      <c r="A587" s="7" t="str">
        <f>Econ!A587&amp;if(Econ!B587&lt;10,"_0"&amp;Econ!B587,"_"&amp;Econ!B587)</f>
        <v>Pikeman_286</v>
      </c>
      <c r="B587" s="7" t="str">
        <f>"T"&amp;Econ!B587&amp;" "&amp;Econ!A587</f>
        <v>T286 Pikeman</v>
      </c>
      <c r="C587" s="8">
        <f>Econ!B587</f>
        <v>286</v>
      </c>
      <c r="D587" s="7"/>
      <c r="E587" s="9"/>
      <c r="F587" s="9"/>
      <c r="G587" s="10">
        <f>Econ!L587</f>
        <v>209077</v>
      </c>
      <c r="H587" s="11">
        <f>Econ!M587</f>
        <v>17609</v>
      </c>
      <c r="I587" s="11">
        <f>Econ!N587</f>
        <v>4872</v>
      </c>
      <c r="J587" s="12">
        <f>Econ!O587</f>
        <v>8646</v>
      </c>
      <c r="K587" s="13">
        <f>Econ!P587</f>
        <v>52269.25</v>
      </c>
      <c r="L587" s="14">
        <f>Econ!Q587</f>
        <v>4402.25</v>
      </c>
      <c r="M587" s="14">
        <f>Econ!R587</f>
        <v>1218</v>
      </c>
      <c r="N587" s="13">
        <f>Econ!S587</f>
        <v>2161.5</v>
      </c>
      <c r="O587" s="13">
        <f>Econ!T587</f>
        <v>30</v>
      </c>
      <c r="P587" s="7" t="str">
        <f>Econ!A587</f>
        <v>Pikeman</v>
      </c>
      <c r="Q587" s="10">
        <f>Econ!C587</f>
        <v>328149305.7</v>
      </c>
      <c r="R587" s="10">
        <f>Econ!E587</f>
        <v>2825.198403</v>
      </c>
      <c r="S587" s="10">
        <f>Econ!G587</f>
        <v>49222395.85</v>
      </c>
      <c r="T587" s="10">
        <f>Econ!I587</f>
        <v>12713.39282</v>
      </c>
    </row>
    <row r="588">
      <c r="A588" s="7" t="str">
        <f>Econ!A588&amp;if(Econ!B588&lt;10,"_0"&amp;Econ!B588,"_"&amp;Econ!B588)</f>
        <v>Pikeman_287</v>
      </c>
      <c r="B588" s="7" t="str">
        <f>"T"&amp;Econ!B588&amp;" "&amp;Econ!A588</f>
        <v>T287 Pikeman</v>
      </c>
      <c r="C588" s="8">
        <f>Econ!B588</f>
        <v>287</v>
      </c>
      <c r="D588" s="7"/>
      <c r="E588" s="9"/>
      <c r="F588" s="9"/>
      <c r="G588" s="10">
        <f>Econ!L588</f>
        <v>210317</v>
      </c>
      <c r="H588" s="11">
        <f>Econ!M588</f>
        <v>17709</v>
      </c>
      <c r="I588" s="11">
        <f>Econ!N588</f>
        <v>4923</v>
      </c>
      <c r="J588" s="12">
        <f>Econ!O588</f>
        <v>8697</v>
      </c>
      <c r="K588" s="13">
        <f>Econ!P588</f>
        <v>52579.25</v>
      </c>
      <c r="L588" s="14">
        <f>Econ!Q588</f>
        <v>4427.25</v>
      </c>
      <c r="M588" s="14">
        <f>Econ!R588</f>
        <v>1230.75</v>
      </c>
      <c r="N588" s="13">
        <f>Econ!S588</f>
        <v>2174.25</v>
      </c>
      <c r="O588" s="13">
        <f>Econ!T588</f>
        <v>30</v>
      </c>
      <c r="P588" s="7" t="str">
        <f>Econ!A588</f>
        <v>Pikeman</v>
      </c>
      <c r="Q588" s="10">
        <f>Econ!C588</f>
        <v>344556770.9</v>
      </c>
      <c r="R588" s="10">
        <f>Econ!E588</f>
        <v>2881.702371</v>
      </c>
      <c r="S588" s="10">
        <f>Econ!G588</f>
        <v>51683515.64</v>
      </c>
      <c r="T588" s="10">
        <f>Econ!I588</f>
        <v>12967.66067</v>
      </c>
    </row>
    <row r="589">
      <c r="A589" s="7" t="str">
        <f>Econ!A589&amp;if(Econ!B589&lt;10,"_0"&amp;Econ!B589,"_"&amp;Econ!B589)</f>
        <v>Pikeman_288</v>
      </c>
      <c r="B589" s="7" t="str">
        <f>"T"&amp;Econ!B589&amp;" "&amp;Econ!A589</f>
        <v>T288 Pikeman</v>
      </c>
      <c r="C589" s="8">
        <f>Econ!B589</f>
        <v>288</v>
      </c>
      <c r="D589" s="7"/>
      <c r="E589" s="9"/>
      <c r="F589" s="9"/>
      <c r="G589" s="10">
        <f>Econ!L589</f>
        <v>211560</v>
      </c>
      <c r="H589" s="11">
        <f>Econ!M589</f>
        <v>17809</v>
      </c>
      <c r="I589" s="11">
        <f>Econ!N589</f>
        <v>4974</v>
      </c>
      <c r="J589" s="12">
        <f>Econ!O589</f>
        <v>8748</v>
      </c>
      <c r="K589" s="13">
        <f>Econ!P589</f>
        <v>52890</v>
      </c>
      <c r="L589" s="14">
        <f>Econ!Q589</f>
        <v>4452.25</v>
      </c>
      <c r="M589" s="14">
        <f>Econ!R589</f>
        <v>1243.5</v>
      </c>
      <c r="N589" s="13">
        <f>Econ!S589</f>
        <v>2187</v>
      </c>
      <c r="O589" s="13">
        <f>Econ!T589</f>
        <v>30</v>
      </c>
      <c r="P589" s="7" t="str">
        <f>Econ!A589</f>
        <v>Pikeman</v>
      </c>
      <c r="Q589" s="10">
        <f>Econ!C589</f>
        <v>361784609.5</v>
      </c>
      <c r="R589" s="10">
        <f>Econ!E589</f>
        <v>2939.336419</v>
      </c>
      <c r="S589" s="10">
        <f>Econ!G589</f>
        <v>54267691.42</v>
      </c>
      <c r="T589" s="10">
        <f>Econ!I589</f>
        <v>13227.01389</v>
      </c>
    </row>
    <row r="590">
      <c r="A590" s="7" t="str">
        <f>Econ!A590&amp;if(Econ!B590&lt;10,"_0"&amp;Econ!B590,"_"&amp;Econ!B590)</f>
        <v>Pikeman_289</v>
      </c>
      <c r="B590" s="7" t="str">
        <f>"T"&amp;Econ!B590&amp;" "&amp;Econ!A590</f>
        <v>T289 Pikeman</v>
      </c>
      <c r="C590" s="8">
        <f>Econ!B590</f>
        <v>289</v>
      </c>
      <c r="D590" s="7"/>
      <c r="E590" s="9"/>
      <c r="F590" s="9"/>
      <c r="G590" s="10">
        <f>Econ!L590</f>
        <v>212806</v>
      </c>
      <c r="H590" s="11">
        <f>Econ!M590</f>
        <v>17910</v>
      </c>
      <c r="I590" s="11">
        <f>Econ!N590</f>
        <v>5025</v>
      </c>
      <c r="J590" s="12">
        <f>Econ!O590</f>
        <v>8799</v>
      </c>
      <c r="K590" s="13">
        <f>Econ!P590</f>
        <v>53201.5</v>
      </c>
      <c r="L590" s="14">
        <f>Econ!Q590</f>
        <v>4477.5</v>
      </c>
      <c r="M590" s="14">
        <f>Econ!R590</f>
        <v>1256.25</v>
      </c>
      <c r="N590" s="13">
        <f>Econ!S590</f>
        <v>2199.75</v>
      </c>
      <c r="O590" s="13">
        <f>Econ!T590</f>
        <v>30</v>
      </c>
      <c r="P590" s="7" t="str">
        <f>Econ!A590</f>
        <v>Pikeman</v>
      </c>
      <c r="Q590" s="10">
        <f>Econ!C590</f>
        <v>379873840</v>
      </c>
      <c r="R590" s="10">
        <f>Econ!E590</f>
        <v>2998.123147</v>
      </c>
      <c r="S590" s="10">
        <f>Econ!G590</f>
        <v>56981075.99</v>
      </c>
      <c r="T590" s="10">
        <f>Econ!I590</f>
        <v>13491.55416</v>
      </c>
    </row>
    <row r="591">
      <c r="A591" s="7" t="str">
        <f>Econ!A591&amp;if(Econ!B591&lt;10,"_0"&amp;Econ!B591,"_"&amp;Econ!B591)</f>
        <v>Pikeman_290</v>
      </c>
      <c r="B591" s="7" t="str">
        <f>"T"&amp;Econ!B591&amp;" "&amp;Econ!A591</f>
        <v>T290 Pikeman</v>
      </c>
      <c r="C591" s="8">
        <f>Econ!B591</f>
        <v>290</v>
      </c>
      <c r="D591" s="7"/>
      <c r="E591" s="9"/>
      <c r="F591" s="9"/>
      <c r="G591" s="10">
        <f>Econ!L591</f>
        <v>214055</v>
      </c>
      <c r="H591" s="11">
        <f>Econ!M591</f>
        <v>18011</v>
      </c>
      <c r="I591" s="11">
        <f>Econ!N591</f>
        <v>5076</v>
      </c>
      <c r="J591" s="12">
        <f>Econ!O591</f>
        <v>8850</v>
      </c>
      <c r="K591" s="13">
        <f>Econ!P591</f>
        <v>53513.75</v>
      </c>
      <c r="L591" s="14">
        <f>Econ!Q591</f>
        <v>4502.75</v>
      </c>
      <c r="M591" s="14">
        <f>Econ!R591</f>
        <v>1269</v>
      </c>
      <c r="N591" s="13">
        <f>Econ!S591</f>
        <v>2212.5</v>
      </c>
      <c r="O591" s="13">
        <f>Econ!T591</f>
        <v>30</v>
      </c>
      <c r="P591" s="7" t="str">
        <f>Econ!A591</f>
        <v>Pikeman</v>
      </c>
      <c r="Q591" s="10">
        <f>Econ!C591</f>
        <v>398867532</v>
      </c>
      <c r="R591" s="10">
        <f>Econ!E591</f>
        <v>3058.08561</v>
      </c>
      <c r="S591" s="10">
        <f>Econ!G591</f>
        <v>59830129.79</v>
      </c>
      <c r="T591" s="10">
        <f>Econ!I591</f>
        <v>13761.38525</v>
      </c>
    </row>
    <row r="592">
      <c r="A592" s="7" t="str">
        <f>Econ!A592&amp;if(Econ!B592&lt;10,"_0"&amp;Econ!B592,"_"&amp;Econ!B592)</f>
        <v>Pikeman_291</v>
      </c>
      <c r="B592" s="7" t="str">
        <f>"T"&amp;Econ!B592&amp;" "&amp;Econ!A592</f>
        <v>T291 Pikeman</v>
      </c>
      <c r="C592" s="8">
        <f>Econ!B592</f>
        <v>291</v>
      </c>
      <c r="D592" s="7"/>
      <c r="E592" s="9"/>
      <c r="F592" s="9"/>
      <c r="G592" s="10">
        <f>Econ!L592</f>
        <v>215307</v>
      </c>
      <c r="H592" s="11">
        <f>Econ!M592</f>
        <v>18112</v>
      </c>
      <c r="I592" s="11">
        <f>Econ!N592</f>
        <v>5127</v>
      </c>
      <c r="J592" s="12">
        <f>Econ!O592</f>
        <v>8901</v>
      </c>
      <c r="K592" s="13">
        <f>Econ!P592</f>
        <v>53826.75</v>
      </c>
      <c r="L592" s="14">
        <f>Econ!Q592</f>
        <v>4528</v>
      </c>
      <c r="M592" s="14">
        <f>Econ!R592</f>
        <v>1281.75</v>
      </c>
      <c r="N592" s="13">
        <f>Econ!S592</f>
        <v>2225.25</v>
      </c>
      <c r="O592" s="13">
        <f>Econ!T592</f>
        <v>30</v>
      </c>
      <c r="P592" s="7" t="str">
        <f>Econ!A592</f>
        <v>Pikeman</v>
      </c>
      <c r="Q592" s="10">
        <f>Econ!C592</f>
        <v>418810908.6</v>
      </c>
      <c r="R592" s="10">
        <f>Econ!E592</f>
        <v>3119.247322</v>
      </c>
      <c r="S592" s="10">
        <f>Econ!G592</f>
        <v>62821636.28</v>
      </c>
      <c r="T592" s="10">
        <f>Econ!I592</f>
        <v>14036.61295</v>
      </c>
    </row>
    <row r="593">
      <c r="A593" s="7" t="str">
        <f>Econ!A593&amp;if(Econ!B593&lt;10,"_0"&amp;Econ!B593,"_"&amp;Econ!B593)</f>
        <v>Pikeman_292</v>
      </c>
      <c r="B593" s="7" t="str">
        <f>"T"&amp;Econ!B593&amp;" "&amp;Econ!A593</f>
        <v>T292 Pikeman</v>
      </c>
      <c r="C593" s="8">
        <f>Econ!B593</f>
        <v>292</v>
      </c>
      <c r="D593" s="7"/>
      <c r="E593" s="9"/>
      <c r="F593" s="9"/>
      <c r="G593" s="10">
        <f>Econ!L593</f>
        <v>216562</v>
      </c>
      <c r="H593" s="11">
        <f>Econ!M593</f>
        <v>18213</v>
      </c>
      <c r="I593" s="11">
        <f>Econ!N593</f>
        <v>5178</v>
      </c>
      <c r="J593" s="12">
        <f>Econ!O593</f>
        <v>8952</v>
      </c>
      <c r="K593" s="13">
        <f>Econ!P593</f>
        <v>54140.5</v>
      </c>
      <c r="L593" s="14">
        <f>Econ!Q593</f>
        <v>4553.25</v>
      </c>
      <c r="M593" s="14">
        <f>Econ!R593</f>
        <v>1294.5</v>
      </c>
      <c r="N593" s="13">
        <f>Econ!S593</f>
        <v>2238</v>
      </c>
      <c r="O593" s="13">
        <f>Econ!T593</f>
        <v>30</v>
      </c>
      <c r="P593" s="7" t="str">
        <f>Econ!A593</f>
        <v>Pikeman</v>
      </c>
      <c r="Q593" s="10">
        <f>Econ!C593</f>
        <v>439751454</v>
      </c>
      <c r="R593" s="10">
        <f>Econ!E593</f>
        <v>3181.632269</v>
      </c>
      <c r="S593" s="10">
        <f>Econ!G593</f>
        <v>65962718.1</v>
      </c>
      <c r="T593" s="10">
        <f>Econ!I593</f>
        <v>14317.34521</v>
      </c>
    </row>
    <row r="594">
      <c r="A594" s="7" t="str">
        <f>Econ!A594&amp;if(Econ!B594&lt;10,"_0"&amp;Econ!B594,"_"&amp;Econ!B594)</f>
        <v>Pikeman_293</v>
      </c>
      <c r="B594" s="7" t="str">
        <f>"T"&amp;Econ!B594&amp;" "&amp;Econ!A594</f>
        <v>T293 Pikeman</v>
      </c>
      <c r="C594" s="8">
        <f>Econ!B594</f>
        <v>293</v>
      </c>
      <c r="D594" s="7"/>
      <c r="E594" s="9"/>
      <c r="F594" s="9"/>
      <c r="G594" s="10">
        <f>Econ!L594</f>
        <v>217820</v>
      </c>
      <c r="H594" s="11">
        <f>Econ!M594</f>
        <v>18315</v>
      </c>
      <c r="I594" s="11">
        <f>Econ!N594</f>
        <v>5229</v>
      </c>
      <c r="J594" s="12">
        <f>Econ!O594</f>
        <v>9003</v>
      </c>
      <c r="K594" s="13">
        <f>Econ!P594</f>
        <v>54455</v>
      </c>
      <c r="L594" s="14">
        <f>Econ!Q594</f>
        <v>4578.75</v>
      </c>
      <c r="M594" s="14">
        <f>Econ!R594</f>
        <v>1307.25</v>
      </c>
      <c r="N594" s="13">
        <f>Econ!S594</f>
        <v>2250.75</v>
      </c>
      <c r="O594" s="13">
        <f>Econ!T594</f>
        <v>30</v>
      </c>
      <c r="P594" s="7" t="str">
        <f>Econ!A594</f>
        <v>Pikeman</v>
      </c>
      <c r="Q594" s="10">
        <f>Econ!C594</f>
        <v>461739026.7</v>
      </c>
      <c r="R594" s="10">
        <f>Econ!E594</f>
        <v>3245.264914</v>
      </c>
      <c r="S594" s="10">
        <f>Econ!G594</f>
        <v>69260854</v>
      </c>
      <c r="T594" s="10">
        <f>Econ!I594</f>
        <v>14603.69211</v>
      </c>
    </row>
    <row r="595">
      <c r="A595" s="7" t="str">
        <f>Econ!A595&amp;if(Econ!B595&lt;10,"_0"&amp;Econ!B595,"_"&amp;Econ!B595)</f>
        <v>Pikeman_294</v>
      </c>
      <c r="B595" s="7" t="str">
        <f>"T"&amp;Econ!B595&amp;" "&amp;Econ!A595</f>
        <v>T294 Pikeman</v>
      </c>
      <c r="C595" s="8">
        <f>Econ!B595</f>
        <v>294</v>
      </c>
      <c r="D595" s="7"/>
      <c r="E595" s="9"/>
      <c r="F595" s="9"/>
      <c r="G595" s="10">
        <f>Econ!L595</f>
        <v>219081</v>
      </c>
      <c r="H595" s="11">
        <f>Econ!M595</f>
        <v>18417</v>
      </c>
      <c r="I595" s="11">
        <f>Econ!N595</f>
        <v>5280</v>
      </c>
      <c r="J595" s="12">
        <f>Econ!O595</f>
        <v>9054</v>
      </c>
      <c r="K595" s="13">
        <f>Econ!P595</f>
        <v>54770.25</v>
      </c>
      <c r="L595" s="14">
        <f>Econ!Q595</f>
        <v>4604.25</v>
      </c>
      <c r="M595" s="14">
        <f>Econ!R595</f>
        <v>1320</v>
      </c>
      <c r="N595" s="13">
        <f>Econ!S595</f>
        <v>2263.5</v>
      </c>
      <c r="O595" s="13">
        <f>Econ!T595</f>
        <v>30</v>
      </c>
      <c r="P595" s="7" t="str">
        <f>Econ!A595</f>
        <v>Pikeman</v>
      </c>
      <c r="Q595" s="10">
        <f>Econ!C595</f>
        <v>484825978</v>
      </c>
      <c r="R595" s="10">
        <f>Econ!E595</f>
        <v>3310.170213</v>
      </c>
      <c r="S595" s="10">
        <f>Econ!G595</f>
        <v>72723896.7</v>
      </c>
      <c r="T595" s="10">
        <f>Econ!I595</f>
        <v>14895.76596</v>
      </c>
    </row>
    <row r="596">
      <c r="A596" s="7" t="str">
        <f>Econ!A596&amp;if(Econ!B596&lt;10,"_0"&amp;Econ!B596,"_"&amp;Econ!B596)</f>
        <v>Pikeman_295</v>
      </c>
      <c r="B596" s="7" t="str">
        <f>"T"&amp;Econ!B596&amp;" "&amp;Econ!A596</f>
        <v>T295 Pikeman</v>
      </c>
      <c r="C596" s="8">
        <f>Econ!B596</f>
        <v>295</v>
      </c>
      <c r="D596" s="7"/>
      <c r="E596" s="9"/>
      <c r="F596" s="9"/>
      <c r="G596" s="10">
        <f>Econ!L596</f>
        <v>220345</v>
      </c>
      <c r="H596" s="11">
        <f>Econ!M596</f>
        <v>18519</v>
      </c>
      <c r="I596" s="11">
        <f>Econ!N596</f>
        <v>5332</v>
      </c>
      <c r="J596" s="12">
        <f>Econ!O596</f>
        <v>9106</v>
      </c>
      <c r="K596" s="13">
        <f>Econ!P596</f>
        <v>55086.25</v>
      </c>
      <c r="L596" s="14">
        <f>Econ!Q596</f>
        <v>4629.75</v>
      </c>
      <c r="M596" s="14">
        <f>Econ!R596</f>
        <v>1333</v>
      </c>
      <c r="N596" s="13">
        <f>Econ!S596</f>
        <v>2276.5</v>
      </c>
      <c r="O596" s="13">
        <f>Econ!T596</f>
        <v>31</v>
      </c>
      <c r="P596" s="7" t="str">
        <f>Econ!A596</f>
        <v>Pikeman</v>
      </c>
      <c r="Q596" s="10">
        <f>Econ!C596</f>
        <v>509067276.9</v>
      </c>
      <c r="R596" s="10">
        <f>Econ!E596</f>
        <v>3376.373617</v>
      </c>
      <c r="S596" s="10">
        <f>Econ!G596</f>
        <v>76360091.54</v>
      </c>
      <c r="T596" s="10">
        <f>Econ!I596</f>
        <v>15193.68128</v>
      </c>
    </row>
    <row r="597">
      <c r="A597" s="7" t="str">
        <f>Econ!A597&amp;if(Econ!B597&lt;10,"_0"&amp;Econ!B597,"_"&amp;Econ!B597)</f>
        <v>Pikeman_296</v>
      </c>
      <c r="B597" s="7" t="str">
        <f>"T"&amp;Econ!B597&amp;" "&amp;Econ!A597</f>
        <v>T296 Pikeman</v>
      </c>
      <c r="C597" s="8">
        <f>Econ!B597</f>
        <v>296</v>
      </c>
      <c r="D597" s="7"/>
      <c r="E597" s="9"/>
      <c r="F597" s="9"/>
      <c r="G597" s="10">
        <f>Econ!L597</f>
        <v>221612</v>
      </c>
      <c r="H597" s="11">
        <f>Econ!M597</f>
        <v>18621</v>
      </c>
      <c r="I597" s="11">
        <f>Econ!N597</f>
        <v>5384</v>
      </c>
      <c r="J597" s="12">
        <f>Econ!O597</f>
        <v>9158</v>
      </c>
      <c r="K597" s="13">
        <f>Econ!P597</f>
        <v>55403</v>
      </c>
      <c r="L597" s="14">
        <f>Econ!Q597</f>
        <v>4655.25</v>
      </c>
      <c r="M597" s="14">
        <f>Econ!R597</f>
        <v>1346</v>
      </c>
      <c r="N597" s="13">
        <f>Econ!S597</f>
        <v>2289.5</v>
      </c>
      <c r="O597" s="13">
        <f>Econ!T597</f>
        <v>31</v>
      </c>
      <c r="P597" s="7" t="str">
        <f>Econ!A597</f>
        <v>Pikeman</v>
      </c>
      <c r="Q597" s="10">
        <f>Econ!C597</f>
        <v>534520640.8</v>
      </c>
      <c r="R597" s="10">
        <f>Econ!E597</f>
        <v>3443.901089</v>
      </c>
      <c r="S597" s="10">
        <f>Econ!G597</f>
        <v>80178096.11</v>
      </c>
      <c r="T597" s="10">
        <f>Econ!I597</f>
        <v>15497.5549</v>
      </c>
    </row>
    <row r="598">
      <c r="A598" s="7" t="str">
        <f>Econ!A598&amp;if(Econ!B598&lt;10,"_0"&amp;Econ!B598,"_"&amp;Econ!B598)</f>
        <v>Pikeman_297</v>
      </c>
      <c r="B598" s="7" t="str">
        <f>"T"&amp;Econ!B598&amp;" "&amp;Econ!A598</f>
        <v>T297 Pikeman</v>
      </c>
      <c r="C598" s="8">
        <f>Econ!B598</f>
        <v>297</v>
      </c>
      <c r="D598" s="7"/>
      <c r="E598" s="9"/>
      <c r="F598" s="9"/>
      <c r="G598" s="10">
        <f>Econ!L598</f>
        <v>222882</v>
      </c>
      <c r="H598" s="11">
        <f>Econ!M598</f>
        <v>18724</v>
      </c>
      <c r="I598" s="11">
        <f>Econ!N598</f>
        <v>5436</v>
      </c>
      <c r="J598" s="12">
        <f>Econ!O598</f>
        <v>9210</v>
      </c>
      <c r="K598" s="13">
        <f>Econ!P598</f>
        <v>55720.5</v>
      </c>
      <c r="L598" s="14">
        <f>Econ!Q598</f>
        <v>4681</v>
      </c>
      <c r="M598" s="14">
        <f>Econ!R598</f>
        <v>1359</v>
      </c>
      <c r="N598" s="13">
        <f>Econ!S598</f>
        <v>2302.5</v>
      </c>
      <c r="O598" s="13">
        <f>Econ!T598</f>
        <v>31</v>
      </c>
      <c r="P598" s="7" t="str">
        <f>Econ!A598</f>
        <v>Pikeman</v>
      </c>
      <c r="Q598" s="10">
        <f>Econ!C598</f>
        <v>561246672.8</v>
      </c>
      <c r="R598" s="10">
        <f>Econ!E598</f>
        <v>3512.779111</v>
      </c>
      <c r="S598" s="10">
        <f>Econ!G598</f>
        <v>84187000.92</v>
      </c>
      <c r="T598" s="10">
        <f>Econ!I598</f>
        <v>15807.506</v>
      </c>
    </row>
    <row r="599">
      <c r="A599" s="7" t="str">
        <f>Econ!A599&amp;if(Econ!B599&lt;10,"_0"&amp;Econ!B599,"_"&amp;Econ!B599)</f>
        <v>Pikeman_298</v>
      </c>
      <c r="B599" s="7" t="str">
        <f>"T"&amp;Econ!B599&amp;" "&amp;Econ!A599</f>
        <v>T298 Pikeman</v>
      </c>
      <c r="C599" s="8">
        <f>Econ!B599</f>
        <v>298</v>
      </c>
      <c r="D599" s="7"/>
      <c r="E599" s="9"/>
      <c r="F599" s="9"/>
      <c r="G599" s="10">
        <f>Econ!L599</f>
        <v>224155</v>
      </c>
      <c r="H599" s="11">
        <f>Econ!M599</f>
        <v>18827</v>
      </c>
      <c r="I599" s="11">
        <f>Econ!N599</f>
        <v>5488</v>
      </c>
      <c r="J599" s="12">
        <f>Econ!O599</f>
        <v>9262</v>
      </c>
      <c r="K599" s="13">
        <f>Econ!P599</f>
        <v>56038.75</v>
      </c>
      <c r="L599" s="14">
        <f>Econ!Q599</f>
        <v>4706.75</v>
      </c>
      <c r="M599" s="14">
        <f>Econ!R599</f>
        <v>1372</v>
      </c>
      <c r="N599" s="13">
        <f>Econ!S599</f>
        <v>2315.5</v>
      </c>
      <c r="O599" s="13">
        <f>Econ!T599</f>
        <v>31</v>
      </c>
      <c r="P599" s="7" t="str">
        <f>Econ!A599</f>
        <v>Pikeman</v>
      </c>
      <c r="Q599" s="10">
        <f>Econ!C599</f>
        <v>589309006.4</v>
      </c>
      <c r="R599" s="10">
        <f>Econ!E599</f>
        <v>3583.034693</v>
      </c>
      <c r="S599" s="10">
        <f>Econ!G599</f>
        <v>88396350.97</v>
      </c>
      <c r="T599" s="10">
        <f>Econ!I599</f>
        <v>16123.65612</v>
      </c>
    </row>
    <row r="600">
      <c r="A600" s="7" t="str">
        <f>Econ!A600&amp;if(Econ!B600&lt;10,"_0"&amp;Econ!B600,"_"&amp;Econ!B600)</f>
        <v>Pikeman_299</v>
      </c>
      <c r="B600" s="7" t="str">
        <f>"T"&amp;Econ!B600&amp;" "&amp;Econ!A600</f>
        <v>T299 Pikeman</v>
      </c>
      <c r="C600" s="8">
        <f>Econ!B600</f>
        <v>299</v>
      </c>
      <c r="D600" s="7"/>
      <c r="E600" s="9"/>
      <c r="F600" s="9"/>
      <c r="G600" s="10">
        <f>Econ!L600</f>
        <v>225431</v>
      </c>
      <c r="H600" s="11">
        <f>Econ!M600</f>
        <v>18930</v>
      </c>
      <c r="I600" s="11">
        <f>Econ!N600</f>
        <v>5540</v>
      </c>
      <c r="J600" s="12">
        <f>Econ!O600</f>
        <v>9314</v>
      </c>
      <c r="K600" s="13">
        <f>Econ!P600</f>
        <v>56357.75</v>
      </c>
      <c r="L600" s="14">
        <f>Econ!Q600</f>
        <v>4732.5</v>
      </c>
      <c r="M600" s="14">
        <f>Econ!R600</f>
        <v>1385</v>
      </c>
      <c r="N600" s="13">
        <f>Econ!S600</f>
        <v>2328.5</v>
      </c>
      <c r="O600" s="13">
        <f>Econ!T600</f>
        <v>31</v>
      </c>
      <c r="P600" s="7" t="str">
        <f>Econ!A600</f>
        <v>Pikeman</v>
      </c>
      <c r="Q600" s="10">
        <f>Econ!C600</f>
        <v>618774456.8</v>
      </c>
      <c r="R600" s="10">
        <f>Econ!E600</f>
        <v>3654.695387</v>
      </c>
      <c r="S600" s="10">
        <f>Econ!G600</f>
        <v>92816168.51</v>
      </c>
      <c r="T600" s="10">
        <f>Econ!I600</f>
        <v>16446.12924</v>
      </c>
    </row>
    <row r="601">
      <c r="A601" s="7" t="str">
        <f>Econ!A601&amp;if(Econ!B601&lt;10,"_0"&amp;Econ!B601,"_"&amp;Econ!B601)</f>
        <v>Pikeman_300</v>
      </c>
      <c r="B601" s="7" t="str">
        <f>"T"&amp;Econ!B601&amp;" "&amp;Econ!A601</f>
        <v>T300 Pikeman</v>
      </c>
      <c r="C601" s="8">
        <f>Econ!B601</f>
        <v>300</v>
      </c>
      <c r="D601" s="7"/>
      <c r="E601" s="9"/>
      <c r="F601" s="9"/>
      <c r="G601" s="10">
        <f>Econ!L601</f>
        <v>226710</v>
      </c>
      <c r="H601" s="11">
        <f>Econ!M601</f>
        <v>19033</v>
      </c>
      <c r="I601" s="11">
        <f>Econ!N601</f>
        <v>5592</v>
      </c>
      <c r="J601" s="12">
        <f>Econ!O601</f>
        <v>9366</v>
      </c>
      <c r="K601" s="13">
        <f>Econ!P601</f>
        <v>56677.5</v>
      </c>
      <c r="L601" s="14">
        <f>Econ!Q601</f>
        <v>4758.25</v>
      </c>
      <c r="M601" s="14">
        <f>Econ!R601</f>
        <v>1398</v>
      </c>
      <c r="N601" s="13">
        <f>Econ!S601</f>
        <v>2341.5</v>
      </c>
      <c r="O601" s="13">
        <f>Econ!T601</f>
        <v>31</v>
      </c>
      <c r="P601" s="7" t="str">
        <f>Econ!A601</f>
        <v>Pikeman</v>
      </c>
      <c r="Q601" s="10">
        <f>Econ!C601</f>
        <v>649713179.6</v>
      </c>
      <c r="R601" s="10">
        <f>Econ!E601</f>
        <v>3727.789295</v>
      </c>
      <c r="S601" s="10">
        <f>Econ!G601</f>
        <v>97456976.94</v>
      </c>
      <c r="T601" s="10">
        <f>Econ!I601</f>
        <v>16775.05183</v>
      </c>
    </row>
    <row r="602">
      <c r="A602" s="7" t="str">
        <f>Econ!A602&amp;if(Econ!B602&lt;10,"_0"&amp;Econ!B602,"_"&amp;Econ!B602)</f>
        <v>Knight_01</v>
      </c>
      <c r="B602" s="7" t="str">
        <f>"T"&amp;Econ!B602&amp;" "&amp;Econ!A602</f>
        <v>T1 Knight</v>
      </c>
      <c r="C602" s="8">
        <f>Econ!B602</f>
        <v>1</v>
      </c>
      <c r="D602" s="7"/>
      <c r="E602" s="9"/>
      <c r="F602" s="9"/>
      <c r="G602" s="10" t="str">
        <f>Econ!L602</f>
        <v/>
      </c>
      <c r="H602" s="11" t="str">
        <f>Econ!M602</f>
        <v/>
      </c>
      <c r="I602" s="11">
        <f>Econ!N602</f>
        <v>5</v>
      </c>
      <c r="J602" s="12">
        <f>Econ!O602</f>
        <v>120</v>
      </c>
      <c r="K602" s="13">
        <f>Econ!P602</f>
        <v>0</v>
      </c>
      <c r="L602" s="14">
        <f>Econ!Q602</f>
        <v>0</v>
      </c>
      <c r="M602" s="14">
        <f>Econ!R602</f>
        <v>1.25</v>
      </c>
      <c r="N602" s="13">
        <f>Econ!S602</f>
        <v>30</v>
      </c>
      <c r="O602" s="13">
        <f>Econ!T602</f>
        <v>1</v>
      </c>
      <c r="P602" s="7" t="str">
        <f>Econ!A602</f>
        <v>Knight</v>
      </c>
      <c r="Q602" s="10">
        <f>Econ!C602</f>
        <v>350</v>
      </c>
      <c r="R602" s="10">
        <f>Econ!E602</f>
        <v>45</v>
      </c>
      <c r="S602" s="10">
        <f>Econ!G602</f>
        <v>45</v>
      </c>
      <c r="T602" s="10">
        <f>Econ!I602</f>
        <v>0</v>
      </c>
    </row>
    <row r="603">
      <c r="A603" s="7" t="str">
        <f>Econ!A603&amp;if(Econ!B603&lt;10,"_0"&amp;Econ!B603,"_"&amp;Econ!B603)</f>
        <v>Knight_02</v>
      </c>
      <c r="B603" s="7" t="str">
        <f>"T"&amp;Econ!B603&amp;" "&amp;Econ!A603</f>
        <v>T2 Knight</v>
      </c>
      <c r="C603" s="8">
        <f>Econ!B603</f>
        <v>2</v>
      </c>
      <c r="D603" s="7"/>
      <c r="E603" s="9"/>
      <c r="F603" s="9"/>
      <c r="G603" s="10" t="str">
        <f>Econ!L603</f>
        <v/>
      </c>
      <c r="H603" s="11" t="str">
        <f>Econ!M603</f>
        <v/>
      </c>
      <c r="I603" s="11">
        <f>Econ!N603</f>
        <v>7</v>
      </c>
      <c r="J603" s="12">
        <f>Econ!O603</f>
        <v>122</v>
      </c>
      <c r="K603" s="13">
        <f>Econ!P603</f>
        <v>0</v>
      </c>
      <c r="L603" s="14">
        <f>Econ!Q603</f>
        <v>0</v>
      </c>
      <c r="M603" s="14">
        <f>Econ!R603</f>
        <v>1.75</v>
      </c>
      <c r="N603" s="13">
        <f>Econ!S603</f>
        <v>30.5</v>
      </c>
      <c r="O603" s="13">
        <f>Econ!T603</f>
        <v>1</v>
      </c>
      <c r="P603" s="7" t="str">
        <f>Econ!A603</f>
        <v>Knight</v>
      </c>
      <c r="Q603" s="10">
        <f>Econ!C603</f>
        <v>367.5</v>
      </c>
      <c r="R603" s="10">
        <f>Econ!E603</f>
        <v>45.9</v>
      </c>
      <c r="S603" s="10">
        <f>Econ!G603</f>
        <v>47.25</v>
      </c>
      <c r="T603" s="10">
        <f>Econ!I603</f>
        <v>0</v>
      </c>
    </row>
    <row r="604">
      <c r="A604" s="7" t="str">
        <f>Econ!A604&amp;if(Econ!B604&lt;10,"_0"&amp;Econ!B604,"_"&amp;Econ!B604)</f>
        <v>Knight_03</v>
      </c>
      <c r="B604" s="7" t="str">
        <f>"T"&amp;Econ!B604&amp;" "&amp;Econ!A604</f>
        <v>T3 Knight</v>
      </c>
      <c r="C604" s="8">
        <f>Econ!B604</f>
        <v>3</v>
      </c>
      <c r="D604" s="7"/>
      <c r="E604" s="9"/>
      <c r="F604" s="9"/>
      <c r="G604" s="10" t="str">
        <f>Econ!L604</f>
        <v/>
      </c>
      <c r="H604" s="11" t="str">
        <f>Econ!M604</f>
        <v/>
      </c>
      <c r="I604" s="11">
        <f>Econ!N604</f>
        <v>10</v>
      </c>
      <c r="J604" s="12">
        <f>Econ!O604</f>
        <v>125</v>
      </c>
      <c r="K604" s="13">
        <f>Econ!P604</f>
        <v>0</v>
      </c>
      <c r="L604" s="14">
        <f>Econ!Q604</f>
        <v>0</v>
      </c>
      <c r="M604" s="14">
        <f>Econ!R604</f>
        <v>2.5</v>
      </c>
      <c r="N604" s="13">
        <f>Econ!S604</f>
        <v>31.25</v>
      </c>
      <c r="O604" s="13">
        <f>Econ!T604</f>
        <v>1</v>
      </c>
      <c r="P604" s="7" t="str">
        <f>Econ!A604</f>
        <v>Knight</v>
      </c>
      <c r="Q604" s="10">
        <f>Econ!C604</f>
        <v>385.875</v>
      </c>
      <c r="R604" s="10">
        <f>Econ!E604</f>
        <v>46.818</v>
      </c>
      <c r="S604" s="10">
        <f>Econ!G604</f>
        <v>49.6125</v>
      </c>
      <c r="T604" s="10">
        <f>Econ!I604</f>
        <v>0</v>
      </c>
    </row>
    <row r="605">
      <c r="A605" s="7" t="str">
        <f>Econ!A605&amp;if(Econ!B605&lt;10,"_0"&amp;Econ!B605,"_"&amp;Econ!B605)</f>
        <v>Knight_04</v>
      </c>
      <c r="B605" s="7" t="str">
        <f>"T"&amp;Econ!B605&amp;" "&amp;Econ!A605</f>
        <v>T4 Knight</v>
      </c>
      <c r="C605" s="8">
        <f>Econ!B605</f>
        <v>4</v>
      </c>
      <c r="D605" s="7"/>
      <c r="E605" s="9"/>
      <c r="F605" s="9"/>
      <c r="G605" s="10" t="str">
        <f>Econ!L605</f>
        <v/>
      </c>
      <c r="H605" s="11" t="str">
        <f>Econ!M605</f>
        <v/>
      </c>
      <c r="I605" s="11">
        <f>Econ!N605</f>
        <v>13</v>
      </c>
      <c r="J605" s="12">
        <f>Econ!O605</f>
        <v>128</v>
      </c>
      <c r="K605" s="13">
        <f>Econ!P605</f>
        <v>0</v>
      </c>
      <c r="L605" s="14">
        <f>Econ!Q605</f>
        <v>0</v>
      </c>
      <c r="M605" s="14">
        <f>Econ!R605</f>
        <v>3.25</v>
      </c>
      <c r="N605" s="13">
        <f>Econ!S605</f>
        <v>32</v>
      </c>
      <c r="O605" s="13">
        <f>Econ!T605</f>
        <v>1</v>
      </c>
      <c r="P605" s="7" t="str">
        <f>Econ!A605</f>
        <v>Knight</v>
      </c>
      <c r="Q605" s="10">
        <f>Econ!C605</f>
        <v>405.16875</v>
      </c>
      <c r="R605" s="10">
        <f>Econ!E605</f>
        <v>47.75436</v>
      </c>
      <c r="S605" s="10">
        <f>Econ!G605</f>
        <v>52.093125</v>
      </c>
      <c r="T605" s="10">
        <f>Econ!I605</f>
        <v>0</v>
      </c>
    </row>
    <row r="606">
      <c r="A606" s="7" t="str">
        <f>Econ!A606&amp;if(Econ!B606&lt;10,"_0"&amp;Econ!B606,"_"&amp;Econ!B606)</f>
        <v>Knight_05</v>
      </c>
      <c r="B606" s="7" t="str">
        <f>"T"&amp;Econ!B606&amp;" "&amp;Econ!A606</f>
        <v>T5 Knight</v>
      </c>
      <c r="C606" s="8">
        <f>Econ!B606</f>
        <v>5</v>
      </c>
      <c r="D606" s="7"/>
      <c r="E606" s="9"/>
      <c r="F606" s="9"/>
      <c r="G606" s="10" t="str">
        <f>Econ!L606</f>
        <v/>
      </c>
      <c r="H606" s="11" t="str">
        <f>Econ!M606</f>
        <v/>
      </c>
      <c r="I606" s="11">
        <f>Econ!N606</f>
        <v>16</v>
      </c>
      <c r="J606" s="12">
        <f>Econ!O606</f>
        <v>131</v>
      </c>
      <c r="K606" s="13">
        <f>Econ!P606</f>
        <v>0</v>
      </c>
      <c r="L606" s="14">
        <f>Econ!Q606</f>
        <v>0</v>
      </c>
      <c r="M606" s="14">
        <f>Econ!R606</f>
        <v>4</v>
      </c>
      <c r="N606" s="13">
        <f>Econ!S606</f>
        <v>32.75</v>
      </c>
      <c r="O606" s="13">
        <f>Econ!T606</f>
        <v>2</v>
      </c>
      <c r="P606" s="7" t="str">
        <f>Econ!A606</f>
        <v>Knight</v>
      </c>
      <c r="Q606" s="10">
        <f>Econ!C606</f>
        <v>425.4271875</v>
      </c>
      <c r="R606" s="10">
        <f>Econ!E606</f>
        <v>48.7094472</v>
      </c>
      <c r="S606" s="10">
        <f>Econ!G606</f>
        <v>54.69778125</v>
      </c>
      <c r="T606" s="10">
        <f>Econ!I606</f>
        <v>0</v>
      </c>
    </row>
    <row r="607">
      <c r="A607" s="7" t="str">
        <f>Econ!A607&amp;if(Econ!B607&lt;10,"_0"&amp;Econ!B607,"_"&amp;Econ!B607)</f>
        <v>Knight_06</v>
      </c>
      <c r="B607" s="7" t="str">
        <f>"T"&amp;Econ!B607&amp;" "&amp;Econ!A607</f>
        <v>T6 Knight</v>
      </c>
      <c r="C607" s="8">
        <f>Econ!B607</f>
        <v>6</v>
      </c>
      <c r="D607" s="7"/>
      <c r="E607" s="9"/>
      <c r="F607" s="9"/>
      <c r="G607" s="10" t="str">
        <f>Econ!L607</f>
        <v/>
      </c>
      <c r="H607" s="11" t="str">
        <f>Econ!M607</f>
        <v/>
      </c>
      <c r="I607" s="11">
        <f>Econ!N607</f>
        <v>20</v>
      </c>
      <c r="J607" s="12">
        <f>Econ!O607</f>
        <v>135</v>
      </c>
      <c r="K607" s="13">
        <f>Econ!P607</f>
        <v>0</v>
      </c>
      <c r="L607" s="14">
        <f>Econ!Q607</f>
        <v>0</v>
      </c>
      <c r="M607" s="14">
        <f>Econ!R607</f>
        <v>5</v>
      </c>
      <c r="N607" s="13">
        <f>Econ!S607</f>
        <v>33.75</v>
      </c>
      <c r="O607" s="13">
        <f>Econ!T607</f>
        <v>2</v>
      </c>
      <c r="P607" s="7" t="str">
        <f>Econ!A607</f>
        <v>Knight</v>
      </c>
      <c r="Q607" s="10">
        <f>Econ!C607</f>
        <v>446.6985469</v>
      </c>
      <c r="R607" s="10">
        <f>Econ!E607</f>
        <v>49.68363614</v>
      </c>
      <c r="S607" s="10">
        <f>Econ!G607</f>
        <v>57.43267031</v>
      </c>
      <c r="T607" s="10">
        <f>Econ!I607</f>
        <v>0</v>
      </c>
    </row>
    <row r="608">
      <c r="A608" s="7" t="str">
        <f>Econ!A608&amp;if(Econ!B608&lt;10,"_0"&amp;Econ!B608,"_"&amp;Econ!B608)</f>
        <v>Knight_07</v>
      </c>
      <c r="B608" s="7" t="str">
        <f>"T"&amp;Econ!B608&amp;" "&amp;Econ!A608</f>
        <v>T7 Knight</v>
      </c>
      <c r="C608" s="8">
        <f>Econ!B608</f>
        <v>7</v>
      </c>
      <c r="D608" s="7"/>
      <c r="E608" s="9"/>
      <c r="F608" s="9"/>
      <c r="G608" s="10" t="str">
        <f>Econ!L608</f>
        <v/>
      </c>
      <c r="H608" s="11" t="str">
        <f>Econ!M608</f>
        <v/>
      </c>
      <c r="I608" s="11">
        <f>Econ!N608</f>
        <v>24</v>
      </c>
      <c r="J608" s="12">
        <f>Econ!O608</f>
        <v>139</v>
      </c>
      <c r="K608" s="13">
        <f>Econ!P608</f>
        <v>0</v>
      </c>
      <c r="L608" s="14">
        <f>Econ!Q608</f>
        <v>0</v>
      </c>
      <c r="M608" s="14">
        <f>Econ!R608</f>
        <v>6</v>
      </c>
      <c r="N608" s="13">
        <f>Econ!S608</f>
        <v>34.75</v>
      </c>
      <c r="O608" s="13">
        <f>Econ!T608</f>
        <v>2</v>
      </c>
      <c r="P608" s="7" t="str">
        <f>Econ!A608</f>
        <v>Knight</v>
      </c>
      <c r="Q608" s="10">
        <f>Econ!C608</f>
        <v>469.0334742</v>
      </c>
      <c r="R608" s="10">
        <f>Econ!E608</f>
        <v>50.67730887</v>
      </c>
      <c r="S608" s="10">
        <f>Econ!G608</f>
        <v>60.30430383</v>
      </c>
      <c r="T608" s="10">
        <f>Econ!I608</f>
        <v>0</v>
      </c>
    </row>
    <row r="609">
      <c r="A609" s="7" t="str">
        <f>Econ!A609&amp;if(Econ!B609&lt;10,"_0"&amp;Econ!B609,"_"&amp;Econ!B609)</f>
        <v>Knight_08</v>
      </c>
      <c r="B609" s="7" t="str">
        <f>"T"&amp;Econ!B609&amp;" "&amp;Econ!A609</f>
        <v>T8 Knight</v>
      </c>
      <c r="C609" s="8">
        <f>Econ!B609</f>
        <v>8</v>
      </c>
      <c r="D609" s="7"/>
      <c r="E609" s="9"/>
      <c r="F609" s="9"/>
      <c r="G609" s="10" t="str">
        <f>Econ!L609</f>
        <v/>
      </c>
      <c r="H609" s="11" t="str">
        <f>Econ!M609</f>
        <v/>
      </c>
      <c r="I609" s="11">
        <f>Econ!N609</f>
        <v>29</v>
      </c>
      <c r="J609" s="12">
        <f>Econ!O609</f>
        <v>144</v>
      </c>
      <c r="K609" s="13">
        <f>Econ!P609</f>
        <v>0</v>
      </c>
      <c r="L609" s="14">
        <f>Econ!Q609</f>
        <v>0</v>
      </c>
      <c r="M609" s="14">
        <f>Econ!R609</f>
        <v>7.25</v>
      </c>
      <c r="N609" s="13">
        <f>Econ!S609</f>
        <v>36</v>
      </c>
      <c r="O609" s="13">
        <f>Econ!T609</f>
        <v>2</v>
      </c>
      <c r="P609" s="7" t="str">
        <f>Econ!A609</f>
        <v>Knight</v>
      </c>
      <c r="Q609" s="10">
        <f>Econ!C609</f>
        <v>492.4851479</v>
      </c>
      <c r="R609" s="10">
        <f>Econ!E609</f>
        <v>51.69085504</v>
      </c>
      <c r="S609" s="10">
        <f>Econ!G609</f>
        <v>63.31951902</v>
      </c>
      <c r="T609" s="10">
        <f>Econ!I609</f>
        <v>0</v>
      </c>
    </row>
    <row r="610">
      <c r="A610" s="7" t="str">
        <f>Econ!A610&amp;if(Econ!B610&lt;10,"_0"&amp;Econ!B610,"_"&amp;Econ!B610)</f>
        <v>Knight_09</v>
      </c>
      <c r="B610" s="7" t="str">
        <f>"T"&amp;Econ!B610&amp;" "&amp;Econ!A610</f>
        <v>T9 Knight</v>
      </c>
      <c r="C610" s="8">
        <f>Econ!B610</f>
        <v>9</v>
      </c>
      <c r="D610" s="7"/>
      <c r="E610" s="9"/>
      <c r="F610" s="9"/>
      <c r="G610" s="10" t="str">
        <f>Econ!L610</f>
        <v/>
      </c>
      <c r="H610" s="11" t="str">
        <f>Econ!M610</f>
        <v/>
      </c>
      <c r="I610" s="11">
        <f>Econ!N610</f>
        <v>34</v>
      </c>
      <c r="J610" s="12">
        <f>Econ!O610</f>
        <v>149</v>
      </c>
      <c r="K610" s="13">
        <f>Econ!P610</f>
        <v>0</v>
      </c>
      <c r="L610" s="14">
        <f>Econ!Q610</f>
        <v>0</v>
      </c>
      <c r="M610" s="14">
        <f>Econ!R610</f>
        <v>8.5</v>
      </c>
      <c r="N610" s="13">
        <f>Econ!S610</f>
        <v>37.25</v>
      </c>
      <c r="O610" s="13">
        <f>Econ!T610</f>
        <v>2</v>
      </c>
      <c r="P610" s="7" t="str">
        <f>Econ!A610</f>
        <v>Knight</v>
      </c>
      <c r="Q610" s="10">
        <f>Econ!C610</f>
        <v>517.1094053</v>
      </c>
      <c r="R610" s="10">
        <f>Econ!E610</f>
        <v>52.72467215</v>
      </c>
      <c r="S610" s="10">
        <f>Econ!G610</f>
        <v>66.48549497</v>
      </c>
      <c r="T610" s="10">
        <f>Econ!I610</f>
        <v>0</v>
      </c>
    </row>
    <row r="611">
      <c r="A611" s="7" t="str">
        <f>Econ!A611&amp;if(Econ!B611&lt;10,"_0"&amp;Econ!B611,"_"&amp;Econ!B611)</f>
        <v>Knight_10</v>
      </c>
      <c r="B611" s="7" t="str">
        <f>"T"&amp;Econ!B611&amp;" "&amp;Econ!A611</f>
        <v>T10 Knight</v>
      </c>
      <c r="C611" s="8">
        <f>Econ!B611</f>
        <v>10</v>
      </c>
      <c r="D611" s="7"/>
      <c r="E611" s="9"/>
      <c r="F611" s="9"/>
      <c r="G611" s="10" t="str">
        <f>Econ!L611</f>
        <v/>
      </c>
      <c r="H611" s="11" t="str">
        <f>Econ!M611</f>
        <v/>
      </c>
      <c r="I611" s="11">
        <f>Econ!N611</f>
        <v>39</v>
      </c>
      <c r="J611" s="12">
        <f>Econ!O611</f>
        <v>154</v>
      </c>
      <c r="K611" s="13">
        <f>Econ!P611</f>
        <v>0</v>
      </c>
      <c r="L611" s="14">
        <f>Econ!Q611</f>
        <v>0</v>
      </c>
      <c r="M611" s="14">
        <f>Econ!R611</f>
        <v>9.75</v>
      </c>
      <c r="N611" s="13">
        <f>Econ!S611</f>
        <v>38.5</v>
      </c>
      <c r="O611" s="13">
        <f>Econ!T611</f>
        <v>2</v>
      </c>
      <c r="P611" s="7" t="str">
        <f>Econ!A611</f>
        <v>Knight</v>
      </c>
      <c r="Q611" s="10">
        <f>Econ!C611</f>
        <v>542.9648756</v>
      </c>
      <c r="R611" s="10">
        <f>Econ!E611</f>
        <v>53.77916559</v>
      </c>
      <c r="S611" s="10">
        <f>Econ!G611</f>
        <v>69.80976972</v>
      </c>
      <c r="T611" s="10">
        <f>Econ!I611</f>
        <v>0</v>
      </c>
    </row>
    <row r="612">
      <c r="A612" s="7" t="str">
        <f>Econ!A612&amp;if(Econ!B612&lt;10,"_0"&amp;Econ!B612,"_"&amp;Econ!B612)</f>
        <v>Knight_11</v>
      </c>
      <c r="B612" s="7" t="str">
        <f>"T"&amp;Econ!B612&amp;" "&amp;Econ!A612</f>
        <v>T11 Knight</v>
      </c>
      <c r="C612" s="8">
        <f>Econ!B612</f>
        <v>11</v>
      </c>
      <c r="D612" s="7"/>
      <c r="E612" s="9"/>
      <c r="F612" s="9"/>
      <c r="G612" s="10" t="str">
        <f>Econ!L612</f>
        <v/>
      </c>
      <c r="H612" s="11" t="str">
        <f>Econ!M612</f>
        <v/>
      </c>
      <c r="I612" s="11">
        <f>Econ!N612</f>
        <v>45</v>
      </c>
      <c r="J612" s="12">
        <f>Econ!O612</f>
        <v>160</v>
      </c>
      <c r="K612" s="13">
        <f>Econ!P612</f>
        <v>0</v>
      </c>
      <c r="L612" s="14">
        <f>Econ!Q612</f>
        <v>0</v>
      </c>
      <c r="M612" s="14">
        <f>Econ!R612</f>
        <v>11.25</v>
      </c>
      <c r="N612" s="13">
        <f>Econ!S612</f>
        <v>40</v>
      </c>
      <c r="O612" s="13">
        <f>Econ!T612</f>
        <v>2</v>
      </c>
      <c r="P612" s="7" t="str">
        <f>Econ!A612</f>
        <v>Knight</v>
      </c>
      <c r="Q612" s="10">
        <f>Econ!C612</f>
        <v>570.1131194</v>
      </c>
      <c r="R612" s="10">
        <f>Econ!E612</f>
        <v>54.8547489</v>
      </c>
      <c r="S612" s="10">
        <f>Econ!G612</f>
        <v>73.3002582</v>
      </c>
      <c r="T612" s="10">
        <f>Econ!I612</f>
        <v>0</v>
      </c>
    </row>
    <row r="613">
      <c r="A613" s="7" t="str">
        <f>Econ!A613&amp;if(Econ!B613&lt;10,"_0"&amp;Econ!B613,"_"&amp;Econ!B613)</f>
        <v>Knight_12</v>
      </c>
      <c r="B613" s="7" t="str">
        <f>"T"&amp;Econ!B613&amp;" "&amp;Econ!A613</f>
        <v>T12 Knight</v>
      </c>
      <c r="C613" s="8">
        <f>Econ!B613</f>
        <v>12</v>
      </c>
      <c r="D613" s="7"/>
      <c r="E613" s="9"/>
      <c r="F613" s="9"/>
      <c r="G613" s="10" t="str">
        <f>Econ!L613</f>
        <v/>
      </c>
      <c r="H613" s="11" t="str">
        <f>Econ!M613</f>
        <v/>
      </c>
      <c r="I613" s="11">
        <f>Econ!N613</f>
        <v>51</v>
      </c>
      <c r="J613" s="12">
        <f>Econ!O613</f>
        <v>166</v>
      </c>
      <c r="K613" s="13">
        <f>Econ!P613</f>
        <v>0</v>
      </c>
      <c r="L613" s="14">
        <f>Econ!Q613</f>
        <v>0</v>
      </c>
      <c r="M613" s="14">
        <f>Econ!R613</f>
        <v>12.75</v>
      </c>
      <c r="N613" s="13">
        <f>Econ!S613</f>
        <v>41.5</v>
      </c>
      <c r="O613" s="13">
        <f>Econ!T613</f>
        <v>2</v>
      </c>
      <c r="P613" s="7" t="str">
        <f>Econ!A613</f>
        <v>Knight</v>
      </c>
      <c r="Q613" s="10">
        <f>Econ!C613</f>
        <v>598.6187753</v>
      </c>
      <c r="R613" s="10">
        <f>Econ!E613</f>
        <v>55.95184388</v>
      </c>
      <c r="S613" s="10">
        <f>Econ!G613</f>
        <v>76.96527112</v>
      </c>
      <c r="T613" s="10">
        <f>Econ!I613</f>
        <v>0</v>
      </c>
    </row>
    <row r="614">
      <c r="A614" s="7" t="str">
        <f>Econ!A614&amp;if(Econ!B614&lt;10,"_0"&amp;Econ!B614,"_"&amp;Econ!B614)</f>
        <v>Knight_13</v>
      </c>
      <c r="B614" s="7" t="str">
        <f>"T"&amp;Econ!B614&amp;" "&amp;Econ!A614</f>
        <v>T13 Knight</v>
      </c>
      <c r="C614" s="8">
        <f>Econ!B614</f>
        <v>13</v>
      </c>
      <c r="D614" s="7"/>
      <c r="E614" s="9"/>
      <c r="F614" s="9"/>
      <c r="G614" s="10" t="str">
        <f>Econ!L614</f>
        <v/>
      </c>
      <c r="H614" s="11" t="str">
        <f>Econ!M614</f>
        <v/>
      </c>
      <c r="I614" s="11">
        <f>Econ!N614</f>
        <v>57</v>
      </c>
      <c r="J614" s="12">
        <f>Econ!O614</f>
        <v>172</v>
      </c>
      <c r="K614" s="13">
        <f>Econ!P614</f>
        <v>0</v>
      </c>
      <c r="L614" s="14">
        <f>Econ!Q614</f>
        <v>0</v>
      </c>
      <c r="M614" s="14">
        <f>Econ!R614</f>
        <v>14.25</v>
      </c>
      <c r="N614" s="13">
        <f>Econ!S614</f>
        <v>43</v>
      </c>
      <c r="O614" s="13">
        <f>Econ!T614</f>
        <v>2</v>
      </c>
      <c r="P614" s="7" t="str">
        <f>Econ!A614</f>
        <v>Knight</v>
      </c>
      <c r="Q614" s="10">
        <f>Econ!C614</f>
        <v>628.5497141</v>
      </c>
      <c r="R614" s="10">
        <f>Econ!E614</f>
        <v>57.07088076</v>
      </c>
      <c r="S614" s="10">
        <f>Econ!G614</f>
        <v>80.81353467</v>
      </c>
      <c r="T614" s="10">
        <f>Econ!I614</f>
        <v>0</v>
      </c>
    </row>
    <row r="615">
      <c r="A615" s="7" t="str">
        <f>Econ!A615&amp;if(Econ!B615&lt;10,"_0"&amp;Econ!B615,"_"&amp;Econ!B615)</f>
        <v>Knight_14</v>
      </c>
      <c r="B615" s="7" t="str">
        <f>"T"&amp;Econ!B615&amp;" "&amp;Econ!A615</f>
        <v>T14 Knight</v>
      </c>
      <c r="C615" s="8">
        <f>Econ!B615</f>
        <v>14</v>
      </c>
      <c r="D615" s="7"/>
      <c r="E615" s="9"/>
      <c r="F615" s="9"/>
      <c r="G615" s="10" t="str">
        <f>Econ!L615</f>
        <v/>
      </c>
      <c r="H615" s="11" t="str">
        <f>Econ!M615</f>
        <v/>
      </c>
      <c r="I615" s="11">
        <f>Econ!N615</f>
        <v>64</v>
      </c>
      <c r="J615" s="12">
        <f>Econ!O615</f>
        <v>179</v>
      </c>
      <c r="K615" s="13">
        <f>Econ!P615</f>
        <v>0</v>
      </c>
      <c r="L615" s="14">
        <f>Econ!Q615</f>
        <v>0</v>
      </c>
      <c r="M615" s="14">
        <f>Econ!R615</f>
        <v>16</v>
      </c>
      <c r="N615" s="13">
        <f>Econ!S615</f>
        <v>44.75</v>
      </c>
      <c r="O615" s="13">
        <f>Econ!T615</f>
        <v>2</v>
      </c>
      <c r="P615" s="7" t="str">
        <f>Econ!A615</f>
        <v>Knight</v>
      </c>
      <c r="Q615" s="10">
        <f>Econ!C615</f>
        <v>659.9771998</v>
      </c>
      <c r="R615" s="10">
        <f>Econ!E615</f>
        <v>58.21229837</v>
      </c>
      <c r="S615" s="10">
        <f>Econ!G615</f>
        <v>84.8542114</v>
      </c>
      <c r="T615" s="10">
        <f>Econ!I615</f>
        <v>0</v>
      </c>
    </row>
    <row r="616">
      <c r="A616" s="7" t="str">
        <f>Econ!A616&amp;if(Econ!B616&lt;10,"_0"&amp;Econ!B616,"_"&amp;Econ!B616)</f>
        <v>Knight_15</v>
      </c>
      <c r="B616" s="7" t="str">
        <f>"T"&amp;Econ!B616&amp;" "&amp;Econ!A616</f>
        <v>T15 Knight</v>
      </c>
      <c r="C616" s="8">
        <f>Econ!B616</f>
        <v>15</v>
      </c>
      <c r="D616" s="7"/>
      <c r="E616" s="9"/>
      <c r="F616" s="9"/>
      <c r="G616" s="10" t="str">
        <f>Econ!L616</f>
        <v/>
      </c>
      <c r="H616" s="11" t="str">
        <f>Econ!M616</f>
        <v/>
      </c>
      <c r="I616" s="11">
        <f>Econ!N616</f>
        <v>71</v>
      </c>
      <c r="J616" s="12">
        <f>Econ!O616</f>
        <v>186</v>
      </c>
      <c r="K616" s="13">
        <f>Econ!P616</f>
        <v>0</v>
      </c>
      <c r="L616" s="14">
        <f>Econ!Q616</f>
        <v>0</v>
      </c>
      <c r="M616" s="14">
        <f>Econ!R616</f>
        <v>17.75</v>
      </c>
      <c r="N616" s="13">
        <f>Econ!S616</f>
        <v>46.5</v>
      </c>
      <c r="O616" s="13">
        <f>Econ!T616</f>
        <v>3</v>
      </c>
      <c r="P616" s="7" t="str">
        <f>Econ!A616</f>
        <v>Knight</v>
      </c>
      <c r="Q616" s="10">
        <f>Econ!C616</f>
        <v>692.9760598</v>
      </c>
      <c r="R616" s="10">
        <f>Econ!E616</f>
        <v>59.37654434</v>
      </c>
      <c r="S616" s="10">
        <f>Econ!G616</f>
        <v>89.09692197</v>
      </c>
      <c r="T616" s="10">
        <f>Econ!I616</f>
        <v>0</v>
      </c>
    </row>
    <row r="617">
      <c r="A617" s="7" t="str">
        <f>Econ!A617&amp;if(Econ!B617&lt;10,"_0"&amp;Econ!B617,"_"&amp;Econ!B617)</f>
        <v>Knight_16</v>
      </c>
      <c r="B617" s="7" t="str">
        <f>"T"&amp;Econ!B617&amp;" "&amp;Econ!A617</f>
        <v>T16 Knight</v>
      </c>
      <c r="C617" s="8">
        <f>Econ!B617</f>
        <v>16</v>
      </c>
      <c r="D617" s="7"/>
      <c r="E617" s="9"/>
      <c r="F617" s="9"/>
      <c r="G617" s="10" t="str">
        <f>Econ!L617</f>
        <v/>
      </c>
      <c r="H617" s="11" t="str">
        <f>Econ!M617</f>
        <v/>
      </c>
      <c r="I617" s="11">
        <f>Econ!N617</f>
        <v>78</v>
      </c>
      <c r="J617" s="12">
        <f>Econ!O617</f>
        <v>193</v>
      </c>
      <c r="K617" s="13">
        <f>Econ!P617</f>
        <v>0</v>
      </c>
      <c r="L617" s="14">
        <f>Econ!Q617</f>
        <v>0</v>
      </c>
      <c r="M617" s="14">
        <f>Econ!R617</f>
        <v>19.5</v>
      </c>
      <c r="N617" s="13">
        <f>Econ!S617</f>
        <v>48.25</v>
      </c>
      <c r="O617" s="13">
        <f>Econ!T617</f>
        <v>3</v>
      </c>
      <c r="P617" s="7" t="str">
        <f>Econ!A617</f>
        <v>Knight</v>
      </c>
      <c r="Q617" s="10">
        <f>Econ!C617</f>
        <v>727.6248628</v>
      </c>
      <c r="R617" s="10">
        <f>Econ!E617</f>
        <v>60.56407522</v>
      </c>
      <c r="S617" s="10">
        <f>Econ!G617</f>
        <v>93.55176807</v>
      </c>
      <c r="T617" s="10">
        <f>Econ!I617</f>
        <v>0</v>
      </c>
    </row>
    <row r="618">
      <c r="A618" s="7" t="str">
        <f>Econ!A618&amp;if(Econ!B618&lt;10,"_0"&amp;Econ!B618,"_"&amp;Econ!B618)</f>
        <v>Knight_17</v>
      </c>
      <c r="B618" s="7" t="str">
        <f>"T"&amp;Econ!B618&amp;" "&amp;Econ!A618</f>
        <v>T17 Knight</v>
      </c>
      <c r="C618" s="8">
        <f>Econ!B618</f>
        <v>17</v>
      </c>
      <c r="D618" s="7"/>
      <c r="E618" s="9"/>
      <c r="F618" s="9"/>
      <c r="G618" s="10" t="str">
        <f>Econ!L618</f>
        <v/>
      </c>
      <c r="H618" s="11" t="str">
        <f>Econ!M618</f>
        <v/>
      </c>
      <c r="I618" s="11">
        <f>Econ!N618</f>
        <v>86</v>
      </c>
      <c r="J618" s="12">
        <f>Econ!O618</f>
        <v>201</v>
      </c>
      <c r="K618" s="13">
        <f>Econ!P618</f>
        <v>0</v>
      </c>
      <c r="L618" s="14">
        <f>Econ!Q618</f>
        <v>0</v>
      </c>
      <c r="M618" s="14">
        <f>Econ!R618</f>
        <v>21.5</v>
      </c>
      <c r="N618" s="13">
        <f>Econ!S618</f>
        <v>50.25</v>
      </c>
      <c r="O618" s="13">
        <f>Econ!T618</f>
        <v>3</v>
      </c>
      <c r="P618" s="7" t="str">
        <f>Econ!A618</f>
        <v>Knight</v>
      </c>
      <c r="Q618" s="10">
        <f>Econ!C618</f>
        <v>764.0061059</v>
      </c>
      <c r="R618" s="10">
        <f>Econ!E618</f>
        <v>61.77535673</v>
      </c>
      <c r="S618" s="10">
        <f>Econ!G618</f>
        <v>98.22935648</v>
      </c>
      <c r="T618" s="10">
        <f>Econ!I618</f>
        <v>0</v>
      </c>
    </row>
    <row r="619">
      <c r="A619" s="7" t="str">
        <f>Econ!A619&amp;if(Econ!B619&lt;10,"_0"&amp;Econ!B619,"_"&amp;Econ!B619)</f>
        <v>Knight_18</v>
      </c>
      <c r="B619" s="7" t="str">
        <f>"T"&amp;Econ!B619&amp;" "&amp;Econ!A619</f>
        <v>T18 Knight</v>
      </c>
      <c r="C619" s="8">
        <f>Econ!B619</f>
        <v>18</v>
      </c>
      <c r="D619" s="7"/>
      <c r="E619" s="9"/>
      <c r="F619" s="9"/>
      <c r="G619" s="10" t="str">
        <f>Econ!L619</f>
        <v/>
      </c>
      <c r="H619" s="11" t="str">
        <f>Econ!M619</f>
        <v/>
      </c>
      <c r="I619" s="11">
        <f>Econ!N619</f>
        <v>94</v>
      </c>
      <c r="J619" s="12">
        <f>Econ!O619</f>
        <v>209</v>
      </c>
      <c r="K619" s="13">
        <f>Econ!P619</f>
        <v>0</v>
      </c>
      <c r="L619" s="14">
        <f>Econ!Q619</f>
        <v>0</v>
      </c>
      <c r="M619" s="14">
        <f>Econ!R619</f>
        <v>23.5</v>
      </c>
      <c r="N619" s="13">
        <f>Econ!S619</f>
        <v>52.25</v>
      </c>
      <c r="O619" s="13">
        <f>Econ!T619</f>
        <v>3</v>
      </c>
      <c r="P619" s="7" t="str">
        <f>Econ!A619</f>
        <v>Knight</v>
      </c>
      <c r="Q619" s="10">
        <f>Econ!C619</f>
        <v>802.2064112</v>
      </c>
      <c r="R619" s="10">
        <f>Econ!E619</f>
        <v>63.01086386</v>
      </c>
      <c r="S619" s="10">
        <f>Econ!G619</f>
        <v>103.1408243</v>
      </c>
      <c r="T619" s="10">
        <f>Econ!I619</f>
        <v>0</v>
      </c>
    </row>
    <row r="620">
      <c r="A620" s="7" t="str">
        <f>Econ!A620&amp;if(Econ!B620&lt;10,"_0"&amp;Econ!B620,"_"&amp;Econ!B620)</f>
        <v>Knight_19</v>
      </c>
      <c r="B620" s="7" t="str">
        <f>"T"&amp;Econ!B620&amp;" "&amp;Econ!A620</f>
        <v>T19 Knight</v>
      </c>
      <c r="C620" s="8">
        <f>Econ!B620</f>
        <v>19</v>
      </c>
      <c r="D620" s="7"/>
      <c r="E620" s="9"/>
      <c r="F620" s="9"/>
      <c r="G620" s="10" t="str">
        <f>Econ!L620</f>
        <v/>
      </c>
      <c r="H620" s="11" t="str">
        <f>Econ!M620</f>
        <v/>
      </c>
      <c r="I620" s="11">
        <f>Econ!N620</f>
        <v>102</v>
      </c>
      <c r="J620" s="12">
        <f>Econ!O620</f>
        <v>217</v>
      </c>
      <c r="K620" s="13">
        <f>Econ!P620</f>
        <v>0</v>
      </c>
      <c r="L620" s="14">
        <f>Econ!Q620</f>
        <v>0</v>
      </c>
      <c r="M620" s="14">
        <f>Econ!R620</f>
        <v>25.5</v>
      </c>
      <c r="N620" s="13">
        <f>Econ!S620</f>
        <v>54.25</v>
      </c>
      <c r="O620" s="13">
        <f>Econ!T620</f>
        <v>3</v>
      </c>
      <c r="P620" s="7" t="str">
        <f>Econ!A620</f>
        <v>Knight</v>
      </c>
      <c r="Q620" s="10">
        <f>Econ!C620</f>
        <v>842.3167318</v>
      </c>
      <c r="R620" s="10">
        <f>Econ!E620</f>
        <v>64.27108114</v>
      </c>
      <c r="S620" s="10">
        <f>Econ!G620</f>
        <v>108.2978655</v>
      </c>
      <c r="T620" s="10">
        <f>Econ!I620</f>
        <v>0</v>
      </c>
    </row>
    <row r="621">
      <c r="A621" s="7" t="str">
        <f>Econ!A621&amp;if(Econ!B621&lt;10,"_0"&amp;Econ!B621,"_"&amp;Econ!B621)</f>
        <v>Knight_20</v>
      </c>
      <c r="B621" s="7" t="str">
        <f>"T"&amp;Econ!B621&amp;" "&amp;Econ!A621</f>
        <v>T20 Knight</v>
      </c>
      <c r="C621" s="8">
        <f>Econ!B621</f>
        <v>20</v>
      </c>
      <c r="D621" s="7"/>
      <c r="E621" s="9"/>
      <c r="F621" s="9"/>
      <c r="G621" s="10" t="str">
        <f>Econ!L621</f>
        <v/>
      </c>
      <c r="H621" s="11" t="str">
        <f>Econ!M621</f>
        <v/>
      </c>
      <c r="I621" s="11">
        <f>Econ!N621</f>
        <v>110</v>
      </c>
      <c r="J621" s="12">
        <f>Econ!O621</f>
        <v>225</v>
      </c>
      <c r="K621" s="13">
        <f>Econ!P621</f>
        <v>0</v>
      </c>
      <c r="L621" s="14">
        <f>Econ!Q621</f>
        <v>0</v>
      </c>
      <c r="M621" s="14">
        <f>Econ!R621</f>
        <v>27.5</v>
      </c>
      <c r="N621" s="13">
        <f>Econ!S621</f>
        <v>56.25</v>
      </c>
      <c r="O621" s="13">
        <f>Econ!T621</f>
        <v>3</v>
      </c>
      <c r="P621" s="7" t="str">
        <f>Econ!A621</f>
        <v>Knight</v>
      </c>
      <c r="Q621" s="10">
        <f>Econ!C621</f>
        <v>884.4325684</v>
      </c>
      <c r="R621" s="10">
        <f>Econ!E621</f>
        <v>65.55650276</v>
      </c>
      <c r="S621" s="10">
        <f>Econ!G621</f>
        <v>113.7127588</v>
      </c>
      <c r="T621" s="10">
        <f>Econ!I621</f>
        <v>0</v>
      </c>
    </row>
    <row r="622">
      <c r="A622" s="7" t="str">
        <f>Econ!A622&amp;if(Econ!B622&lt;10,"_0"&amp;Econ!B622,"_"&amp;Econ!B622)</f>
        <v>Knight_21</v>
      </c>
      <c r="B622" s="7" t="str">
        <f>"T"&amp;Econ!B622&amp;" "&amp;Econ!A622</f>
        <v>T21 Knight</v>
      </c>
      <c r="C622" s="8">
        <f>Econ!B622</f>
        <v>21</v>
      </c>
      <c r="D622" s="7"/>
      <c r="E622" s="9"/>
      <c r="F622" s="9"/>
      <c r="G622" s="10" t="str">
        <f>Econ!L622</f>
        <v/>
      </c>
      <c r="H622" s="11" t="str">
        <f>Econ!M622</f>
        <v/>
      </c>
      <c r="I622" s="11">
        <f>Econ!N622</f>
        <v>119</v>
      </c>
      <c r="J622" s="12">
        <f>Econ!O622</f>
        <v>234</v>
      </c>
      <c r="K622" s="13">
        <f>Econ!P622</f>
        <v>0</v>
      </c>
      <c r="L622" s="14">
        <f>Econ!Q622</f>
        <v>0</v>
      </c>
      <c r="M622" s="14">
        <f>Econ!R622</f>
        <v>29.75</v>
      </c>
      <c r="N622" s="13">
        <f>Econ!S622</f>
        <v>58.5</v>
      </c>
      <c r="O622" s="13">
        <f>Econ!T622</f>
        <v>3</v>
      </c>
      <c r="P622" s="7" t="str">
        <f>Econ!A622</f>
        <v>Knight</v>
      </c>
      <c r="Q622" s="10">
        <f>Econ!C622</f>
        <v>928.6541968</v>
      </c>
      <c r="R622" s="10">
        <f>Econ!E622</f>
        <v>66.86763282</v>
      </c>
      <c r="S622" s="10">
        <f>Econ!G622</f>
        <v>119.3983967</v>
      </c>
      <c r="T622" s="10">
        <f>Econ!I622</f>
        <v>0</v>
      </c>
    </row>
    <row r="623">
      <c r="A623" s="7" t="str">
        <f>Econ!A623&amp;if(Econ!B623&lt;10,"_0"&amp;Econ!B623,"_"&amp;Econ!B623)</f>
        <v>Knight_22</v>
      </c>
      <c r="B623" s="7" t="str">
        <f>"T"&amp;Econ!B623&amp;" "&amp;Econ!A623</f>
        <v>T22 Knight</v>
      </c>
      <c r="C623" s="8">
        <f>Econ!B623</f>
        <v>22</v>
      </c>
      <c r="D623" s="7"/>
      <c r="E623" s="9"/>
      <c r="F623" s="9"/>
      <c r="G623" s="10" t="str">
        <f>Econ!L623</f>
        <v/>
      </c>
      <c r="H623" s="11" t="str">
        <f>Econ!M623</f>
        <v/>
      </c>
      <c r="I623" s="11">
        <f>Econ!N623</f>
        <v>128</v>
      </c>
      <c r="J623" s="12">
        <f>Econ!O623</f>
        <v>243</v>
      </c>
      <c r="K623" s="13">
        <f>Econ!P623</f>
        <v>0</v>
      </c>
      <c r="L623" s="14">
        <f>Econ!Q623</f>
        <v>0</v>
      </c>
      <c r="M623" s="14">
        <f>Econ!R623</f>
        <v>32</v>
      </c>
      <c r="N623" s="13">
        <f>Econ!S623</f>
        <v>60.75</v>
      </c>
      <c r="O623" s="13">
        <f>Econ!T623</f>
        <v>3</v>
      </c>
      <c r="P623" s="7" t="str">
        <f>Econ!A623</f>
        <v>Knight</v>
      </c>
      <c r="Q623" s="10">
        <f>Econ!C623</f>
        <v>975.0869066</v>
      </c>
      <c r="R623" s="10">
        <f>Econ!E623</f>
        <v>68.20498548</v>
      </c>
      <c r="S623" s="10">
        <f>Econ!G623</f>
        <v>125.3683166</v>
      </c>
      <c r="T623" s="10">
        <f>Econ!I623</f>
        <v>0</v>
      </c>
    </row>
    <row r="624">
      <c r="A624" s="7" t="str">
        <f>Econ!A624&amp;if(Econ!B624&lt;10,"_0"&amp;Econ!B624,"_"&amp;Econ!B624)</f>
        <v>Knight_23</v>
      </c>
      <c r="B624" s="7" t="str">
        <f>"T"&amp;Econ!B624&amp;" "&amp;Econ!A624</f>
        <v>T23 Knight</v>
      </c>
      <c r="C624" s="8">
        <f>Econ!B624</f>
        <v>23</v>
      </c>
      <c r="D624" s="7"/>
      <c r="E624" s="9"/>
      <c r="F624" s="9"/>
      <c r="G624" s="10" t="str">
        <f>Econ!L624</f>
        <v/>
      </c>
      <c r="H624" s="11" t="str">
        <f>Econ!M624</f>
        <v/>
      </c>
      <c r="I624" s="11">
        <f>Econ!N624</f>
        <v>137</v>
      </c>
      <c r="J624" s="12">
        <f>Econ!O624</f>
        <v>252</v>
      </c>
      <c r="K624" s="13">
        <f>Econ!P624</f>
        <v>0</v>
      </c>
      <c r="L624" s="14">
        <f>Econ!Q624</f>
        <v>0</v>
      </c>
      <c r="M624" s="14">
        <f>Econ!R624</f>
        <v>34.25</v>
      </c>
      <c r="N624" s="13">
        <f>Econ!S624</f>
        <v>63</v>
      </c>
      <c r="O624" s="13">
        <f>Econ!T624</f>
        <v>3</v>
      </c>
      <c r="P624" s="7" t="str">
        <f>Econ!A624</f>
        <v>Knight</v>
      </c>
      <c r="Q624" s="10">
        <f>Econ!C624</f>
        <v>1023.841252</v>
      </c>
      <c r="R624" s="10">
        <f>Econ!E624</f>
        <v>69.56908518</v>
      </c>
      <c r="S624" s="10">
        <f>Econ!G624</f>
        <v>131.6367324</v>
      </c>
      <c r="T624" s="10">
        <f>Econ!I624</f>
        <v>0</v>
      </c>
    </row>
    <row r="625">
      <c r="A625" s="7" t="str">
        <f>Econ!A625&amp;if(Econ!B625&lt;10,"_0"&amp;Econ!B625,"_"&amp;Econ!B625)</f>
        <v>Knight_24</v>
      </c>
      <c r="B625" s="7" t="str">
        <f>"T"&amp;Econ!B625&amp;" "&amp;Econ!A625</f>
        <v>T24 Knight</v>
      </c>
      <c r="C625" s="8">
        <f>Econ!B625</f>
        <v>24</v>
      </c>
      <c r="D625" s="7"/>
      <c r="E625" s="9"/>
      <c r="F625" s="9"/>
      <c r="G625" s="10" t="str">
        <f>Econ!L625</f>
        <v/>
      </c>
      <c r="H625" s="11" t="str">
        <f>Econ!M625</f>
        <v/>
      </c>
      <c r="I625" s="11">
        <f>Econ!N625</f>
        <v>146</v>
      </c>
      <c r="J625" s="12">
        <f>Econ!O625</f>
        <v>261</v>
      </c>
      <c r="K625" s="13">
        <f>Econ!P625</f>
        <v>0</v>
      </c>
      <c r="L625" s="14">
        <f>Econ!Q625</f>
        <v>0</v>
      </c>
      <c r="M625" s="14">
        <f>Econ!R625</f>
        <v>36.5</v>
      </c>
      <c r="N625" s="13">
        <f>Econ!S625</f>
        <v>65.25</v>
      </c>
      <c r="O625" s="13">
        <f>Econ!T625</f>
        <v>3</v>
      </c>
      <c r="P625" s="7" t="str">
        <f>Econ!A625</f>
        <v>Knight</v>
      </c>
      <c r="Q625" s="10">
        <f>Econ!C625</f>
        <v>1075.033315</v>
      </c>
      <c r="R625" s="10">
        <f>Econ!E625</f>
        <v>70.96046689</v>
      </c>
      <c r="S625" s="10">
        <f>Econ!G625</f>
        <v>138.218569</v>
      </c>
      <c r="T625" s="10">
        <f>Econ!I625</f>
        <v>0</v>
      </c>
    </row>
    <row r="626">
      <c r="A626" s="7" t="str">
        <f>Econ!A626&amp;if(Econ!B626&lt;10,"_0"&amp;Econ!B626,"_"&amp;Econ!B626)</f>
        <v>Knight_25</v>
      </c>
      <c r="B626" s="7" t="str">
        <f>"T"&amp;Econ!B626&amp;" "&amp;Econ!A626</f>
        <v>T25 Knight</v>
      </c>
      <c r="C626" s="8">
        <f>Econ!B626</f>
        <v>25</v>
      </c>
      <c r="D626" s="7"/>
      <c r="E626" s="9"/>
      <c r="F626" s="9"/>
      <c r="G626" s="10" t="str">
        <f>Econ!L626</f>
        <v/>
      </c>
      <c r="H626" s="11" t="str">
        <f>Econ!M626</f>
        <v/>
      </c>
      <c r="I626" s="11">
        <f>Econ!N626</f>
        <v>156</v>
      </c>
      <c r="J626" s="12">
        <f>Econ!O626</f>
        <v>271</v>
      </c>
      <c r="K626" s="13">
        <f>Econ!P626</f>
        <v>0</v>
      </c>
      <c r="L626" s="14">
        <f>Econ!Q626</f>
        <v>0</v>
      </c>
      <c r="M626" s="14">
        <f>Econ!R626</f>
        <v>39</v>
      </c>
      <c r="N626" s="13">
        <f>Econ!S626</f>
        <v>67.75</v>
      </c>
      <c r="O626" s="13">
        <f>Econ!T626</f>
        <v>4</v>
      </c>
      <c r="P626" s="7" t="str">
        <f>Econ!A626</f>
        <v>Knight</v>
      </c>
      <c r="Q626" s="10">
        <f>Econ!C626</f>
        <v>1128.78498</v>
      </c>
      <c r="R626" s="10">
        <f>Econ!E626</f>
        <v>72.37967623</v>
      </c>
      <c r="S626" s="10">
        <f>Econ!G626</f>
        <v>145.1294975</v>
      </c>
      <c r="T626" s="10">
        <f>Econ!I626</f>
        <v>0</v>
      </c>
    </row>
    <row r="627">
      <c r="A627" s="7" t="str">
        <f>Econ!A627&amp;if(Econ!B627&lt;10,"_0"&amp;Econ!B627,"_"&amp;Econ!B627)</f>
        <v>Knight_26</v>
      </c>
      <c r="B627" s="7" t="str">
        <f>"T"&amp;Econ!B627&amp;" "&amp;Econ!A627</f>
        <v>T26 Knight</v>
      </c>
      <c r="C627" s="8">
        <f>Econ!B627</f>
        <v>26</v>
      </c>
      <c r="D627" s="7"/>
      <c r="E627" s="9"/>
      <c r="F627" s="9"/>
      <c r="G627" s="10" t="str">
        <f>Econ!L627</f>
        <v/>
      </c>
      <c r="H627" s="11" t="str">
        <f>Econ!M627</f>
        <v/>
      </c>
      <c r="I627" s="11">
        <f>Econ!N627</f>
        <v>166</v>
      </c>
      <c r="J627" s="12">
        <f>Econ!O627</f>
        <v>281</v>
      </c>
      <c r="K627" s="13">
        <f>Econ!P627</f>
        <v>0</v>
      </c>
      <c r="L627" s="14">
        <f>Econ!Q627</f>
        <v>0</v>
      </c>
      <c r="M627" s="14">
        <f>Econ!R627</f>
        <v>41.5</v>
      </c>
      <c r="N627" s="13">
        <f>Econ!S627</f>
        <v>70.25</v>
      </c>
      <c r="O627" s="13">
        <f>Econ!T627</f>
        <v>4</v>
      </c>
      <c r="P627" s="7" t="str">
        <f>Econ!A627</f>
        <v>Knight</v>
      </c>
      <c r="Q627" s="10">
        <f>Econ!C627</f>
        <v>1185.224229</v>
      </c>
      <c r="R627" s="10">
        <f>Econ!E627</f>
        <v>73.82726975</v>
      </c>
      <c r="S627" s="10">
        <f>Econ!G627</f>
        <v>152.3859723</v>
      </c>
      <c r="T627" s="10">
        <f>Econ!I627</f>
        <v>0</v>
      </c>
    </row>
    <row r="628">
      <c r="A628" s="7" t="str">
        <f>Econ!A628&amp;if(Econ!B628&lt;10,"_0"&amp;Econ!B628,"_"&amp;Econ!B628)</f>
        <v>Knight_27</v>
      </c>
      <c r="B628" s="7" t="str">
        <f>"T"&amp;Econ!B628&amp;" "&amp;Econ!A628</f>
        <v>T27 Knight</v>
      </c>
      <c r="C628" s="8">
        <f>Econ!B628</f>
        <v>27</v>
      </c>
      <c r="D628" s="7"/>
      <c r="E628" s="9"/>
      <c r="F628" s="9"/>
      <c r="G628" s="10" t="str">
        <f>Econ!L628</f>
        <v/>
      </c>
      <c r="H628" s="11" t="str">
        <f>Econ!M628</f>
        <v/>
      </c>
      <c r="I628" s="11">
        <f>Econ!N628</f>
        <v>176</v>
      </c>
      <c r="J628" s="12">
        <f>Econ!O628</f>
        <v>291</v>
      </c>
      <c r="K628" s="13">
        <f>Econ!P628</f>
        <v>0</v>
      </c>
      <c r="L628" s="14">
        <f>Econ!Q628</f>
        <v>0</v>
      </c>
      <c r="M628" s="14">
        <f>Econ!R628</f>
        <v>44</v>
      </c>
      <c r="N628" s="13">
        <f>Econ!S628</f>
        <v>72.75</v>
      </c>
      <c r="O628" s="13">
        <f>Econ!T628</f>
        <v>4</v>
      </c>
      <c r="P628" s="7" t="str">
        <f>Econ!A628</f>
        <v>Knight</v>
      </c>
      <c r="Q628" s="10">
        <f>Econ!C628</f>
        <v>1244.485441</v>
      </c>
      <c r="R628" s="10">
        <f>Econ!E628</f>
        <v>75.30381515</v>
      </c>
      <c r="S628" s="10">
        <f>Econ!G628</f>
        <v>160.005271</v>
      </c>
      <c r="T628" s="10">
        <f>Econ!I628</f>
        <v>0</v>
      </c>
    </row>
    <row r="629">
      <c r="A629" s="7" t="str">
        <f>Econ!A629&amp;if(Econ!B629&lt;10,"_0"&amp;Econ!B629,"_"&amp;Econ!B629)</f>
        <v>Knight_28</v>
      </c>
      <c r="B629" s="7" t="str">
        <f>"T"&amp;Econ!B629&amp;" "&amp;Econ!A629</f>
        <v>T28 Knight</v>
      </c>
      <c r="C629" s="8">
        <f>Econ!B629</f>
        <v>28</v>
      </c>
      <c r="D629" s="7"/>
      <c r="E629" s="9"/>
      <c r="F629" s="9"/>
      <c r="G629" s="10" t="str">
        <f>Econ!L629</f>
        <v/>
      </c>
      <c r="H629" s="11" t="str">
        <f>Econ!M629</f>
        <v/>
      </c>
      <c r="I629" s="11">
        <f>Econ!N629</f>
        <v>186</v>
      </c>
      <c r="J629" s="12">
        <f>Econ!O629</f>
        <v>301</v>
      </c>
      <c r="K629" s="13">
        <f>Econ!P629</f>
        <v>0</v>
      </c>
      <c r="L629" s="14">
        <f>Econ!Q629</f>
        <v>0</v>
      </c>
      <c r="M629" s="14">
        <f>Econ!R629</f>
        <v>46.5</v>
      </c>
      <c r="N629" s="13">
        <f>Econ!S629</f>
        <v>75.25</v>
      </c>
      <c r="O629" s="13">
        <f>Econ!T629</f>
        <v>4</v>
      </c>
      <c r="P629" s="7" t="str">
        <f>Econ!A629</f>
        <v>Knight</v>
      </c>
      <c r="Q629" s="10">
        <f>Econ!C629</f>
        <v>1306.709713</v>
      </c>
      <c r="R629" s="10">
        <f>Econ!E629</f>
        <v>76.80989145</v>
      </c>
      <c r="S629" s="10">
        <f>Econ!G629</f>
        <v>168.0055345</v>
      </c>
      <c r="T629" s="10">
        <f>Econ!I629</f>
        <v>0</v>
      </c>
    </row>
    <row r="630">
      <c r="A630" s="7" t="str">
        <f>Econ!A630&amp;if(Econ!B630&lt;10,"_0"&amp;Econ!B630,"_"&amp;Econ!B630)</f>
        <v>Knight_29</v>
      </c>
      <c r="B630" s="7" t="str">
        <f>"T"&amp;Econ!B630&amp;" "&amp;Econ!A630</f>
        <v>T29 Knight</v>
      </c>
      <c r="C630" s="8">
        <f>Econ!B630</f>
        <v>29</v>
      </c>
      <c r="D630" s="7"/>
      <c r="E630" s="9"/>
      <c r="F630" s="9"/>
      <c r="G630" s="10" t="str">
        <f>Econ!L630</f>
        <v/>
      </c>
      <c r="H630" s="11" t="str">
        <f>Econ!M630</f>
        <v/>
      </c>
      <c r="I630" s="11">
        <f>Econ!N630</f>
        <v>197</v>
      </c>
      <c r="J630" s="12">
        <f>Econ!O630</f>
        <v>312</v>
      </c>
      <c r="K630" s="13">
        <f>Econ!P630</f>
        <v>0</v>
      </c>
      <c r="L630" s="14">
        <f>Econ!Q630</f>
        <v>0</v>
      </c>
      <c r="M630" s="14">
        <f>Econ!R630</f>
        <v>49.25</v>
      </c>
      <c r="N630" s="13">
        <f>Econ!S630</f>
        <v>78</v>
      </c>
      <c r="O630" s="13">
        <f>Econ!T630</f>
        <v>4</v>
      </c>
      <c r="P630" s="7" t="str">
        <f>Econ!A630</f>
        <v>Knight</v>
      </c>
      <c r="Q630" s="10">
        <f>Econ!C630</f>
        <v>1372.045198</v>
      </c>
      <c r="R630" s="10">
        <f>Econ!E630</f>
        <v>78.34608928</v>
      </c>
      <c r="S630" s="10">
        <f>Econ!G630</f>
        <v>176.4058112</v>
      </c>
      <c r="T630" s="10">
        <f>Econ!I630</f>
        <v>0</v>
      </c>
    </row>
    <row r="631">
      <c r="A631" s="7" t="str">
        <f>Econ!A631&amp;if(Econ!B631&lt;10,"_0"&amp;Econ!B631,"_"&amp;Econ!B631)</f>
        <v>Knight_30</v>
      </c>
      <c r="B631" s="7" t="str">
        <f>"T"&amp;Econ!B631&amp;" "&amp;Econ!A631</f>
        <v>T30 Knight</v>
      </c>
      <c r="C631" s="8">
        <f>Econ!B631</f>
        <v>30</v>
      </c>
      <c r="D631" s="7"/>
      <c r="E631" s="9"/>
      <c r="F631" s="9"/>
      <c r="G631" s="10" t="str">
        <f>Econ!L631</f>
        <v/>
      </c>
      <c r="H631" s="11" t="str">
        <f>Econ!M631</f>
        <v/>
      </c>
      <c r="I631" s="11">
        <f>Econ!N631</f>
        <v>208</v>
      </c>
      <c r="J631" s="12">
        <f>Econ!O631</f>
        <v>323</v>
      </c>
      <c r="K631" s="13">
        <f>Econ!P631</f>
        <v>0</v>
      </c>
      <c r="L631" s="14">
        <f>Econ!Q631</f>
        <v>0</v>
      </c>
      <c r="M631" s="14">
        <f>Econ!R631</f>
        <v>52</v>
      </c>
      <c r="N631" s="13">
        <f>Econ!S631</f>
        <v>80.75</v>
      </c>
      <c r="O631" s="13">
        <f>Econ!T631</f>
        <v>4</v>
      </c>
      <c r="P631" s="7" t="str">
        <f>Econ!A631</f>
        <v>Knight</v>
      </c>
      <c r="Q631" s="10">
        <f>Econ!C631</f>
        <v>1440.647458</v>
      </c>
      <c r="R631" s="10">
        <f>Econ!E631</f>
        <v>79.91301106</v>
      </c>
      <c r="S631" s="10">
        <f>Econ!G631</f>
        <v>185.2261018</v>
      </c>
      <c r="T631" s="10">
        <f>Econ!I631</f>
        <v>0</v>
      </c>
    </row>
    <row r="632">
      <c r="A632" s="7" t="str">
        <f>Econ!A632&amp;if(Econ!B632&lt;10,"_0"&amp;Econ!B632,"_"&amp;Econ!B632)</f>
        <v>Knight_31</v>
      </c>
      <c r="B632" s="7" t="str">
        <f>"T"&amp;Econ!B632&amp;" "&amp;Econ!A632</f>
        <v>T31 Knight</v>
      </c>
      <c r="C632" s="8">
        <f>Econ!B632</f>
        <v>31</v>
      </c>
      <c r="D632" s="7"/>
      <c r="E632" s="9"/>
      <c r="F632" s="9"/>
      <c r="G632" s="10" t="str">
        <f>Econ!L632</f>
        <v/>
      </c>
      <c r="H632" s="11" t="str">
        <f>Econ!M632</f>
        <v/>
      </c>
      <c r="I632" s="11">
        <f>Econ!N632</f>
        <v>219</v>
      </c>
      <c r="J632" s="12">
        <f>Econ!O632</f>
        <v>334</v>
      </c>
      <c r="K632" s="13">
        <f>Econ!P632</f>
        <v>0</v>
      </c>
      <c r="L632" s="14">
        <f>Econ!Q632</f>
        <v>0</v>
      </c>
      <c r="M632" s="14">
        <f>Econ!R632</f>
        <v>54.75</v>
      </c>
      <c r="N632" s="13">
        <f>Econ!S632</f>
        <v>83.5</v>
      </c>
      <c r="O632" s="13">
        <f>Econ!T632</f>
        <v>4</v>
      </c>
      <c r="P632" s="7" t="str">
        <f>Econ!A632</f>
        <v>Knight</v>
      </c>
      <c r="Q632" s="10">
        <f>Econ!C632</f>
        <v>1512.679831</v>
      </c>
      <c r="R632" s="10">
        <f>Econ!E632</f>
        <v>81.51127128</v>
      </c>
      <c r="S632" s="10">
        <f>Econ!G632</f>
        <v>194.4874069</v>
      </c>
      <c r="T632" s="10">
        <f>Econ!I632</f>
        <v>0</v>
      </c>
    </row>
    <row r="633">
      <c r="A633" s="7" t="str">
        <f>Econ!A633&amp;if(Econ!B633&lt;10,"_0"&amp;Econ!B633,"_"&amp;Econ!B633)</f>
        <v>Knight_32</v>
      </c>
      <c r="B633" s="7" t="str">
        <f>"T"&amp;Econ!B633&amp;" "&amp;Econ!A633</f>
        <v>T32 Knight</v>
      </c>
      <c r="C633" s="8">
        <f>Econ!B633</f>
        <v>32</v>
      </c>
      <c r="D633" s="7"/>
      <c r="E633" s="9"/>
      <c r="F633" s="9"/>
      <c r="G633" s="10" t="str">
        <f>Econ!L633</f>
        <v/>
      </c>
      <c r="H633" s="11" t="str">
        <f>Econ!M633</f>
        <v/>
      </c>
      <c r="I633" s="11">
        <f>Econ!N633</f>
        <v>230</v>
      </c>
      <c r="J633" s="12">
        <f>Econ!O633</f>
        <v>345</v>
      </c>
      <c r="K633" s="13">
        <f>Econ!P633</f>
        <v>0</v>
      </c>
      <c r="L633" s="14">
        <f>Econ!Q633</f>
        <v>0</v>
      </c>
      <c r="M633" s="14">
        <f>Econ!R633</f>
        <v>57.5</v>
      </c>
      <c r="N633" s="13">
        <f>Econ!S633</f>
        <v>86.25</v>
      </c>
      <c r="O633" s="13">
        <f>Econ!T633</f>
        <v>4</v>
      </c>
      <c r="P633" s="7" t="str">
        <f>Econ!A633</f>
        <v>Knight</v>
      </c>
      <c r="Q633" s="10">
        <f>Econ!C633</f>
        <v>1588.313823</v>
      </c>
      <c r="R633" s="10">
        <f>Econ!E633</f>
        <v>83.14149671</v>
      </c>
      <c r="S633" s="10">
        <f>Econ!G633</f>
        <v>204.2117772</v>
      </c>
      <c r="T633" s="10">
        <f>Econ!I633</f>
        <v>0</v>
      </c>
    </row>
    <row r="634">
      <c r="A634" s="7" t="str">
        <f>Econ!A634&amp;if(Econ!B634&lt;10,"_0"&amp;Econ!B634,"_"&amp;Econ!B634)</f>
        <v>Knight_33</v>
      </c>
      <c r="B634" s="7" t="str">
        <f>"T"&amp;Econ!B634&amp;" "&amp;Econ!A634</f>
        <v>T33 Knight</v>
      </c>
      <c r="C634" s="8">
        <f>Econ!B634</f>
        <v>33</v>
      </c>
      <c r="D634" s="7"/>
      <c r="E634" s="9"/>
      <c r="F634" s="9"/>
      <c r="G634" s="10" t="str">
        <f>Econ!L634</f>
        <v/>
      </c>
      <c r="H634" s="11" t="str">
        <f>Econ!M634</f>
        <v/>
      </c>
      <c r="I634" s="11">
        <f>Econ!N634</f>
        <v>242</v>
      </c>
      <c r="J634" s="12">
        <f>Econ!O634</f>
        <v>357</v>
      </c>
      <c r="K634" s="13">
        <f>Econ!P634</f>
        <v>0</v>
      </c>
      <c r="L634" s="14">
        <f>Econ!Q634</f>
        <v>0</v>
      </c>
      <c r="M634" s="14">
        <f>Econ!R634</f>
        <v>60.5</v>
      </c>
      <c r="N634" s="13">
        <f>Econ!S634</f>
        <v>89.25</v>
      </c>
      <c r="O634" s="13">
        <f>Econ!T634</f>
        <v>4</v>
      </c>
      <c r="P634" s="7" t="str">
        <f>Econ!A634</f>
        <v>Knight</v>
      </c>
      <c r="Q634" s="10">
        <f>Econ!C634</f>
        <v>1667.729514</v>
      </c>
      <c r="R634" s="10">
        <f>Econ!E634</f>
        <v>84.80432664</v>
      </c>
      <c r="S634" s="10">
        <f>Econ!G634</f>
        <v>214.4223661</v>
      </c>
      <c r="T634" s="10">
        <f>Econ!I634</f>
        <v>0</v>
      </c>
    </row>
    <row r="635">
      <c r="A635" s="7" t="str">
        <f>Econ!A635&amp;if(Econ!B635&lt;10,"_0"&amp;Econ!B635,"_"&amp;Econ!B635)</f>
        <v>Knight_34</v>
      </c>
      <c r="B635" s="7" t="str">
        <f>"T"&amp;Econ!B635&amp;" "&amp;Econ!A635</f>
        <v>T34 Knight</v>
      </c>
      <c r="C635" s="8">
        <f>Econ!B635</f>
        <v>34</v>
      </c>
      <c r="D635" s="7"/>
      <c r="E635" s="9"/>
      <c r="F635" s="9"/>
      <c r="G635" s="10" t="str">
        <f>Econ!L635</f>
        <v/>
      </c>
      <c r="H635" s="11" t="str">
        <f>Econ!M635</f>
        <v/>
      </c>
      <c r="I635" s="11">
        <f>Econ!N635</f>
        <v>254</v>
      </c>
      <c r="J635" s="12">
        <f>Econ!O635</f>
        <v>369</v>
      </c>
      <c r="K635" s="13">
        <f>Econ!P635</f>
        <v>0</v>
      </c>
      <c r="L635" s="14">
        <f>Econ!Q635</f>
        <v>0</v>
      </c>
      <c r="M635" s="14">
        <f>Econ!R635</f>
        <v>63.5</v>
      </c>
      <c r="N635" s="13">
        <f>Econ!S635</f>
        <v>92.25</v>
      </c>
      <c r="O635" s="13">
        <f>Econ!T635</f>
        <v>4</v>
      </c>
      <c r="P635" s="7" t="str">
        <f>Econ!A635</f>
        <v>Knight</v>
      </c>
      <c r="Q635" s="10">
        <f>Econ!C635</f>
        <v>1751.11599</v>
      </c>
      <c r="R635" s="10">
        <f>Econ!E635</f>
        <v>86.50041318</v>
      </c>
      <c r="S635" s="10">
        <f>Econ!G635</f>
        <v>225.1434844</v>
      </c>
      <c r="T635" s="10">
        <f>Econ!I635</f>
        <v>0</v>
      </c>
    </row>
    <row r="636">
      <c r="A636" s="7" t="str">
        <f>Econ!A636&amp;if(Econ!B636&lt;10,"_0"&amp;Econ!B636,"_"&amp;Econ!B636)</f>
        <v>Knight_35</v>
      </c>
      <c r="B636" s="7" t="str">
        <f>"T"&amp;Econ!B636&amp;" "&amp;Econ!A636</f>
        <v>T35 Knight</v>
      </c>
      <c r="C636" s="8">
        <f>Econ!B636</f>
        <v>35</v>
      </c>
      <c r="D636" s="7"/>
      <c r="E636" s="9"/>
      <c r="F636" s="9"/>
      <c r="G636" s="10" t="str">
        <f>Econ!L636</f>
        <v/>
      </c>
      <c r="H636" s="11" t="str">
        <f>Econ!M636</f>
        <v/>
      </c>
      <c r="I636" s="11">
        <f>Econ!N636</f>
        <v>266</v>
      </c>
      <c r="J636" s="12">
        <f>Econ!O636</f>
        <v>381</v>
      </c>
      <c r="K636" s="13">
        <f>Econ!P636</f>
        <v>0</v>
      </c>
      <c r="L636" s="14">
        <f>Econ!Q636</f>
        <v>0</v>
      </c>
      <c r="M636" s="14">
        <f>Econ!R636</f>
        <v>66.5</v>
      </c>
      <c r="N636" s="13">
        <f>Econ!S636</f>
        <v>95.25</v>
      </c>
      <c r="O636" s="13">
        <f>Econ!T636</f>
        <v>5</v>
      </c>
      <c r="P636" s="7" t="str">
        <f>Econ!A636</f>
        <v>Knight</v>
      </c>
      <c r="Q636" s="10">
        <f>Econ!C636</f>
        <v>1838.671789</v>
      </c>
      <c r="R636" s="10">
        <f>Econ!E636</f>
        <v>88.23042144</v>
      </c>
      <c r="S636" s="10">
        <f>Econ!G636</f>
        <v>236.4006586</v>
      </c>
      <c r="T636" s="10">
        <f>Econ!I636</f>
        <v>0</v>
      </c>
    </row>
    <row r="637">
      <c r="A637" s="7" t="str">
        <f>Econ!A637&amp;if(Econ!B637&lt;10,"_0"&amp;Econ!B637,"_"&amp;Econ!B637)</f>
        <v>Knight_36</v>
      </c>
      <c r="B637" s="7" t="str">
        <f>"T"&amp;Econ!B637&amp;" "&amp;Econ!A637</f>
        <v>T36 Knight</v>
      </c>
      <c r="C637" s="8">
        <f>Econ!B637</f>
        <v>36</v>
      </c>
      <c r="D637" s="7"/>
      <c r="E637" s="9"/>
      <c r="F637" s="9"/>
      <c r="G637" s="10" t="str">
        <f>Econ!L637</f>
        <v/>
      </c>
      <c r="H637" s="11" t="str">
        <f>Econ!M637</f>
        <v/>
      </c>
      <c r="I637" s="11">
        <f>Econ!N637</f>
        <v>278</v>
      </c>
      <c r="J637" s="12">
        <f>Econ!O637</f>
        <v>393</v>
      </c>
      <c r="K637" s="13">
        <f>Econ!P637</f>
        <v>0</v>
      </c>
      <c r="L637" s="14">
        <f>Econ!Q637</f>
        <v>0</v>
      </c>
      <c r="M637" s="14">
        <f>Econ!R637</f>
        <v>69.5</v>
      </c>
      <c r="N637" s="13">
        <f>Econ!S637</f>
        <v>98.25</v>
      </c>
      <c r="O637" s="13">
        <f>Econ!T637</f>
        <v>5</v>
      </c>
      <c r="P637" s="7" t="str">
        <f>Econ!A637</f>
        <v>Knight</v>
      </c>
      <c r="Q637" s="10">
        <f>Econ!C637</f>
        <v>1930.605379</v>
      </c>
      <c r="R637" s="10">
        <f>Econ!E637</f>
        <v>89.99502987</v>
      </c>
      <c r="S637" s="10">
        <f>Econ!G637</f>
        <v>248.2206915</v>
      </c>
      <c r="T637" s="10">
        <f>Econ!I637</f>
        <v>0</v>
      </c>
    </row>
    <row r="638">
      <c r="A638" s="7" t="str">
        <f>Econ!A638&amp;if(Econ!B638&lt;10,"_0"&amp;Econ!B638,"_"&amp;Econ!B638)</f>
        <v>Knight_37</v>
      </c>
      <c r="B638" s="7" t="str">
        <f>"T"&amp;Econ!B638&amp;" "&amp;Econ!A638</f>
        <v>T37 Knight</v>
      </c>
      <c r="C638" s="8">
        <f>Econ!B638</f>
        <v>37</v>
      </c>
      <c r="D638" s="7"/>
      <c r="E638" s="9"/>
      <c r="F638" s="9"/>
      <c r="G638" s="10" t="str">
        <f>Econ!L638</f>
        <v/>
      </c>
      <c r="H638" s="11" t="str">
        <f>Econ!M638</f>
        <v/>
      </c>
      <c r="I638" s="11">
        <f>Econ!N638</f>
        <v>291</v>
      </c>
      <c r="J638" s="12">
        <f>Econ!O638</f>
        <v>406</v>
      </c>
      <c r="K638" s="13">
        <f>Econ!P638</f>
        <v>0</v>
      </c>
      <c r="L638" s="14">
        <f>Econ!Q638</f>
        <v>0</v>
      </c>
      <c r="M638" s="14">
        <f>Econ!R638</f>
        <v>72.75</v>
      </c>
      <c r="N638" s="13">
        <f>Econ!S638</f>
        <v>101.5</v>
      </c>
      <c r="O638" s="13">
        <f>Econ!T638</f>
        <v>5</v>
      </c>
      <c r="P638" s="7" t="str">
        <f>Econ!A638</f>
        <v>Knight</v>
      </c>
      <c r="Q638" s="10">
        <f>Econ!C638</f>
        <v>2027.135648</v>
      </c>
      <c r="R638" s="10">
        <f>Econ!E638</f>
        <v>91.79493047</v>
      </c>
      <c r="S638" s="10">
        <f>Econ!G638</f>
        <v>260.6317261</v>
      </c>
      <c r="T638" s="10">
        <f>Econ!I638</f>
        <v>0</v>
      </c>
    </row>
    <row r="639">
      <c r="A639" s="7" t="str">
        <f>Econ!A639&amp;if(Econ!B639&lt;10,"_0"&amp;Econ!B639,"_"&amp;Econ!B639)</f>
        <v>Knight_38</v>
      </c>
      <c r="B639" s="7" t="str">
        <f>"T"&amp;Econ!B639&amp;" "&amp;Econ!A639</f>
        <v>T38 Knight</v>
      </c>
      <c r="C639" s="8">
        <f>Econ!B639</f>
        <v>38</v>
      </c>
      <c r="D639" s="7"/>
      <c r="E639" s="9"/>
      <c r="F639" s="9"/>
      <c r="G639" s="10" t="str">
        <f>Econ!L639</f>
        <v/>
      </c>
      <c r="H639" s="11" t="str">
        <f>Econ!M639</f>
        <v/>
      </c>
      <c r="I639" s="11">
        <f>Econ!N639</f>
        <v>304</v>
      </c>
      <c r="J639" s="12">
        <f>Econ!O639</f>
        <v>419</v>
      </c>
      <c r="K639" s="13">
        <f>Econ!P639</f>
        <v>0</v>
      </c>
      <c r="L639" s="14">
        <f>Econ!Q639</f>
        <v>0</v>
      </c>
      <c r="M639" s="14">
        <f>Econ!R639</f>
        <v>76</v>
      </c>
      <c r="N639" s="13">
        <f>Econ!S639</f>
        <v>104.75</v>
      </c>
      <c r="O639" s="13">
        <f>Econ!T639</f>
        <v>5</v>
      </c>
      <c r="P639" s="7" t="str">
        <f>Econ!A639</f>
        <v>Knight</v>
      </c>
      <c r="Q639" s="10">
        <f>Econ!C639</f>
        <v>2128.49243</v>
      </c>
      <c r="R639" s="10">
        <f>Econ!E639</f>
        <v>93.63082908</v>
      </c>
      <c r="S639" s="10">
        <f>Econ!G639</f>
        <v>273.6633124</v>
      </c>
      <c r="T639" s="10">
        <f>Econ!I639</f>
        <v>0</v>
      </c>
    </row>
    <row r="640">
      <c r="A640" s="7" t="str">
        <f>Econ!A640&amp;if(Econ!B640&lt;10,"_0"&amp;Econ!B640,"_"&amp;Econ!B640)</f>
        <v>Knight_39</v>
      </c>
      <c r="B640" s="7" t="str">
        <f>"T"&amp;Econ!B640&amp;" "&amp;Econ!A640</f>
        <v>T39 Knight</v>
      </c>
      <c r="C640" s="8">
        <f>Econ!B640</f>
        <v>39</v>
      </c>
      <c r="D640" s="7"/>
      <c r="E640" s="9"/>
      <c r="F640" s="9"/>
      <c r="G640" s="10" t="str">
        <f>Econ!L640</f>
        <v/>
      </c>
      <c r="H640" s="11" t="str">
        <f>Econ!M640</f>
        <v/>
      </c>
      <c r="I640" s="11">
        <f>Econ!N640</f>
        <v>317</v>
      </c>
      <c r="J640" s="12">
        <f>Econ!O640</f>
        <v>432</v>
      </c>
      <c r="K640" s="13">
        <f>Econ!P640</f>
        <v>0</v>
      </c>
      <c r="L640" s="14">
        <f>Econ!Q640</f>
        <v>0</v>
      </c>
      <c r="M640" s="14">
        <f>Econ!R640</f>
        <v>79.25</v>
      </c>
      <c r="N640" s="13">
        <f>Econ!S640</f>
        <v>108</v>
      </c>
      <c r="O640" s="13">
        <f>Econ!T640</f>
        <v>5</v>
      </c>
      <c r="P640" s="7" t="str">
        <f>Econ!A640</f>
        <v>Knight</v>
      </c>
      <c r="Q640" s="10">
        <f>Econ!C640</f>
        <v>2234.917051</v>
      </c>
      <c r="R640" s="10">
        <f>Econ!E640</f>
        <v>95.50344566</v>
      </c>
      <c r="S640" s="10">
        <f>Econ!G640</f>
        <v>287.346478</v>
      </c>
      <c r="T640" s="10">
        <f>Econ!I640</f>
        <v>0</v>
      </c>
    </row>
    <row r="641">
      <c r="A641" s="7" t="str">
        <f>Econ!A641&amp;if(Econ!B641&lt;10,"_0"&amp;Econ!B641,"_"&amp;Econ!B641)</f>
        <v>Knight_40</v>
      </c>
      <c r="B641" s="7" t="str">
        <f>"T"&amp;Econ!B641&amp;" "&amp;Econ!A641</f>
        <v>T40 Knight</v>
      </c>
      <c r="C641" s="8">
        <f>Econ!B641</f>
        <v>40</v>
      </c>
      <c r="D641" s="7"/>
      <c r="E641" s="9"/>
      <c r="F641" s="9"/>
      <c r="G641" s="10" t="str">
        <f>Econ!L641</f>
        <v/>
      </c>
      <c r="H641" s="11" t="str">
        <f>Econ!M641</f>
        <v/>
      </c>
      <c r="I641" s="11">
        <f>Econ!N641</f>
        <v>330</v>
      </c>
      <c r="J641" s="12">
        <f>Econ!O641</f>
        <v>445</v>
      </c>
      <c r="K641" s="13">
        <f>Econ!P641</f>
        <v>0</v>
      </c>
      <c r="L641" s="14">
        <f>Econ!Q641</f>
        <v>0</v>
      </c>
      <c r="M641" s="14">
        <f>Econ!R641</f>
        <v>82.5</v>
      </c>
      <c r="N641" s="13">
        <f>Econ!S641</f>
        <v>111.25</v>
      </c>
      <c r="O641" s="13">
        <f>Econ!T641</f>
        <v>5</v>
      </c>
      <c r="P641" s="7" t="str">
        <f>Econ!A641</f>
        <v>Knight</v>
      </c>
      <c r="Q641" s="10">
        <f>Econ!C641</f>
        <v>2346.662904</v>
      </c>
      <c r="R641" s="10">
        <f>Econ!E641</f>
        <v>97.41351457</v>
      </c>
      <c r="S641" s="10">
        <f>Econ!G641</f>
        <v>301.7138019</v>
      </c>
      <c r="T641" s="10">
        <f>Econ!I641</f>
        <v>0</v>
      </c>
    </row>
    <row r="642">
      <c r="A642" s="7" t="str">
        <f>Econ!A642&amp;if(Econ!B642&lt;10,"_0"&amp;Econ!B642,"_"&amp;Econ!B642)</f>
        <v>Knight_41</v>
      </c>
      <c r="B642" s="7" t="str">
        <f>"T"&amp;Econ!B642&amp;" "&amp;Econ!A642</f>
        <v>T41 Knight</v>
      </c>
      <c r="C642" s="8">
        <f>Econ!B642</f>
        <v>41</v>
      </c>
      <c r="D642" s="7"/>
      <c r="E642" s="9"/>
      <c r="F642" s="9"/>
      <c r="G642" s="10" t="str">
        <f>Econ!L642</f>
        <v/>
      </c>
      <c r="H642" s="11" t="str">
        <f>Econ!M642</f>
        <v/>
      </c>
      <c r="I642" s="11">
        <f>Econ!N642</f>
        <v>344</v>
      </c>
      <c r="J642" s="12">
        <f>Econ!O642</f>
        <v>459</v>
      </c>
      <c r="K642" s="13">
        <f>Econ!P642</f>
        <v>0</v>
      </c>
      <c r="L642" s="14">
        <f>Econ!Q642</f>
        <v>0</v>
      </c>
      <c r="M642" s="14">
        <f>Econ!R642</f>
        <v>86</v>
      </c>
      <c r="N642" s="13">
        <f>Econ!S642</f>
        <v>114.75</v>
      </c>
      <c r="O642" s="13">
        <f>Econ!T642</f>
        <v>5</v>
      </c>
      <c r="P642" s="7" t="str">
        <f>Econ!A642</f>
        <v>Knight</v>
      </c>
      <c r="Q642" s="10">
        <f>Econ!C642</f>
        <v>2463.996049</v>
      </c>
      <c r="R642" s="10">
        <f>Econ!E642</f>
        <v>99.36178486</v>
      </c>
      <c r="S642" s="10">
        <f>Econ!G642</f>
        <v>316.799492</v>
      </c>
      <c r="T642" s="10">
        <f>Econ!I642</f>
        <v>0</v>
      </c>
    </row>
    <row r="643">
      <c r="A643" s="7" t="str">
        <f>Econ!A643&amp;if(Econ!B643&lt;10,"_0"&amp;Econ!B643,"_"&amp;Econ!B643)</f>
        <v>Knight_42</v>
      </c>
      <c r="B643" s="7" t="str">
        <f>"T"&amp;Econ!B643&amp;" "&amp;Econ!A643</f>
        <v>T42 Knight</v>
      </c>
      <c r="C643" s="8">
        <f>Econ!B643</f>
        <v>42</v>
      </c>
      <c r="D643" s="7"/>
      <c r="E643" s="9"/>
      <c r="F643" s="9"/>
      <c r="G643" s="10" t="str">
        <f>Econ!L643</f>
        <v/>
      </c>
      <c r="H643" s="11" t="str">
        <f>Econ!M643</f>
        <v/>
      </c>
      <c r="I643" s="11">
        <f>Econ!N643</f>
        <v>358</v>
      </c>
      <c r="J643" s="12">
        <f>Econ!O643</f>
        <v>473</v>
      </c>
      <c r="K643" s="13">
        <f>Econ!P643</f>
        <v>0</v>
      </c>
      <c r="L643" s="14">
        <f>Econ!Q643</f>
        <v>0</v>
      </c>
      <c r="M643" s="14">
        <f>Econ!R643</f>
        <v>89.5</v>
      </c>
      <c r="N643" s="13">
        <f>Econ!S643</f>
        <v>118.25</v>
      </c>
      <c r="O643" s="13">
        <f>Econ!T643</f>
        <v>5</v>
      </c>
      <c r="P643" s="7" t="str">
        <f>Econ!A643</f>
        <v>Knight</v>
      </c>
      <c r="Q643" s="10">
        <f>Econ!C643</f>
        <v>2587.195852</v>
      </c>
      <c r="R643" s="10">
        <f>Econ!E643</f>
        <v>101.3490206</v>
      </c>
      <c r="S643" s="10">
        <f>Econ!G643</f>
        <v>332.6394666</v>
      </c>
      <c r="T643" s="10">
        <f>Econ!I643</f>
        <v>0</v>
      </c>
    </row>
    <row r="644">
      <c r="A644" s="7" t="str">
        <f>Econ!A644&amp;if(Econ!B644&lt;10,"_0"&amp;Econ!B644,"_"&amp;Econ!B644)</f>
        <v>Knight_43</v>
      </c>
      <c r="B644" s="7" t="str">
        <f>"T"&amp;Econ!B644&amp;" "&amp;Econ!A644</f>
        <v>T43 Knight</v>
      </c>
      <c r="C644" s="8">
        <f>Econ!B644</f>
        <v>43</v>
      </c>
      <c r="D644" s="7"/>
      <c r="E644" s="9"/>
      <c r="F644" s="9"/>
      <c r="G644" s="10" t="str">
        <f>Econ!L644</f>
        <v/>
      </c>
      <c r="H644" s="11" t="str">
        <f>Econ!M644</f>
        <v/>
      </c>
      <c r="I644" s="11">
        <f>Econ!N644</f>
        <v>372</v>
      </c>
      <c r="J644" s="12">
        <f>Econ!O644</f>
        <v>487</v>
      </c>
      <c r="K644" s="13">
        <f>Econ!P644</f>
        <v>0</v>
      </c>
      <c r="L644" s="14">
        <f>Econ!Q644</f>
        <v>0</v>
      </c>
      <c r="M644" s="14">
        <f>Econ!R644</f>
        <v>93</v>
      </c>
      <c r="N644" s="13">
        <f>Econ!S644</f>
        <v>121.75</v>
      </c>
      <c r="O644" s="13">
        <f>Econ!T644</f>
        <v>5</v>
      </c>
      <c r="P644" s="7" t="str">
        <f>Econ!A644</f>
        <v>Knight</v>
      </c>
      <c r="Q644" s="10">
        <f>Econ!C644</f>
        <v>2716.555644</v>
      </c>
      <c r="R644" s="10">
        <f>Econ!E644</f>
        <v>103.376001</v>
      </c>
      <c r="S644" s="10">
        <f>Econ!G644</f>
        <v>349.27144</v>
      </c>
      <c r="T644" s="10">
        <f>Econ!I644</f>
        <v>0</v>
      </c>
    </row>
    <row r="645">
      <c r="A645" s="7" t="str">
        <f>Econ!A645&amp;if(Econ!B645&lt;10,"_0"&amp;Econ!B645,"_"&amp;Econ!B645)</f>
        <v>Knight_44</v>
      </c>
      <c r="B645" s="7" t="str">
        <f>"T"&amp;Econ!B645&amp;" "&amp;Econ!A645</f>
        <v>T44 Knight</v>
      </c>
      <c r="C645" s="8">
        <f>Econ!B645</f>
        <v>44</v>
      </c>
      <c r="D645" s="7"/>
      <c r="E645" s="9"/>
      <c r="F645" s="9"/>
      <c r="G645" s="10" t="str">
        <f>Econ!L645</f>
        <v/>
      </c>
      <c r="H645" s="11" t="str">
        <f>Econ!M645</f>
        <v/>
      </c>
      <c r="I645" s="11">
        <f>Econ!N645</f>
        <v>386</v>
      </c>
      <c r="J645" s="12">
        <f>Econ!O645</f>
        <v>501</v>
      </c>
      <c r="K645" s="13">
        <f>Econ!P645</f>
        <v>0</v>
      </c>
      <c r="L645" s="14">
        <f>Econ!Q645</f>
        <v>0</v>
      </c>
      <c r="M645" s="14">
        <f>Econ!R645</f>
        <v>96.5</v>
      </c>
      <c r="N645" s="13">
        <f>Econ!S645</f>
        <v>125.25</v>
      </c>
      <c r="O645" s="13">
        <f>Econ!T645</f>
        <v>5</v>
      </c>
      <c r="P645" s="7" t="str">
        <f>Econ!A645</f>
        <v>Knight</v>
      </c>
      <c r="Q645" s="10">
        <f>Econ!C645</f>
        <v>2852.383427</v>
      </c>
      <c r="R645" s="10">
        <f>Econ!E645</f>
        <v>105.443521</v>
      </c>
      <c r="S645" s="10">
        <f>Econ!G645</f>
        <v>366.735012</v>
      </c>
      <c r="T645" s="10">
        <f>Econ!I645</f>
        <v>0</v>
      </c>
    </row>
    <row r="646">
      <c r="A646" s="7" t="str">
        <f>Econ!A646&amp;if(Econ!B646&lt;10,"_0"&amp;Econ!B646,"_"&amp;Econ!B646)</f>
        <v>Knight_45</v>
      </c>
      <c r="B646" s="7" t="str">
        <f>"T"&amp;Econ!B646&amp;" "&amp;Econ!A646</f>
        <v>T45 Knight</v>
      </c>
      <c r="C646" s="8">
        <f>Econ!B646</f>
        <v>45</v>
      </c>
      <c r="D646" s="7"/>
      <c r="E646" s="9"/>
      <c r="F646" s="9"/>
      <c r="G646" s="10" t="str">
        <f>Econ!L646</f>
        <v/>
      </c>
      <c r="H646" s="11" t="str">
        <f>Econ!M646</f>
        <v/>
      </c>
      <c r="I646" s="11">
        <f>Econ!N646</f>
        <v>400</v>
      </c>
      <c r="J646" s="12">
        <f>Econ!O646</f>
        <v>515</v>
      </c>
      <c r="K646" s="13">
        <f>Econ!P646</f>
        <v>0</v>
      </c>
      <c r="L646" s="14">
        <f>Econ!Q646</f>
        <v>0</v>
      </c>
      <c r="M646" s="14">
        <f>Econ!R646</f>
        <v>100</v>
      </c>
      <c r="N646" s="13">
        <f>Econ!S646</f>
        <v>128.75</v>
      </c>
      <c r="O646" s="13">
        <f>Econ!T646</f>
        <v>6</v>
      </c>
      <c r="P646" s="7" t="str">
        <f>Econ!A646</f>
        <v>Knight</v>
      </c>
      <c r="Q646" s="10">
        <f>Econ!C646</f>
        <v>2995.002598</v>
      </c>
      <c r="R646" s="10">
        <f>Econ!E646</f>
        <v>107.5523914</v>
      </c>
      <c r="S646" s="10">
        <f>Econ!G646</f>
        <v>385.0717626</v>
      </c>
      <c r="T646" s="10">
        <f>Econ!I646</f>
        <v>0</v>
      </c>
    </row>
    <row r="647">
      <c r="A647" s="7" t="str">
        <f>Econ!A647&amp;if(Econ!B647&lt;10,"_0"&amp;Econ!B647,"_"&amp;Econ!B647)</f>
        <v>Knight_46</v>
      </c>
      <c r="B647" s="7" t="str">
        <f>"T"&amp;Econ!B647&amp;" "&amp;Econ!A647</f>
        <v>T46 Knight</v>
      </c>
      <c r="C647" s="8">
        <f>Econ!B647</f>
        <v>46</v>
      </c>
      <c r="D647" s="7"/>
      <c r="E647" s="9"/>
      <c r="F647" s="9"/>
      <c r="G647" s="10" t="str">
        <f>Econ!L647</f>
        <v/>
      </c>
      <c r="H647" s="11" t="str">
        <f>Econ!M647</f>
        <v/>
      </c>
      <c r="I647" s="11">
        <f>Econ!N647</f>
        <v>415</v>
      </c>
      <c r="J647" s="12">
        <f>Econ!O647</f>
        <v>530</v>
      </c>
      <c r="K647" s="13">
        <f>Econ!P647</f>
        <v>0</v>
      </c>
      <c r="L647" s="14">
        <f>Econ!Q647</f>
        <v>0</v>
      </c>
      <c r="M647" s="14">
        <f>Econ!R647</f>
        <v>103.75</v>
      </c>
      <c r="N647" s="13">
        <f>Econ!S647</f>
        <v>132.5</v>
      </c>
      <c r="O647" s="13">
        <f>Econ!T647</f>
        <v>6</v>
      </c>
      <c r="P647" s="7" t="str">
        <f>Econ!A647</f>
        <v>Knight</v>
      </c>
      <c r="Q647" s="10">
        <f>Econ!C647</f>
        <v>3144.752728</v>
      </c>
      <c r="R647" s="10">
        <f>Econ!E647</f>
        <v>109.7034392</v>
      </c>
      <c r="S647" s="10">
        <f>Econ!G647</f>
        <v>404.3253507</v>
      </c>
      <c r="T647" s="10">
        <f>Econ!I647</f>
        <v>0</v>
      </c>
    </row>
    <row r="648">
      <c r="A648" s="7" t="str">
        <f>Econ!A648&amp;if(Econ!B648&lt;10,"_0"&amp;Econ!B648,"_"&amp;Econ!B648)</f>
        <v>Knight_47</v>
      </c>
      <c r="B648" s="7" t="str">
        <f>"T"&amp;Econ!B648&amp;" "&amp;Econ!A648</f>
        <v>T47 Knight</v>
      </c>
      <c r="C648" s="8">
        <f>Econ!B648</f>
        <v>47</v>
      </c>
      <c r="D648" s="7"/>
      <c r="E648" s="9"/>
      <c r="F648" s="9"/>
      <c r="G648" s="10" t="str">
        <f>Econ!L648</f>
        <v/>
      </c>
      <c r="H648" s="11" t="str">
        <f>Econ!M648</f>
        <v/>
      </c>
      <c r="I648" s="11">
        <f>Econ!N648</f>
        <v>430</v>
      </c>
      <c r="J648" s="12">
        <f>Econ!O648</f>
        <v>545</v>
      </c>
      <c r="K648" s="13">
        <f>Econ!P648</f>
        <v>0</v>
      </c>
      <c r="L648" s="14">
        <f>Econ!Q648</f>
        <v>0</v>
      </c>
      <c r="M648" s="14">
        <f>Econ!R648</f>
        <v>107.5</v>
      </c>
      <c r="N648" s="13">
        <f>Econ!S648</f>
        <v>136.25</v>
      </c>
      <c r="O648" s="13">
        <f>Econ!T648</f>
        <v>6</v>
      </c>
      <c r="P648" s="7" t="str">
        <f>Econ!A648</f>
        <v>Knight</v>
      </c>
      <c r="Q648" s="10">
        <f>Econ!C648</f>
        <v>3301.990364</v>
      </c>
      <c r="R648" s="10">
        <f>Econ!E648</f>
        <v>111.897508</v>
      </c>
      <c r="S648" s="10">
        <f>Econ!G648</f>
        <v>424.5416182</v>
      </c>
      <c r="T648" s="10">
        <f>Econ!I648</f>
        <v>0</v>
      </c>
    </row>
    <row r="649">
      <c r="A649" s="7" t="str">
        <f>Econ!A649&amp;if(Econ!B649&lt;10,"_0"&amp;Econ!B649,"_"&amp;Econ!B649)</f>
        <v>Knight_48</v>
      </c>
      <c r="B649" s="7" t="str">
        <f>"T"&amp;Econ!B649&amp;" "&amp;Econ!A649</f>
        <v>T48 Knight</v>
      </c>
      <c r="C649" s="8">
        <f>Econ!B649</f>
        <v>48</v>
      </c>
      <c r="D649" s="7"/>
      <c r="E649" s="9"/>
      <c r="F649" s="9"/>
      <c r="G649" s="10" t="str">
        <f>Econ!L649</f>
        <v/>
      </c>
      <c r="H649" s="11" t="str">
        <f>Econ!M649</f>
        <v/>
      </c>
      <c r="I649" s="11">
        <f>Econ!N649</f>
        <v>445</v>
      </c>
      <c r="J649" s="12">
        <f>Econ!O649</f>
        <v>560</v>
      </c>
      <c r="K649" s="13">
        <f>Econ!P649</f>
        <v>0</v>
      </c>
      <c r="L649" s="14">
        <f>Econ!Q649</f>
        <v>0</v>
      </c>
      <c r="M649" s="14">
        <f>Econ!R649</f>
        <v>111.25</v>
      </c>
      <c r="N649" s="13">
        <f>Econ!S649</f>
        <v>140</v>
      </c>
      <c r="O649" s="13">
        <f>Econ!T649</f>
        <v>6</v>
      </c>
      <c r="P649" s="7" t="str">
        <f>Econ!A649</f>
        <v>Knight</v>
      </c>
      <c r="Q649" s="10">
        <f>Econ!C649</f>
        <v>3467.089882</v>
      </c>
      <c r="R649" s="10">
        <f>Econ!E649</f>
        <v>114.1354582</v>
      </c>
      <c r="S649" s="10">
        <f>Econ!G649</f>
        <v>445.7686992</v>
      </c>
      <c r="T649" s="10">
        <f>Econ!I649</f>
        <v>0</v>
      </c>
    </row>
    <row r="650">
      <c r="A650" s="7" t="str">
        <f>Econ!A650&amp;if(Econ!B650&lt;10,"_0"&amp;Econ!B650,"_"&amp;Econ!B650)</f>
        <v>Knight_49</v>
      </c>
      <c r="B650" s="7" t="str">
        <f>"T"&amp;Econ!B650&amp;" "&amp;Econ!A650</f>
        <v>T49 Knight</v>
      </c>
      <c r="C650" s="8">
        <f>Econ!B650</f>
        <v>49</v>
      </c>
      <c r="D650" s="7"/>
      <c r="E650" s="9"/>
      <c r="F650" s="9"/>
      <c r="G650" s="10" t="str">
        <f>Econ!L650</f>
        <v/>
      </c>
      <c r="H650" s="11" t="str">
        <f>Econ!M650</f>
        <v/>
      </c>
      <c r="I650" s="11">
        <f>Econ!N650</f>
        <v>460</v>
      </c>
      <c r="J650" s="12">
        <f>Econ!O650</f>
        <v>575</v>
      </c>
      <c r="K650" s="13">
        <f>Econ!P650</f>
        <v>0</v>
      </c>
      <c r="L650" s="14">
        <f>Econ!Q650</f>
        <v>0</v>
      </c>
      <c r="M650" s="14">
        <f>Econ!R650</f>
        <v>115</v>
      </c>
      <c r="N650" s="13">
        <f>Econ!S650</f>
        <v>143.75</v>
      </c>
      <c r="O650" s="13">
        <f>Econ!T650</f>
        <v>6</v>
      </c>
      <c r="P650" s="7" t="str">
        <f>Econ!A650</f>
        <v>Knight</v>
      </c>
      <c r="Q650" s="10">
        <f>Econ!C650</f>
        <v>3640.444376</v>
      </c>
      <c r="R650" s="10">
        <f>Econ!E650</f>
        <v>116.4181673</v>
      </c>
      <c r="S650" s="10">
        <f>Econ!G650</f>
        <v>468.0571341</v>
      </c>
      <c r="T650" s="10">
        <f>Econ!I650</f>
        <v>0</v>
      </c>
    </row>
    <row r="651">
      <c r="A651" s="7" t="str">
        <f>Econ!A651&amp;if(Econ!B651&lt;10,"_0"&amp;Econ!B651,"_"&amp;Econ!B651)</f>
        <v>Knight_50</v>
      </c>
      <c r="B651" s="7" t="str">
        <f>"T"&amp;Econ!B651&amp;" "&amp;Econ!A651</f>
        <v>T50 Knight</v>
      </c>
      <c r="C651" s="8">
        <f>Econ!B651</f>
        <v>50</v>
      </c>
      <c r="D651" s="7"/>
      <c r="E651" s="9"/>
      <c r="F651" s="9"/>
      <c r="G651" s="10" t="str">
        <f>Econ!L651</f>
        <v/>
      </c>
      <c r="H651" s="11" t="str">
        <f>Econ!M651</f>
        <v/>
      </c>
      <c r="I651" s="11">
        <f>Econ!N651</f>
        <v>475</v>
      </c>
      <c r="J651" s="12">
        <f>Econ!O651</f>
        <v>590</v>
      </c>
      <c r="K651" s="13">
        <f>Econ!P651</f>
        <v>0</v>
      </c>
      <c r="L651" s="14">
        <f>Econ!Q651</f>
        <v>0</v>
      </c>
      <c r="M651" s="14">
        <f>Econ!R651</f>
        <v>118.75</v>
      </c>
      <c r="N651" s="13">
        <f>Econ!S651</f>
        <v>147.5</v>
      </c>
      <c r="O651" s="13">
        <f>Econ!T651</f>
        <v>6</v>
      </c>
      <c r="P651" s="7" t="str">
        <f>Econ!A651</f>
        <v>Knight</v>
      </c>
      <c r="Q651" s="10">
        <f>Econ!C651</f>
        <v>3822.466595</v>
      </c>
      <c r="R651" s="10">
        <f>Econ!E651</f>
        <v>118.7465307</v>
      </c>
      <c r="S651" s="10">
        <f>Econ!G651</f>
        <v>491.4599908</v>
      </c>
      <c r="T651" s="10">
        <f>Econ!I651</f>
        <v>0</v>
      </c>
    </row>
    <row r="652">
      <c r="A652" s="7" t="str">
        <f>Econ!A652&amp;if(Econ!B652&lt;10,"_0"&amp;Econ!B652,"_"&amp;Econ!B652)</f>
        <v>Knight_51</v>
      </c>
      <c r="B652" s="7" t="str">
        <f>"T"&amp;Econ!B652&amp;" "&amp;Econ!A652</f>
        <v>T51 Knight</v>
      </c>
      <c r="C652" s="8">
        <f>Econ!B652</f>
        <v>51</v>
      </c>
      <c r="D652" s="7"/>
      <c r="E652" s="9"/>
      <c r="F652" s="9"/>
      <c r="G652" s="10" t="str">
        <f>Econ!L652</f>
        <v/>
      </c>
      <c r="H652" s="11" t="str">
        <f>Econ!M652</f>
        <v/>
      </c>
      <c r="I652" s="11">
        <f>Econ!N652</f>
        <v>491</v>
      </c>
      <c r="J652" s="12">
        <f>Econ!O652</f>
        <v>606</v>
      </c>
      <c r="K652" s="13">
        <f>Econ!P652</f>
        <v>0</v>
      </c>
      <c r="L652" s="14">
        <f>Econ!Q652</f>
        <v>0</v>
      </c>
      <c r="M652" s="14">
        <f>Econ!R652</f>
        <v>122.75</v>
      </c>
      <c r="N652" s="13">
        <f>Econ!S652</f>
        <v>151.5</v>
      </c>
      <c r="O652" s="13">
        <f>Econ!T652</f>
        <v>6</v>
      </c>
      <c r="P652" s="7" t="str">
        <f>Econ!A652</f>
        <v>Knight</v>
      </c>
      <c r="Q652" s="10">
        <f>Econ!C652</f>
        <v>4013.589925</v>
      </c>
      <c r="R652" s="10">
        <f>Econ!E652</f>
        <v>121.1214613</v>
      </c>
      <c r="S652" s="10">
        <f>Econ!G652</f>
        <v>516.0329904</v>
      </c>
      <c r="T652" s="10">
        <f>Econ!I652</f>
        <v>0</v>
      </c>
    </row>
    <row r="653">
      <c r="A653" s="7" t="str">
        <f>Econ!A653&amp;if(Econ!B653&lt;10,"_0"&amp;Econ!B653,"_"&amp;Econ!B653)</f>
        <v>Knight_52</v>
      </c>
      <c r="B653" s="7" t="str">
        <f>"T"&amp;Econ!B653&amp;" "&amp;Econ!A653</f>
        <v>T52 Knight</v>
      </c>
      <c r="C653" s="8">
        <f>Econ!B653</f>
        <v>52</v>
      </c>
      <c r="D653" s="7"/>
      <c r="E653" s="9"/>
      <c r="F653" s="9"/>
      <c r="G653" s="10" t="str">
        <f>Econ!L653</f>
        <v/>
      </c>
      <c r="H653" s="11" t="str">
        <f>Econ!M653</f>
        <v/>
      </c>
      <c r="I653" s="11">
        <f>Econ!N653</f>
        <v>507</v>
      </c>
      <c r="J653" s="12">
        <f>Econ!O653</f>
        <v>622</v>
      </c>
      <c r="K653" s="13">
        <f>Econ!P653</f>
        <v>0</v>
      </c>
      <c r="L653" s="14">
        <f>Econ!Q653</f>
        <v>0</v>
      </c>
      <c r="M653" s="14">
        <f>Econ!R653</f>
        <v>126.75</v>
      </c>
      <c r="N653" s="13">
        <f>Econ!S653</f>
        <v>155.5</v>
      </c>
      <c r="O653" s="13">
        <f>Econ!T653</f>
        <v>6</v>
      </c>
      <c r="P653" s="7" t="str">
        <f>Econ!A653</f>
        <v>Knight</v>
      </c>
      <c r="Q653" s="10">
        <f>Econ!C653</f>
        <v>4214.269421</v>
      </c>
      <c r="R653" s="10">
        <f>Econ!E653</f>
        <v>123.5438905</v>
      </c>
      <c r="S653" s="10">
        <f>Econ!G653</f>
        <v>541.8346399</v>
      </c>
      <c r="T653" s="10">
        <f>Econ!I653</f>
        <v>0</v>
      </c>
    </row>
    <row r="654">
      <c r="A654" s="7" t="str">
        <f>Econ!A654&amp;if(Econ!B654&lt;10,"_0"&amp;Econ!B654,"_"&amp;Econ!B654)</f>
        <v>Knight_53</v>
      </c>
      <c r="B654" s="7" t="str">
        <f>"T"&amp;Econ!B654&amp;" "&amp;Econ!A654</f>
        <v>T53 Knight</v>
      </c>
      <c r="C654" s="8">
        <f>Econ!B654</f>
        <v>53</v>
      </c>
      <c r="D654" s="7"/>
      <c r="E654" s="9"/>
      <c r="F654" s="9"/>
      <c r="G654" s="10" t="str">
        <f>Econ!L654</f>
        <v/>
      </c>
      <c r="H654" s="11" t="str">
        <f>Econ!M654</f>
        <v/>
      </c>
      <c r="I654" s="11">
        <f>Econ!N654</f>
        <v>523</v>
      </c>
      <c r="J654" s="12">
        <f>Econ!O654</f>
        <v>638</v>
      </c>
      <c r="K654" s="13">
        <f>Econ!P654</f>
        <v>0</v>
      </c>
      <c r="L654" s="14">
        <f>Econ!Q654</f>
        <v>0</v>
      </c>
      <c r="M654" s="14">
        <f>Econ!R654</f>
        <v>130.75</v>
      </c>
      <c r="N654" s="13">
        <f>Econ!S654</f>
        <v>159.5</v>
      </c>
      <c r="O654" s="13">
        <f>Econ!T654</f>
        <v>6</v>
      </c>
      <c r="P654" s="7" t="str">
        <f>Econ!A654</f>
        <v>Knight</v>
      </c>
      <c r="Q654" s="10">
        <f>Econ!C654</f>
        <v>4424.982892</v>
      </c>
      <c r="R654" s="10">
        <f>Econ!E654</f>
        <v>126.0147683</v>
      </c>
      <c r="S654" s="10">
        <f>Econ!G654</f>
        <v>568.9263719</v>
      </c>
      <c r="T654" s="10">
        <f>Econ!I654</f>
        <v>0</v>
      </c>
    </row>
    <row r="655">
      <c r="A655" s="7" t="str">
        <f>Econ!A655&amp;if(Econ!B655&lt;10,"_0"&amp;Econ!B655,"_"&amp;Econ!B655)</f>
        <v>Knight_54</v>
      </c>
      <c r="B655" s="7" t="str">
        <f>"T"&amp;Econ!B655&amp;" "&amp;Econ!A655</f>
        <v>T54 Knight</v>
      </c>
      <c r="C655" s="8">
        <f>Econ!B655</f>
        <v>54</v>
      </c>
      <c r="D655" s="7"/>
      <c r="E655" s="9"/>
      <c r="F655" s="9"/>
      <c r="G655" s="10" t="str">
        <f>Econ!L655</f>
        <v/>
      </c>
      <c r="H655" s="11" t="str">
        <f>Econ!M655</f>
        <v/>
      </c>
      <c r="I655" s="11">
        <f>Econ!N655</f>
        <v>539</v>
      </c>
      <c r="J655" s="12">
        <f>Econ!O655</f>
        <v>654</v>
      </c>
      <c r="K655" s="13">
        <f>Econ!P655</f>
        <v>0</v>
      </c>
      <c r="L655" s="14">
        <f>Econ!Q655</f>
        <v>0</v>
      </c>
      <c r="M655" s="14">
        <f>Econ!R655</f>
        <v>134.75</v>
      </c>
      <c r="N655" s="13">
        <f>Econ!S655</f>
        <v>163.5</v>
      </c>
      <c r="O655" s="13">
        <f>Econ!T655</f>
        <v>6</v>
      </c>
      <c r="P655" s="7" t="str">
        <f>Econ!A655</f>
        <v>Knight</v>
      </c>
      <c r="Q655" s="10">
        <f>Econ!C655</f>
        <v>4646.232037</v>
      </c>
      <c r="R655" s="10">
        <f>Econ!E655</f>
        <v>128.5350637</v>
      </c>
      <c r="S655" s="10">
        <f>Econ!G655</f>
        <v>597.3726905</v>
      </c>
      <c r="T655" s="10">
        <f>Econ!I655</f>
        <v>0</v>
      </c>
    </row>
    <row r="656">
      <c r="A656" s="7" t="str">
        <f>Econ!A656&amp;if(Econ!B656&lt;10,"_0"&amp;Econ!B656,"_"&amp;Econ!B656)</f>
        <v>Knight_55</v>
      </c>
      <c r="B656" s="7" t="str">
        <f>"T"&amp;Econ!B656&amp;" "&amp;Econ!A656</f>
        <v>T55 Knight</v>
      </c>
      <c r="C656" s="8">
        <f>Econ!B656</f>
        <v>55</v>
      </c>
      <c r="D656" s="7"/>
      <c r="E656" s="9"/>
      <c r="F656" s="9"/>
      <c r="G656" s="10" t="str">
        <f>Econ!L656</f>
        <v/>
      </c>
      <c r="H656" s="11" t="str">
        <f>Econ!M656</f>
        <v/>
      </c>
      <c r="I656" s="11">
        <f>Econ!N656</f>
        <v>555</v>
      </c>
      <c r="J656" s="12">
        <f>Econ!O656</f>
        <v>670</v>
      </c>
      <c r="K656" s="13">
        <f>Econ!P656</f>
        <v>0</v>
      </c>
      <c r="L656" s="14">
        <f>Econ!Q656</f>
        <v>0</v>
      </c>
      <c r="M656" s="14">
        <f>Econ!R656</f>
        <v>138.75</v>
      </c>
      <c r="N656" s="13">
        <f>Econ!S656</f>
        <v>167.5</v>
      </c>
      <c r="O656" s="13">
        <f>Econ!T656</f>
        <v>7</v>
      </c>
      <c r="P656" s="7" t="str">
        <f>Econ!A656</f>
        <v>Knight</v>
      </c>
      <c r="Q656" s="10">
        <f>Econ!C656</f>
        <v>4878.543639</v>
      </c>
      <c r="R656" s="10">
        <f>Econ!E656</f>
        <v>131.105765</v>
      </c>
      <c r="S656" s="10">
        <f>Econ!G656</f>
        <v>627.241325</v>
      </c>
      <c r="T656" s="10">
        <f>Econ!I656</f>
        <v>0</v>
      </c>
    </row>
    <row r="657">
      <c r="A657" s="7" t="str">
        <f>Econ!A657&amp;if(Econ!B657&lt;10,"_0"&amp;Econ!B657,"_"&amp;Econ!B657)</f>
        <v>Knight_56</v>
      </c>
      <c r="B657" s="7" t="str">
        <f>"T"&amp;Econ!B657&amp;" "&amp;Econ!A657</f>
        <v>T56 Knight</v>
      </c>
      <c r="C657" s="8">
        <f>Econ!B657</f>
        <v>56</v>
      </c>
      <c r="D657" s="7"/>
      <c r="E657" s="9"/>
      <c r="F657" s="9"/>
      <c r="G657" s="10" t="str">
        <f>Econ!L657</f>
        <v/>
      </c>
      <c r="H657" s="11" t="str">
        <f>Econ!M657</f>
        <v/>
      </c>
      <c r="I657" s="11">
        <f>Econ!N657</f>
        <v>572</v>
      </c>
      <c r="J657" s="12">
        <f>Econ!O657</f>
        <v>687</v>
      </c>
      <c r="K657" s="13">
        <f>Econ!P657</f>
        <v>0</v>
      </c>
      <c r="L657" s="14">
        <f>Econ!Q657</f>
        <v>0</v>
      </c>
      <c r="M657" s="14">
        <f>Econ!R657</f>
        <v>143</v>
      </c>
      <c r="N657" s="13">
        <f>Econ!S657</f>
        <v>171.75</v>
      </c>
      <c r="O657" s="13">
        <f>Econ!T657</f>
        <v>7</v>
      </c>
      <c r="P657" s="7" t="str">
        <f>Econ!A657</f>
        <v>Knight</v>
      </c>
      <c r="Q657" s="10">
        <f>Econ!C657</f>
        <v>5122.470821</v>
      </c>
      <c r="R657" s="10">
        <f>Econ!E657</f>
        <v>133.7278803</v>
      </c>
      <c r="S657" s="10">
        <f>Econ!G657</f>
        <v>658.6033912</v>
      </c>
      <c r="T657" s="10">
        <f>Econ!I657</f>
        <v>0</v>
      </c>
    </row>
    <row r="658">
      <c r="A658" s="7" t="str">
        <f>Econ!A658&amp;if(Econ!B658&lt;10,"_0"&amp;Econ!B658,"_"&amp;Econ!B658)</f>
        <v>Knight_57</v>
      </c>
      <c r="B658" s="7" t="str">
        <f>"T"&amp;Econ!B658&amp;" "&amp;Econ!A658</f>
        <v>T57 Knight</v>
      </c>
      <c r="C658" s="8">
        <f>Econ!B658</f>
        <v>57</v>
      </c>
      <c r="D658" s="7"/>
      <c r="E658" s="9"/>
      <c r="F658" s="9"/>
      <c r="G658" s="10" t="str">
        <f>Econ!L658</f>
        <v/>
      </c>
      <c r="H658" s="11" t="str">
        <f>Econ!M658</f>
        <v/>
      </c>
      <c r="I658" s="11">
        <f>Econ!N658</f>
        <v>589</v>
      </c>
      <c r="J658" s="12">
        <f>Econ!O658</f>
        <v>704</v>
      </c>
      <c r="K658" s="13">
        <f>Econ!P658</f>
        <v>0</v>
      </c>
      <c r="L658" s="14">
        <f>Econ!Q658</f>
        <v>0</v>
      </c>
      <c r="M658" s="14">
        <f>Econ!R658</f>
        <v>147.25</v>
      </c>
      <c r="N658" s="13">
        <f>Econ!S658</f>
        <v>176</v>
      </c>
      <c r="O658" s="13">
        <f>Econ!T658</f>
        <v>7</v>
      </c>
      <c r="P658" s="7" t="str">
        <f>Econ!A658</f>
        <v>Knight</v>
      </c>
      <c r="Q658" s="10">
        <f>Econ!C658</f>
        <v>5378.594362</v>
      </c>
      <c r="R658" s="10">
        <f>Econ!E658</f>
        <v>136.4024379</v>
      </c>
      <c r="S658" s="10">
        <f>Econ!G658</f>
        <v>691.5335608</v>
      </c>
      <c r="T658" s="10">
        <f>Econ!I658</f>
        <v>0</v>
      </c>
    </row>
    <row r="659">
      <c r="A659" s="7" t="str">
        <f>Econ!A659&amp;if(Econ!B659&lt;10,"_0"&amp;Econ!B659,"_"&amp;Econ!B659)</f>
        <v>Knight_58</v>
      </c>
      <c r="B659" s="7" t="str">
        <f>"T"&amp;Econ!B659&amp;" "&amp;Econ!A659</f>
        <v>T58 Knight</v>
      </c>
      <c r="C659" s="8">
        <f>Econ!B659</f>
        <v>58</v>
      </c>
      <c r="D659" s="7"/>
      <c r="E659" s="9"/>
      <c r="F659" s="9"/>
      <c r="G659" s="10" t="str">
        <f>Econ!L659</f>
        <v/>
      </c>
      <c r="H659" s="11" t="str">
        <f>Econ!M659</f>
        <v/>
      </c>
      <c r="I659" s="11">
        <f>Econ!N659</f>
        <v>606</v>
      </c>
      <c r="J659" s="12">
        <f>Econ!O659</f>
        <v>721</v>
      </c>
      <c r="K659" s="13">
        <f>Econ!P659</f>
        <v>0</v>
      </c>
      <c r="L659" s="14">
        <f>Econ!Q659</f>
        <v>0</v>
      </c>
      <c r="M659" s="14">
        <f>Econ!R659</f>
        <v>151.5</v>
      </c>
      <c r="N659" s="13">
        <f>Econ!S659</f>
        <v>180.25</v>
      </c>
      <c r="O659" s="13">
        <f>Econ!T659</f>
        <v>7</v>
      </c>
      <c r="P659" s="7" t="str">
        <f>Econ!A659</f>
        <v>Knight</v>
      </c>
      <c r="Q659" s="10">
        <f>Econ!C659</f>
        <v>5647.52408</v>
      </c>
      <c r="R659" s="10">
        <f>Econ!E659</f>
        <v>139.1304866</v>
      </c>
      <c r="S659" s="10">
        <f>Econ!G659</f>
        <v>726.1102388</v>
      </c>
      <c r="T659" s="10">
        <f>Econ!I659</f>
        <v>0</v>
      </c>
    </row>
    <row r="660">
      <c r="A660" s="7" t="str">
        <f>Econ!A660&amp;if(Econ!B660&lt;10,"_0"&amp;Econ!B660,"_"&amp;Econ!B660)</f>
        <v>Knight_59</v>
      </c>
      <c r="B660" s="7" t="str">
        <f>"T"&amp;Econ!B660&amp;" "&amp;Econ!A660</f>
        <v>T59 Knight</v>
      </c>
      <c r="C660" s="8">
        <f>Econ!B660</f>
        <v>59</v>
      </c>
      <c r="D660" s="7"/>
      <c r="E660" s="9"/>
      <c r="F660" s="9"/>
      <c r="G660" s="10" t="str">
        <f>Econ!L660</f>
        <v/>
      </c>
      <c r="H660" s="11" t="str">
        <f>Econ!M660</f>
        <v/>
      </c>
      <c r="I660" s="11">
        <f>Econ!N660</f>
        <v>623</v>
      </c>
      <c r="J660" s="12">
        <f>Econ!O660</f>
        <v>738</v>
      </c>
      <c r="K660" s="13">
        <f>Econ!P660</f>
        <v>0</v>
      </c>
      <c r="L660" s="14">
        <f>Econ!Q660</f>
        <v>0</v>
      </c>
      <c r="M660" s="14">
        <f>Econ!R660</f>
        <v>155.75</v>
      </c>
      <c r="N660" s="13">
        <f>Econ!S660</f>
        <v>184.5</v>
      </c>
      <c r="O660" s="13">
        <f>Econ!T660</f>
        <v>7</v>
      </c>
      <c r="P660" s="7" t="str">
        <f>Econ!A660</f>
        <v>Knight</v>
      </c>
      <c r="Q660" s="10">
        <f>Econ!C660</f>
        <v>5929.900284</v>
      </c>
      <c r="R660" s="10">
        <f>Econ!E660</f>
        <v>141.9130964</v>
      </c>
      <c r="S660" s="10">
        <f>Econ!G660</f>
        <v>762.4157508</v>
      </c>
      <c r="T660" s="10">
        <f>Econ!I660</f>
        <v>0</v>
      </c>
    </row>
    <row r="661">
      <c r="A661" s="7" t="str">
        <f>Econ!A661&amp;if(Econ!B661&lt;10,"_0"&amp;Econ!B661,"_"&amp;Econ!B661)</f>
        <v>Knight_60</v>
      </c>
      <c r="B661" s="7" t="str">
        <f>"T"&amp;Econ!B661&amp;" "&amp;Econ!A661</f>
        <v>T60 Knight</v>
      </c>
      <c r="C661" s="8">
        <f>Econ!B661</f>
        <v>60</v>
      </c>
      <c r="D661" s="7"/>
      <c r="E661" s="9"/>
      <c r="F661" s="9"/>
      <c r="G661" s="10" t="str">
        <f>Econ!L661</f>
        <v/>
      </c>
      <c r="H661" s="11" t="str">
        <f>Econ!M661</f>
        <v/>
      </c>
      <c r="I661" s="11">
        <f>Econ!N661</f>
        <v>640</v>
      </c>
      <c r="J661" s="12">
        <f>Econ!O661</f>
        <v>755</v>
      </c>
      <c r="K661" s="13">
        <f>Econ!P661</f>
        <v>0</v>
      </c>
      <c r="L661" s="14">
        <f>Econ!Q661</f>
        <v>0</v>
      </c>
      <c r="M661" s="14">
        <f>Econ!R661</f>
        <v>160</v>
      </c>
      <c r="N661" s="13">
        <f>Econ!S661</f>
        <v>188.75</v>
      </c>
      <c r="O661" s="13">
        <f>Econ!T661</f>
        <v>7</v>
      </c>
      <c r="P661" s="7" t="str">
        <f>Econ!A661</f>
        <v>Knight</v>
      </c>
      <c r="Q661" s="10">
        <f>Econ!C661</f>
        <v>6226.395298</v>
      </c>
      <c r="R661" s="10">
        <f>Econ!E661</f>
        <v>144.7513583</v>
      </c>
      <c r="S661" s="10">
        <f>Econ!G661</f>
        <v>800.5365383</v>
      </c>
      <c r="T661" s="10">
        <f>Econ!I661</f>
        <v>0</v>
      </c>
    </row>
    <row r="662">
      <c r="A662" s="7" t="str">
        <f>Econ!A662&amp;if(Econ!B662&lt;10,"_0"&amp;Econ!B662,"_"&amp;Econ!B662)</f>
        <v>Knight_61</v>
      </c>
      <c r="B662" s="7" t="str">
        <f>"T"&amp;Econ!B662&amp;" "&amp;Econ!A662</f>
        <v>T61 Knight</v>
      </c>
      <c r="C662" s="8">
        <f>Econ!B662</f>
        <v>61</v>
      </c>
      <c r="D662" s="7"/>
      <c r="E662" s="9"/>
      <c r="F662" s="9"/>
      <c r="G662" s="10" t="str">
        <f>Econ!L662</f>
        <v/>
      </c>
      <c r="H662" s="11" t="str">
        <f>Econ!M662</f>
        <v/>
      </c>
      <c r="I662" s="11">
        <f>Econ!N662</f>
        <v>658</v>
      </c>
      <c r="J662" s="12">
        <f>Econ!O662</f>
        <v>773</v>
      </c>
      <c r="K662" s="13">
        <f>Econ!P662</f>
        <v>0</v>
      </c>
      <c r="L662" s="14">
        <f>Econ!Q662</f>
        <v>0</v>
      </c>
      <c r="M662" s="14">
        <f>Econ!R662</f>
        <v>164.5</v>
      </c>
      <c r="N662" s="13">
        <f>Econ!S662</f>
        <v>193.25</v>
      </c>
      <c r="O662" s="13">
        <f>Econ!T662</f>
        <v>7</v>
      </c>
      <c r="P662" s="7" t="str">
        <f>Econ!A662</f>
        <v>Knight</v>
      </c>
      <c r="Q662" s="10">
        <f>Econ!C662</f>
        <v>6537.715063</v>
      </c>
      <c r="R662" s="10">
        <f>Econ!E662</f>
        <v>147.6463855</v>
      </c>
      <c r="S662" s="10">
        <f>Econ!G662</f>
        <v>840.5633652</v>
      </c>
      <c r="T662" s="10">
        <f>Econ!I662</f>
        <v>0</v>
      </c>
    </row>
    <row r="663">
      <c r="A663" s="7" t="str">
        <f>Econ!A663&amp;if(Econ!B663&lt;10,"_0"&amp;Econ!B663,"_"&amp;Econ!B663)</f>
        <v>Knight_62</v>
      </c>
      <c r="B663" s="7" t="str">
        <f>"T"&amp;Econ!B663&amp;" "&amp;Econ!A663</f>
        <v>T62 Knight</v>
      </c>
      <c r="C663" s="8">
        <f>Econ!B663</f>
        <v>62</v>
      </c>
      <c r="D663" s="7"/>
      <c r="E663" s="9"/>
      <c r="F663" s="9"/>
      <c r="G663" s="10" t="str">
        <f>Econ!L663</f>
        <v/>
      </c>
      <c r="H663" s="11" t="str">
        <f>Econ!M663</f>
        <v/>
      </c>
      <c r="I663" s="11">
        <f>Econ!N663</f>
        <v>676</v>
      </c>
      <c r="J663" s="12">
        <f>Econ!O663</f>
        <v>791</v>
      </c>
      <c r="K663" s="13">
        <f>Econ!P663</f>
        <v>0</v>
      </c>
      <c r="L663" s="14">
        <f>Econ!Q663</f>
        <v>0</v>
      </c>
      <c r="M663" s="14">
        <f>Econ!R663</f>
        <v>169</v>
      </c>
      <c r="N663" s="13">
        <f>Econ!S663</f>
        <v>197.75</v>
      </c>
      <c r="O663" s="13">
        <f>Econ!T663</f>
        <v>7</v>
      </c>
      <c r="P663" s="7" t="str">
        <f>Econ!A663</f>
        <v>Knight</v>
      </c>
      <c r="Q663" s="10">
        <f>Econ!C663</f>
        <v>6864.600816</v>
      </c>
      <c r="R663" s="10">
        <f>Econ!E663</f>
        <v>150.5993132</v>
      </c>
      <c r="S663" s="10">
        <f>Econ!G663</f>
        <v>882.5915335</v>
      </c>
      <c r="T663" s="10">
        <f>Econ!I663</f>
        <v>0</v>
      </c>
    </row>
    <row r="664">
      <c r="A664" s="7" t="str">
        <f>Econ!A664&amp;if(Econ!B664&lt;10,"_0"&amp;Econ!B664,"_"&amp;Econ!B664)</f>
        <v>Knight_63</v>
      </c>
      <c r="B664" s="7" t="str">
        <f>"T"&amp;Econ!B664&amp;" "&amp;Econ!A664</f>
        <v>T63 Knight</v>
      </c>
      <c r="C664" s="8">
        <f>Econ!B664</f>
        <v>63</v>
      </c>
      <c r="D664" s="7"/>
      <c r="E664" s="9"/>
      <c r="F664" s="9"/>
      <c r="G664" s="10" t="str">
        <f>Econ!L664</f>
        <v/>
      </c>
      <c r="H664" s="11" t="str">
        <f>Econ!M664</f>
        <v/>
      </c>
      <c r="I664" s="11">
        <f>Econ!N664</f>
        <v>694</v>
      </c>
      <c r="J664" s="12">
        <f>Econ!O664</f>
        <v>809</v>
      </c>
      <c r="K664" s="13">
        <f>Econ!P664</f>
        <v>0</v>
      </c>
      <c r="L664" s="14">
        <f>Econ!Q664</f>
        <v>0</v>
      </c>
      <c r="M664" s="14">
        <f>Econ!R664</f>
        <v>173.5</v>
      </c>
      <c r="N664" s="13">
        <f>Econ!S664</f>
        <v>202.25</v>
      </c>
      <c r="O664" s="13">
        <f>Econ!T664</f>
        <v>7</v>
      </c>
      <c r="P664" s="7" t="str">
        <f>Econ!A664</f>
        <v>Knight</v>
      </c>
      <c r="Q664" s="10">
        <f>Econ!C664</f>
        <v>7207.830857</v>
      </c>
      <c r="R664" s="10">
        <f>Econ!E664</f>
        <v>153.6112994</v>
      </c>
      <c r="S664" s="10">
        <f>Econ!G664</f>
        <v>926.7211102</v>
      </c>
      <c r="T664" s="10">
        <f>Econ!I664</f>
        <v>0</v>
      </c>
    </row>
    <row r="665">
      <c r="A665" s="7" t="str">
        <f>Econ!A665&amp;if(Econ!B665&lt;10,"_0"&amp;Econ!B665,"_"&amp;Econ!B665)</f>
        <v>Knight_64</v>
      </c>
      <c r="B665" s="7" t="str">
        <f>"T"&amp;Econ!B665&amp;" "&amp;Econ!A665</f>
        <v>T64 Knight</v>
      </c>
      <c r="C665" s="8">
        <f>Econ!B665</f>
        <v>64</v>
      </c>
      <c r="D665" s="7"/>
      <c r="E665" s="9"/>
      <c r="F665" s="9"/>
      <c r="G665" s="10" t="str">
        <f>Econ!L665</f>
        <v/>
      </c>
      <c r="H665" s="11" t="str">
        <f>Econ!M665</f>
        <v/>
      </c>
      <c r="I665" s="11">
        <f>Econ!N665</f>
        <v>712</v>
      </c>
      <c r="J665" s="12">
        <f>Econ!O665</f>
        <v>827</v>
      </c>
      <c r="K665" s="13">
        <f>Econ!P665</f>
        <v>0</v>
      </c>
      <c r="L665" s="14">
        <f>Econ!Q665</f>
        <v>0</v>
      </c>
      <c r="M665" s="14">
        <f>Econ!R665</f>
        <v>178</v>
      </c>
      <c r="N665" s="13">
        <f>Econ!S665</f>
        <v>206.75</v>
      </c>
      <c r="O665" s="13">
        <f>Econ!T665</f>
        <v>7</v>
      </c>
      <c r="P665" s="7" t="str">
        <f>Econ!A665</f>
        <v>Knight</v>
      </c>
      <c r="Q665" s="10">
        <f>Econ!C665</f>
        <v>7568.2224</v>
      </c>
      <c r="R665" s="10">
        <f>Econ!E665</f>
        <v>156.6835254</v>
      </c>
      <c r="S665" s="10">
        <f>Econ!G665</f>
        <v>973.0571657</v>
      </c>
      <c r="T665" s="10">
        <f>Econ!I665</f>
        <v>0</v>
      </c>
    </row>
    <row r="666">
      <c r="A666" s="7" t="str">
        <f>Econ!A666&amp;if(Econ!B666&lt;10,"_0"&amp;Econ!B666,"_"&amp;Econ!B666)</f>
        <v>Knight_65</v>
      </c>
      <c r="B666" s="7" t="str">
        <f>"T"&amp;Econ!B666&amp;" "&amp;Econ!A666</f>
        <v>T65 Knight</v>
      </c>
      <c r="C666" s="8">
        <f>Econ!B666</f>
        <v>65</v>
      </c>
      <c r="D666" s="7"/>
      <c r="E666" s="9"/>
      <c r="F666" s="9"/>
      <c r="G666" s="10" t="str">
        <f>Econ!L666</f>
        <v/>
      </c>
      <c r="H666" s="11" t="str">
        <f>Econ!M666</f>
        <v/>
      </c>
      <c r="I666" s="11">
        <f>Econ!N666</f>
        <v>730</v>
      </c>
      <c r="J666" s="12">
        <f>Econ!O666</f>
        <v>845</v>
      </c>
      <c r="K666" s="13">
        <f>Econ!P666</f>
        <v>0</v>
      </c>
      <c r="L666" s="14">
        <f>Econ!Q666</f>
        <v>0</v>
      </c>
      <c r="M666" s="14">
        <f>Econ!R666</f>
        <v>182.5</v>
      </c>
      <c r="N666" s="13">
        <f>Econ!S666</f>
        <v>211.25</v>
      </c>
      <c r="O666" s="13">
        <f>Econ!T666</f>
        <v>8</v>
      </c>
      <c r="P666" s="7" t="str">
        <f>Econ!A666</f>
        <v>Knight</v>
      </c>
      <c r="Q666" s="10">
        <f>Econ!C666</f>
        <v>7946.63352</v>
      </c>
      <c r="R666" s="10">
        <f>Econ!E666</f>
        <v>159.8171959</v>
      </c>
      <c r="S666" s="10">
        <f>Econ!G666</f>
        <v>1021.710024</v>
      </c>
      <c r="T666" s="10">
        <f>Econ!I666</f>
        <v>0</v>
      </c>
    </row>
    <row r="667">
      <c r="A667" s="7" t="str">
        <f>Econ!A667&amp;if(Econ!B667&lt;10,"_0"&amp;Econ!B667,"_"&amp;Econ!B667)</f>
        <v>Knight_66</v>
      </c>
      <c r="B667" s="7" t="str">
        <f>"T"&amp;Econ!B667&amp;" "&amp;Econ!A667</f>
        <v>T66 Knight</v>
      </c>
      <c r="C667" s="8">
        <f>Econ!B667</f>
        <v>66</v>
      </c>
      <c r="D667" s="7"/>
      <c r="E667" s="9"/>
      <c r="F667" s="9"/>
      <c r="G667" s="10" t="str">
        <f>Econ!L667</f>
        <v/>
      </c>
      <c r="H667" s="11" t="str">
        <f>Econ!M667</f>
        <v/>
      </c>
      <c r="I667" s="11">
        <f>Econ!N667</f>
        <v>749</v>
      </c>
      <c r="J667" s="12">
        <f>Econ!O667</f>
        <v>864</v>
      </c>
      <c r="K667" s="13">
        <f>Econ!P667</f>
        <v>0</v>
      </c>
      <c r="L667" s="14">
        <f>Econ!Q667</f>
        <v>0</v>
      </c>
      <c r="M667" s="14">
        <f>Econ!R667</f>
        <v>187.25</v>
      </c>
      <c r="N667" s="13">
        <f>Econ!S667</f>
        <v>216</v>
      </c>
      <c r="O667" s="13">
        <f>Econ!T667</f>
        <v>8</v>
      </c>
      <c r="P667" s="7" t="str">
        <f>Econ!A667</f>
        <v>Knight</v>
      </c>
      <c r="Q667" s="10">
        <f>Econ!C667</f>
        <v>8343.965196</v>
      </c>
      <c r="R667" s="10">
        <f>Econ!E667</f>
        <v>163.0135399</v>
      </c>
      <c r="S667" s="10">
        <f>Econ!G667</f>
        <v>1072.795525</v>
      </c>
      <c r="T667" s="10">
        <f>Econ!I667</f>
        <v>0</v>
      </c>
    </row>
    <row r="668">
      <c r="A668" s="7" t="str">
        <f>Econ!A668&amp;if(Econ!B668&lt;10,"_0"&amp;Econ!B668,"_"&amp;Econ!B668)</f>
        <v>Knight_67</v>
      </c>
      <c r="B668" s="7" t="str">
        <f>"T"&amp;Econ!B668&amp;" "&amp;Econ!A668</f>
        <v>T67 Knight</v>
      </c>
      <c r="C668" s="8">
        <f>Econ!B668</f>
        <v>67</v>
      </c>
      <c r="D668" s="7"/>
      <c r="E668" s="9"/>
      <c r="F668" s="9"/>
      <c r="G668" s="10" t="str">
        <f>Econ!L668</f>
        <v/>
      </c>
      <c r="H668" s="11" t="str">
        <f>Econ!M668</f>
        <v/>
      </c>
      <c r="I668" s="11">
        <f>Econ!N668</f>
        <v>768</v>
      </c>
      <c r="J668" s="12">
        <f>Econ!O668</f>
        <v>883</v>
      </c>
      <c r="K668" s="13">
        <f>Econ!P668</f>
        <v>0</v>
      </c>
      <c r="L668" s="14">
        <f>Econ!Q668</f>
        <v>0</v>
      </c>
      <c r="M668" s="14">
        <f>Econ!R668</f>
        <v>192</v>
      </c>
      <c r="N668" s="13">
        <f>Econ!S668</f>
        <v>220.75</v>
      </c>
      <c r="O668" s="13">
        <f>Econ!T668</f>
        <v>8</v>
      </c>
      <c r="P668" s="7" t="str">
        <f>Econ!A668</f>
        <v>Knight</v>
      </c>
      <c r="Q668" s="10">
        <f>Econ!C668</f>
        <v>8761.163455</v>
      </c>
      <c r="R668" s="10">
        <f>Econ!E668</f>
        <v>166.2738107</v>
      </c>
      <c r="S668" s="10">
        <f>Econ!G668</f>
        <v>1126.435301</v>
      </c>
      <c r="T668" s="10">
        <f>Econ!I668</f>
        <v>0</v>
      </c>
    </row>
    <row r="669">
      <c r="A669" s="7" t="str">
        <f>Econ!A669&amp;if(Econ!B669&lt;10,"_0"&amp;Econ!B669,"_"&amp;Econ!B669)</f>
        <v>Knight_68</v>
      </c>
      <c r="B669" s="7" t="str">
        <f>"T"&amp;Econ!B669&amp;" "&amp;Econ!A669</f>
        <v>T68 Knight</v>
      </c>
      <c r="C669" s="8">
        <f>Econ!B669</f>
        <v>68</v>
      </c>
      <c r="D669" s="7"/>
      <c r="E669" s="9"/>
      <c r="F669" s="9"/>
      <c r="G669" s="10" t="str">
        <f>Econ!L669</f>
        <v/>
      </c>
      <c r="H669" s="11" t="str">
        <f>Econ!M669</f>
        <v/>
      </c>
      <c r="I669" s="11">
        <f>Econ!N669</f>
        <v>787</v>
      </c>
      <c r="J669" s="12">
        <f>Econ!O669</f>
        <v>902</v>
      </c>
      <c r="K669" s="13">
        <f>Econ!P669</f>
        <v>0</v>
      </c>
      <c r="L669" s="14">
        <f>Econ!Q669</f>
        <v>0</v>
      </c>
      <c r="M669" s="14">
        <f>Econ!R669</f>
        <v>196.75</v>
      </c>
      <c r="N669" s="13">
        <f>Econ!S669</f>
        <v>225.5</v>
      </c>
      <c r="O669" s="13">
        <f>Econ!T669</f>
        <v>8</v>
      </c>
      <c r="P669" s="7" t="str">
        <f>Econ!A669</f>
        <v>Knight</v>
      </c>
      <c r="Q669" s="10">
        <f>Econ!C669</f>
        <v>9199.221628</v>
      </c>
      <c r="R669" s="10">
        <f>Econ!E669</f>
        <v>169.5992869</v>
      </c>
      <c r="S669" s="10">
        <f>Econ!G669</f>
        <v>1182.757066</v>
      </c>
      <c r="T669" s="10">
        <f>Econ!I669</f>
        <v>0</v>
      </c>
    </row>
    <row r="670">
      <c r="A670" s="7" t="str">
        <f>Econ!A670&amp;if(Econ!B670&lt;10,"_0"&amp;Econ!B670,"_"&amp;Econ!B670)</f>
        <v>Knight_69</v>
      </c>
      <c r="B670" s="7" t="str">
        <f>"T"&amp;Econ!B670&amp;" "&amp;Econ!A670</f>
        <v>T69 Knight</v>
      </c>
      <c r="C670" s="8">
        <f>Econ!B670</f>
        <v>69</v>
      </c>
      <c r="D670" s="7"/>
      <c r="E670" s="9"/>
      <c r="F670" s="9"/>
      <c r="G670" s="10" t="str">
        <f>Econ!L670</f>
        <v/>
      </c>
      <c r="H670" s="11" t="str">
        <f>Econ!M670</f>
        <v/>
      </c>
      <c r="I670" s="11">
        <f>Econ!N670</f>
        <v>806</v>
      </c>
      <c r="J670" s="12">
        <f>Econ!O670</f>
        <v>921</v>
      </c>
      <c r="K670" s="13">
        <f>Econ!P670</f>
        <v>0</v>
      </c>
      <c r="L670" s="14">
        <f>Econ!Q670</f>
        <v>0</v>
      </c>
      <c r="M670" s="14">
        <f>Econ!R670</f>
        <v>201.5</v>
      </c>
      <c r="N670" s="13">
        <f>Econ!S670</f>
        <v>230.25</v>
      </c>
      <c r="O670" s="13">
        <f>Econ!T670</f>
        <v>8</v>
      </c>
      <c r="P670" s="7" t="str">
        <f>Econ!A670</f>
        <v>Knight</v>
      </c>
      <c r="Q670" s="10">
        <f>Econ!C670</f>
        <v>9659.18271</v>
      </c>
      <c r="R670" s="10">
        <f>Econ!E670</f>
        <v>172.9912726</v>
      </c>
      <c r="S670" s="10">
        <f>Econ!G670</f>
        <v>1241.89492</v>
      </c>
      <c r="T670" s="10">
        <f>Econ!I670</f>
        <v>0</v>
      </c>
    </row>
    <row r="671">
      <c r="A671" s="7" t="str">
        <f>Econ!A671&amp;if(Econ!B671&lt;10,"_0"&amp;Econ!B671,"_"&amp;Econ!B671)</f>
        <v>Knight_70</v>
      </c>
      <c r="B671" s="7" t="str">
        <f>"T"&amp;Econ!B671&amp;" "&amp;Econ!A671</f>
        <v>T70 Knight</v>
      </c>
      <c r="C671" s="8">
        <f>Econ!B671</f>
        <v>70</v>
      </c>
      <c r="D671" s="7"/>
      <c r="E671" s="9"/>
      <c r="F671" s="9"/>
      <c r="G671" s="10" t="str">
        <f>Econ!L671</f>
        <v/>
      </c>
      <c r="H671" s="11" t="str">
        <f>Econ!M671</f>
        <v/>
      </c>
      <c r="I671" s="11">
        <f>Econ!N671</f>
        <v>825</v>
      </c>
      <c r="J671" s="12">
        <f>Econ!O671</f>
        <v>940</v>
      </c>
      <c r="K671" s="13">
        <f>Econ!P671</f>
        <v>0</v>
      </c>
      <c r="L671" s="14">
        <f>Econ!Q671</f>
        <v>0</v>
      </c>
      <c r="M671" s="14">
        <f>Econ!R671</f>
        <v>206.25</v>
      </c>
      <c r="N671" s="13">
        <f>Econ!S671</f>
        <v>235</v>
      </c>
      <c r="O671" s="13">
        <f>Econ!T671</f>
        <v>8</v>
      </c>
      <c r="P671" s="7" t="str">
        <f>Econ!A671</f>
        <v>Knight</v>
      </c>
      <c r="Q671" s="10">
        <f>Econ!C671</f>
        <v>10142.14185</v>
      </c>
      <c r="R671" s="10">
        <f>Econ!E671</f>
        <v>176.4510981</v>
      </c>
      <c r="S671" s="10">
        <f>Econ!G671</f>
        <v>1303.989666</v>
      </c>
      <c r="T671" s="10">
        <f>Econ!I671</f>
        <v>0</v>
      </c>
    </row>
    <row r="672">
      <c r="A672" s="7" t="str">
        <f>Econ!A672&amp;if(Econ!B672&lt;10,"_0"&amp;Econ!B672,"_"&amp;Econ!B672)</f>
        <v>Knight_71</v>
      </c>
      <c r="B672" s="7" t="str">
        <f>"T"&amp;Econ!B672&amp;" "&amp;Econ!A672</f>
        <v>T71 Knight</v>
      </c>
      <c r="C672" s="8">
        <f>Econ!B672</f>
        <v>71</v>
      </c>
      <c r="D672" s="7"/>
      <c r="E672" s="9"/>
      <c r="F672" s="9"/>
      <c r="G672" s="10" t="str">
        <f>Econ!L672</f>
        <v/>
      </c>
      <c r="H672" s="11" t="str">
        <f>Econ!M672</f>
        <v/>
      </c>
      <c r="I672" s="11">
        <f>Econ!N672</f>
        <v>845</v>
      </c>
      <c r="J672" s="12">
        <f>Econ!O672</f>
        <v>960</v>
      </c>
      <c r="K672" s="13">
        <f>Econ!P672</f>
        <v>0</v>
      </c>
      <c r="L672" s="14">
        <f>Econ!Q672</f>
        <v>0</v>
      </c>
      <c r="M672" s="14">
        <f>Econ!R672</f>
        <v>211.25</v>
      </c>
      <c r="N672" s="13">
        <f>Econ!S672</f>
        <v>240</v>
      </c>
      <c r="O672" s="13">
        <f>Econ!T672</f>
        <v>8</v>
      </c>
      <c r="P672" s="7" t="str">
        <f>Econ!A672</f>
        <v>Knight</v>
      </c>
      <c r="Q672" s="10">
        <f>Econ!C672</f>
        <v>10649.24894</v>
      </c>
      <c r="R672" s="10">
        <f>Econ!E672</f>
        <v>179.98012</v>
      </c>
      <c r="S672" s="10">
        <f>Econ!G672</f>
        <v>1369.189149</v>
      </c>
      <c r="T672" s="10">
        <f>Econ!I672</f>
        <v>0</v>
      </c>
    </row>
    <row r="673">
      <c r="A673" s="7" t="str">
        <f>Econ!A673&amp;if(Econ!B673&lt;10,"_0"&amp;Econ!B673,"_"&amp;Econ!B673)</f>
        <v>Knight_72</v>
      </c>
      <c r="B673" s="7" t="str">
        <f>"T"&amp;Econ!B673&amp;" "&amp;Econ!A673</f>
        <v>T72 Knight</v>
      </c>
      <c r="C673" s="8">
        <f>Econ!B673</f>
        <v>72</v>
      </c>
      <c r="D673" s="7"/>
      <c r="E673" s="9"/>
      <c r="F673" s="9"/>
      <c r="G673" s="10" t="str">
        <f>Econ!L673</f>
        <v/>
      </c>
      <c r="H673" s="11" t="str">
        <f>Econ!M673</f>
        <v/>
      </c>
      <c r="I673" s="11">
        <f>Econ!N673</f>
        <v>865</v>
      </c>
      <c r="J673" s="12">
        <f>Econ!O673</f>
        <v>980</v>
      </c>
      <c r="K673" s="13">
        <f>Econ!P673</f>
        <v>0</v>
      </c>
      <c r="L673" s="14">
        <f>Econ!Q673</f>
        <v>0</v>
      </c>
      <c r="M673" s="14">
        <f>Econ!R673</f>
        <v>216.25</v>
      </c>
      <c r="N673" s="13">
        <f>Econ!S673</f>
        <v>245</v>
      </c>
      <c r="O673" s="13">
        <f>Econ!T673</f>
        <v>8</v>
      </c>
      <c r="P673" s="7" t="str">
        <f>Econ!A673</f>
        <v>Knight</v>
      </c>
      <c r="Q673" s="10">
        <f>Econ!C673</f>
        <v>11181.71138</v>
      </c>
      <c r="R673" s="10">
        <f>Econ!E673</f>
        <v>183.5797224</v>
      </c>
      <c r="S673" s="10">
        <f>Econ!G673</f>
        <v>1437.648607</v>
      </c>
      <c r="T673" s="10">
        <f>Econ!I673</f>
        <v>0</v>
      </c>
    </row>
    <row r="674">
      <c r="A674" s="7" t="str">
        <f>Econ!A674&amp;if(Econ!B674&lt;10,"_0"&amp;Econ!B674,"_"&amp;Econ!B674)</f>
        <v>Knight_73</v>
      </c>
      <c r="B674" s="7" t="str">
        <f>"T"&amp;Econ!B674&amp;" "&amp;Econ!A674</f>
        <v>T73 Knight</v>
      </c>
      <c r="C674" s="8">
        <f>Econ!B674</f>
        <v>73</v>
      </c>
      <c r="D674" s="7"/>
      <c r="E674" s="9"/>
      <c r="F674" s="9"/>
      <c r="G674" s="10" t="str">
        <f>Econ!L674</f>
        <v/>
      </c>
      <c r="H674" s="11" t="str">
        <f>Econ!M674</f>
        <v/>
      </c>
      <c r="I674" s="11">
        <f>Econ!N674</f>
        <v>885</v>
      </c>
      <c r="J674" s="12">
        <f>Econ!O674</f>
        <v>1000</v>
      </c>
      <c r="K674" s="13">
        <f>Econ!P674</f>
        <v>0</v>
      </c>
      <c r="L674" s="14">
        <f>Econ!Q674</f>
        <v>0</v>
      </c>
      <c r="M674" s="14">
        <f>Econ!R674</f>
        <v>221.25</v>
      </c>
      <c r="N674" s="13">
        <f>Econ!S674</f>
        <v>250</v>
      </c>
      <c r="O674" s="13">
        <f>Econ!T674</f>
        <v>8</v>
      </c>
      <c r="P674" s="7" t="str">
        <f>Econ!A674</f>
        <v>Knight</v>
      </c>
      <c r="Q674" s="10">
        <f>Econ!C674</f>
        <v>11740.79695</v>
      </c>
      <c r="R674" s="10">
        <f>Econ!E674</f>
        <v>187.2513169</v>
      </c>
      <c r="S674" s="10">
        <f>Econ!G674</f>
        <v>1509.531037</v>
      </c>
      <c r="T674" s="10">
        <f>Econ!I674</f>
        <v>0</v>
      </c>
    </row>
    <row r="675">
      <c r="A675" s="7" t="str">
        <f>Econ!A675&amp;if(Econ!B675&lt;10,"_0"&amp;Econ!B675,"_"&amp;Econ!B675)</f>
        <v>Knight_74</v>
      </c>
      <c r="B675" s="7" t="str">
        <f>"T"&amp;Econ!B675&amp;" "&amp;Econ!A675</f>
        <v>T74 Knight</v>
      </c>
      <c r="C675" s="8">
        <f>Econ!B675</f>
        <v>74</v>
      </c>
      <c r="D675" s="7"/>
      <c r="E675" s="9"/>
      <c r="F675" s="9"/>
      <c r="G675" s="10" t="str">
        <f>Econ!L675</f>
        <v/>
      </c>
      <c r="H675" s="11" t="str">
        <f>Econ!M675</f>
        <v/>
      </c>
      <c r="I675" s="11">
        <f>Econ!N675</f>
        <v>905</v>
      </c>
      <c r="J675" s="12">
        <f>Econ!O675</f>
        <v>1020</v>
      </c>
      <c r="K675" s="13">
        <f>Econ!P675</f>
        <v>0</v>
      </c>
      <c r="L675" s="14">
        <f>Econ!Q675</f>
        <v>0</v>
      </c>
      <c r="M675" s="14">
        <f>Econ!R675</f>
        <v>226.25</v>
      </c>
      <c r="N675" s="13">
        <f>Econ!S675</f>
        <v>255</v>
      </c>
      <c r="O675" s="13">
        <f>Econ!T675</f>
        <v>8</v>
      </c>
      <c r="P675" s="7" t="str">
        <f>Econ!A675</f>
        <v>Knight</v>
      </c>
      <c r="Q675" s="10">
        <f>Econ!C675</f>
        <v>12327.8368</v>
      </c>
      <c r="R675" s="10">
        <f>Econ!E675</f>
        <v>190.9963432</v>
      </c>
      <c r="S675" s="10">
        <f>Econ!G675</f>
        <v>1585.007589</v>
      </c>
      <c r="T675" s="10">
        <f>Econ!I675</f>
        <v>0</v>
      </c>
    </row>
    <row r="676">
      <c r="A676" s="7" t="str">
        <f>Econ!A676&amp;if(Econ!B676&lt;10,"_0"&amp;Econ!B676,"_"&amp;Econ!B676)</f>
        <v>Knight_75</v>
      </c>
      <c r="B676" s="7" t="str">
        <f>"T"&amp;Econ!B676&amp;" "&amp;Econ!A676</f>
        <v>T75 Knight</v>
      </c>
      <c r="C676" s="8">
        <f>Econ!B676</f>
        <v>75</v>
      </c>
      <c r="D676" s="7"/>
      <c r="E676" s="9"/>
      <c r="F676" s="9"/>
      <c r="G676" s="10" t="str">
        <f>Econ!L676</f>
        <v/>
      </c>
      <c r="H676" s="11" t="str">
        <f>Econ!M676</f>
        <v/>
      </c>
      <c r="I676" s="11">
        <f>Econ!N676</f>
        <v>925</v>
      </c>
      <c r="J676" s="12">
        <f>Econ!O676</f>
        <v>1040</v>
      </c>
      <c r="K676" s="13">
        <f>Econ!P676</f>
        <v>0</v>
      </c>
      <c r="L676" s="14">
        <f>Econ!Q676</f>
        <v>0</v>
      </c>
      <c r="M676" s="14">
        <f>Econ!R676</f>
        <v>231.25</v>
      </c>
      <c r="N676" s="13">
        <f>Econ!S676</f>
        <v>260</v>
      </c>
      <c r="O676" s="13">
        <f>Econ!T676</f>
        <v>9</v>
      </c>
      <c r="P676" s="7" t="str">
        <f>Econ!A676</f>
        <v>Knight</v>
      </c>
      <c r="Q676" s="10">
        <f>Econ!C676</f>
        <v>12944.22864</v>
      </c>
      <c r="R676" s="10">
        <f>Econ!E676</f>
        <v>194.8162701</v>
      </c>
      <c r="S676" s="10">
        <f>Econ!G676</f>
        <v>1664.257968</v>
      </c>
      <c r="T676" s="10">
        <f>Econ!I676</f>
        <v>0</v>
      </c>
    </row>
    <row r="677">
      <c r="A677" s="7" t="str">
        <f>Econ!A677&amp;if(Econ!B677&lt;10,"_0"&amp;Econ!B677,"_"&amp;Econ!B677)</f>
        <v>Knight_76</v>
      </c>
      <c r="B677" s="7" t="str">
        <f>"T"&amp;Econ!B677&amp;" "&amp;Econ!A677</f>
        <v>T76 Knight</v>
      </c>
      <c r="C677" s="8">
        <f>Econ!B677</f>
        <v>76</v>
      </c>
      <c r="D677" s="7"/>
      <c r="E677" s="9"/>
      <c r="F677" s="9"/>
      <c r="G677" s="10" t="str">
        <f>Econ!L677</f>
        <v/>
      </c>
      <c r="H677" s="11" t="str">
        <f>Econ!M677</f>
        <v/>
      </c>
      <c r="I677" s="11">
        <f>Econ!N677</f>
        <v>945</v>
      </c>
      <c r="J677" s="12">
        <f>Econ!O677</f>
        <v>1060</v>
      </c>
      <c r="K677" s="13">
        <f>Econ!P677</f>
        <v>0</v>
      </c>
      <c r="L677" s="14">
        <f>Econ!Q677</f>
        <v>0</v>
      </c>
      <c r="M677" s="14">
        <f>Econ!R677</f>
        <v>236.25</v>
      </c>
      <c r="N677" s="13">
        <f>Econ!S677</f>
        <v>265</v>
      </c>
      <c r="O677" s="13">
        <f>Econ!T677</f>
        <v>9</v>
      </c>
      <c r="P677" s="7" t="str">
        <f>Econ!A677</f>
        <v>Knight</v>
      </c>
      <c r="Q677" s="10">
        <f>Econ!C677</f>
        <v>13591.44007</v>
      </c>
      <c r="R677" s="10">
        <f>Econ!E677</f>
        <v>198.7125955</v>
      </c>
      <c r="S677" s="10">
        <f>Econ!G677</f>
        <v>1747.470867</v>
      </c>
      <c r="T677" s="10">
        <f>Econ!I677</f>
        <v>0</v>
      </c>
    </row>
    <row r="678">
      <c r="A678" s="7" t="str">
        <f>Econ!A678&amp;if(Econ!B678&lt;10,"_0"&amp;Econ!B678,"_"&amp;Econ!B678)</f>
        <v>Knight_77</v>
      </c>
      <c r="B678" s="7" t="str">
        <f>"T"&amp;Econ!B678&amp;" "&amp;Econ!A678</f>
        <v>T77 Knight</v>
      </c>
      <c r="C678" s="8">
        <f>Econ!B678</f>
        <v>77</v>
      </c>
      <c r="D678" s="7"/>
      <c r="E678" s="9"/>
      <c r="F678" s="9"/>
      <c r="G678" s="10" t="str">
        <f>Econ!L678</f>
        <v/>
      </c>
      <c r="H678" s="11" t="str">
        <f>Econ!M678</f>
        <v/>
      </c>
      <c r="I678" s="11">
        <f>Econ!N678</f>
        <v>966</v>
      </c>
      <c r="J678" s="12">
        <f>Econ!O678</f>
        <v>1081</v>
      </c>
      <c r="K678" s="13">
        <f>Econ!P678</f>
        <v>0</v>
      </c>
      <c r="L678" s="14">
        <f>Econ!Q678</f>
        <v>0</v>
      </c>
      <c r="M678" s="14">
        <f>Econ!R678</f>
        <v>241.5</v>
      </c>
      <c r="N678" s="13">
        <f>Econ!S678</f>
        <v>270.25</v>
      </c>
      <c r="O678" s="13">
        <f>Econ!T678</f>
        <v>9</v>
      </c>
      <c r="P678" s="7" t="str">
        <f>Econ!A678</f>
        <v>Knight</v>
      </c>
      <c r="Q678" s="10">
        <f>Econ!C678</f>
        <v>14271.01208</v>
      </c>
      <c r="R678" s="10">
        <f>Econ!E678</f>
        <v>202.6868474</v>
      </c>
      <c r="S678" s="10">
        <f>Econ!G678</f>
        <v>1834.84441</v>
      </c>
      <c r="T678" s="10">
        <f>Econ!I678</f>
        <v>0</v>
      </c>
    </row>
    <row r="679">
      <c r="A679" s="7" t="str">
        <f>Econ!A679&amp;if(Econ!B679&lt;10,"_0"&amp;Econ!B679,"_"&amp;Econ!B679)</f>
        <v>Knight_78</v>
      </c>
      <c r="B679" s="7" t="str">
        <f>"T"&amp;Econ!B679&amp;" "&amp;Econ!A679</f>
        <v>T78 Knight</v>
      </c>
      <c r="C679" s="8">
        <f>Econ!B679</f>
        <v>78</v>
      </c>
      <c r="D679" s="7"/>
      <c r="E679" s="9"/>
      <c r="F679" s="9"/>
      <c r="G679" s="10" t="str">
        <f>Econ!L679</f>
        <v/>
      </c>
      <c r="H679" s="11" t="str">
        <f>Econ!M679</f>
        <v/>
      </c>
      <c r="I679" s="11">
        <f>Econ!N679</f>
        <v>987</v>
      </c>
      <c r="J679" s="12">
        <f>Econ!O679</f>
        <v>1102</v>
      </c>
      <c r="K679" s="13">
        <f>Econ!P679</f>
        <v>0</v>
      </c>
      <c r="L679" s="14">
        <f>Econ!Q679</f>
        <v>0</v>
      </c>
      <c r="M679" s="14">
        <f>Econ!R679</f>
        <v>246.75</v>
      </c>
      <c r="N679" s="13">
        <f>Econ!S679</f>
        <v>275.5</v>
      </c>
      <c r="O679" s="13">
        <f>Econ!T679</f>
        <v>9</v>
      </c>
      <c r="P679" s="7" t="str">
        <f>Econ!A679</f>
        <v>Knight</v>
      </c>
      <c r="Q679" s="10">
        <f>Econ!C679</f>
        <v>14984.56268</v>
      </c>
      <c r="R679" s="10">
        <f>Econ!E679</f>
        <v>206.7405843</v>
      </c>
      <c r="S679" s="10">
        <f>Econ!G679</f>
        <v>1926.58663</v>
      </c>
      <c r="T679" s="10">
        <f>Econ!I679</f>
        <v>0</v>
      </c>
    </row>
    <row r="680">
      <c r="A680" s="7" t="str">
        <f>Econ!A680&amp;if(Econ!B680&lt;10,"_0"&amp;Econ!B680,"_"&amp;Econ!B680)</f>
        <v>Knight_79</v>
      </c>
      <c r="B680" s="7" t="str">
        <f>"T"&amp;Econ!B680&amp;" "&amp;Econ!A680</f>
        <v>T79 Knight</v>
      </c>
      <c r="C680" s="8">
        <f>Econ!B680</f>
        <v>79</v>
      </c>
      <c r="D680" s="7"/>
      <c r="E680" s="9"/>
      <c r="F680" s="9"/>
      <c r="G680" s="10" t="str">
        <f>Econ!L680</f>
        <v/>
      </c>
      <c r="H680" s="11" t="str">
        <f>Econ!M680</f>
        <v/>
      </c>
      <c r="I680" s="11">
        <f>Econ!N680</f>
        <v>1008</v>
      </c>
      <c r="J680" s="12">
        <f>Econ!O680</f>
        <v>1123</v>
      </c>
      <c r="K680" s="13">
        <f>Econ!P680</f>
        <v>0</v>
      </c>
      <c r="L680" s="14">
        <f>Econ!Q680</f>
        <v>0</v>
      </c>
      <c r="M680" s="14">
        <f>Econ!R680</f>
        <v>252</v>
      </c>
      <c r="N680" s="13">
        <f>Econ!S680</f>
        <v>280.75</v>
      </c>
      <c r="O680" s="13">
        <f>Econ!T680</f>
        <v>9</v>
      </c>
      <c r="P680" s="7" t="str">
        <f>Econ!A680</f>
        <v>Knight</v>
      </c>
      <c r="Q680" s="10">
        <f>Econ!C680</f>
        <v>15733.79081</v>
      </c>
      <c r="R680" s="10">
        <f>Econ!E680</f>
        <v>210.875396</v>
      </c>
      <c r="S680" s="10">
        <f>Econ!G680</f>
        <v>2022.915962</v>
      </c>
      <c r="T680" s="10">
        <f>Econ!I680</f>
        <v>0</v>
      </c>
    </row>
    <row r="681">
      <c r="A681" s="7" t="str">
        <f>Econ!A681&amp;if(Econ!B681&lt;10,"_0"&amp;Econ!B681,"_"&amp;Econ!B681)</f>
        <v>Knight_80</v>
      </c>
      <c r="B681" s="7" t="str">
        <f>"T"&amp;Econ!B681&amp;" "&amp;Econ!A681</f>
        <v>T80 Knight</v>
      </c>
      <c r="C681" s="8">
        <f>Econ!B681</f>
        <v>80</v>
      </c>
      <c r="D681" s="7"/>
      <c r="E681" s="9"/>
      <c r="F681" s="9"/>
      <c r="G681" s="10" t="str">
        <f>Econ!L681</f>
        <v/>
      </c>
      <c r="H681" s="11" t="str">
        <f>Econ!M681</f>
        <v/>
      </c>
      <c r="I681" s="11">
        <f>Econ!N681</f>
        <v>1029</v>
      </c>
      <c r="J681" s="12">
        <f>Econ!O681</f>
        <v>1144</v>
      </c>
      <c r="K681" s="13">
        <f>Econ!P681</f>
        <v>0</v>
      </c>
      <c r="L681" s="14">
        <f>Econ!Q681</f>
        <v>0</v>
      </c>
      <c r="M681" s="14">
        <f>Econ!R681</f>
        <v>257.25</v>
      </c>
      <c r="N681" s="13">
        <f>Econ!S681</f>
        <v>286</v>
      </c>
      <c r="O681" s="13">
        <f>Econ!T681</f>
        <v>9</v>
      </c>
      <c r="P681" s="7" t="str">
        <f>Econ!A681</f>
        <v>Knight</v>
      </c>
      <c r="Q681" s="10">
        <f>Econ!C681</f>
        <v>16520.48036</v>
      </c>
      <c r="R681" s="10">
        <f>Econ!E681</f>
        <v>215.0929039</v>
      </c>
      <c r="S681" s="10">
        <f>Econ!G681</f>
        <v>2124.06176</v>
      </c>
      <c r="T681" s="10">
        <f>Econ!I681</f>
        <v>0</v>
      </c>
    </row>
    <row r="682">
      <c r="A682" s="7" t="str">
        <f>Econ!A682&amp;if(Econ!B682&lt;10,"_0"&amp;Econ!B682,"_"&amp;Econ!B682)</f>
        <v>Knight_81</v>
      </c>
      <c r="B682" s="7" t="str">
        <f>"T"&amp;Econ!B682&amp;" "&amp;Econ!A682</f>
        <v>T81 Knight</v>
      </c>
      <c r="C682" s="8">
        <f>Econ!B682</f>
        <v>81</v>
      </c>
      <c r="D682" s="7"/>
      <c r="E682" s="9"/>
      <c r="F682" s="9"/>
      <c r="G682" s="10" t="str">
        <f>Econ!L682</f>
        <v/>
      </c>
      <c r="H682" s="11" t="str">
        <f>Econ!M682</f>
        <v/>
      </c>
      <c r="I682" s="11">
        <f>Econ!N682</f>
        <v>1050</v>
      </c>
      <c r="J682" s="12">
        <f>Econ!O682</f>
        <v>1165</v>
      </c>
      <c r="K682" s="13">
        <f>Econ!P682</f>
        <v>0</v>
      </c>
      <c r="L682" s="14">
        <f>Econ!Q682</f>
        <v>0</v>
      </c>
      <c r="M682" s="14">
        <f>Econ!R682</f>
        <v>262.5</v>
      </c>
      <c r="N682" s="13">
        <f>Econ!S682</f>
        <v>291.25</v>
      </c>
      <c r="O682" s="13">
        <f>Econ!T682</f>
        <v>9</v>
      </c>
      <c r="P682" s="7" t="str">
        <f>Econ!A682</f>
        <v>Knight</v>
      </c>
      <c r="Q682" s="10">
        <f>Econ!C682</f>
        <v>17346.50437</v>
      </c>
      <c r="R682" s="10">
        <f>Econ!E682</f>
        <v>219.394762</v>
      </c>
      <c r="S682" s="10">
        <f>Econ!G682</f>
        <v>2230.264848</v>
      </c>
      <c r="T682" s="10">
        <f>Econ!I682</f>
        <v>0</v>
      </c>
    </row>
    <row r="683">
      <c r="A683" s="7" t="str">
        <f>Econ!A683&amp;if(Econ!B683&lt;10,"_0"&amp;Econ!B683,"_"&amp;Econ!B683)</f>
        <v>Knight_82</v>
      </c>
      <c r="B683" s="7" t="str">
        <f>"T"&amp;Econ!B683&amp;" "&amp;Econ!A683</f>
        <v>T82 Knight</v>
      </c>
      <c r="C683" s="8">
        <f>Econ!B683</f>
        <v>82</v>
      </c>
      <c r="D683" s="7"/>
      <c r="E683" s="9"/>
      <c r="F683" s="9"/>
      <c r="G683" s="10" t="str">
        <f>Econ!L683</f>
        <v/>
      </c>
      <c r="H683" s="11" t="str">
        <f>Econ!M683</f>
        <v/>
      </c>
      <c r="I683" s="11">
        <f>Econ!N683</f>
        <v>1071</v>
      </c>
      <c r="J683" s="12">
        <f>Econ!O683</f>
        <v>1186</v>
      </c>
      <c r="K683" s="13">
        <f>Econ!P683</f>
        <v>0</v>
      </c>
      <c r="L683" s="14">
        <f>Econ!Q683</f>
        <v>0</v>
      </c>
      <c r="M683" s="14">
        <f>Econ!R683</f>
        <v>267.75</v>
      </c>
      <c r="N683" s="13">
        <f>Econ!S683</f>
        <v>296.5</v>
      </c>
      <c r="O683" s="13">
        <f>Econ!T683</f>
        <v>9</v>
      </c>
      <c r="P683" s="7" t="str">
        <f>Econ!A683</f>
        <v>Knight</v>
      </c>
      <c r="Q683" s="10">
        <f>Econ!C683</f>
        <v>18213.82959</v>
      </c>
      <c r="R683" s="10">
        <f>Econ!E683</f>
        <v>223.7826573</v>
      </c>
      <c r="S683" s="10">
        <f>Econ!G683</f>
        <v>2341.77809</v>
      </c>
      <c r="T683" s="10">
        <f>Econ!I683</f>
        <v>0</v>
      </c>
    </row>
    <row r="684">
      <c r="A684" s="7" t="str">
        <f>Econ!A684&amp;if(Econ!B684&lt;10,"_0"&amp;Econ!B684,"_"&amp;Econ!B684)</f>
        <v>Knight_83</v>
      </c>
      <c r="B684" s="7" t="str">
        <f>"T"&amp;Econ!B684&amp;" "&amp;Econ!A684</f>
        <v>T83 Knight</v>
      </c>
      <c r="C684" s="8">
        <f>Econ!B684</f>
        <v>83</v>
      </c>
      <c r="D684" s="7"/>
      <c r="E684" s="9"/>
      <c r="F684" s="9"/>
      <c r="G684" s="10" t="str">
        <f>Econ!L684</f>
        <v/>
      </c>
      <c r="H684" s="11" t="str">
        <f>Econ!M684</f>
        <v/>
      </c>
      <c r="I684" s="11">
        <f>Econ!N684</f>
        <v>1093</v>
      </c>
      <c r="J684" s="12">
        <f>Econ!O684</f>
        <v>1208</v>
      </c>
      <c r="K684" s="13">
        <f>Econ!P684</f>
        <v>0</v>
      </c>
      <c r="L684" s="14">
        <f>Econ!Q684</f>
        <v>0</v>
      </c>
      <c r="M684" s="14">
        <f>Econ!R684</f>
        <v>273.25</v>
      </c>
      <c r="N684" s="13">
        <f>Econ!S684</f>
        <v>302</v>
      </c>
      <c r="O684" s="13">
        <f>Econ!T684</f>
        <v>9</v>
      </c>
      <c r="P684" s="7" t="str">
        <f>Econ!A684</f>
        <v>Knight</v>
      </c>
      <c r="Q684" s="10">
        <f>Econ!C684</f>
        <v>19124.52107</v>
      </c>
      <c r="R684" s="10">
        <f>Econ!E684</f>
        <v>228.2583104</v>
      </c>
      <c r="S684" s="10">
        <f>Econ!G684</f>
        <v>2458.866995</v>
      </c>
      <c r="T684" s="10">
        <f>Econ!I684</f>
        <v>0</v>
      </c>
    </row>
    <row r="685">
      <c r="A685" s="7" t="str">
        <f>Econ!A685&amp;if(Econ!B685&lt;10,"_0"&amp;Econ!B685,"_"&amp;Econ!B685)</f>
        <v>Knight_84</v>
      </c>
      <c r="B685" s="7" t="str">
        <f>"T"&amp;Econ!B685&amp;" "&amp;Econ!A685</f>
        <v>T84 Knight</v>
      </c>
      <c r="C685" s="8">
        <f>Econ!B685</f>
        <v>84</v>
      </c>
      <c r="D685" s="7"/>
      <c r="E685" s="9"/>
      <c r="F685" s="9"/>
      <c r="G685" s="10" t="str">
        <f>Econ!L685</f>
        <v/>
      </c>
      <c r="H685" s="11" t="str">
        <f>Econ!M685</f>
        <v/>
      </c>
      <c r="I685" s="11">
        <f>Econ!N685</f>
        <v>1115</v>
      </c>
      <c r="J685" s="12">
        <f>Econ!O685</f>
        <v>1230</v>
      </c>
      <c r="K685" s="13">
        <f>Econ!P685</f>
        <v>0</v>
      </c>
      <c r="L685" s="14">
        <f>Econ!Q685</f>
        <v>0</v>
      </c>
      <c r="M685" s="14">
        <f>Econ!R685</f>
        <v>278.75</v>
      </c>
      <c r="N685" s="13">
        <f>Econ!S685</f>
        <v>307.5</v>
      </c>
      <c r="O685" s="13">
        <f>Econ!T685</f>
        <v>9</v>
      </c>
      <c r="P685" s="7" t="str">
        <f>Econ!A685</f>
        <v>Knight</v>
      </c>
      <c r="Q685" s="10">
        <f>Econ!C685</f>
        <v>20080.74713</v>
      </c>
      <c r="R685" s="10">
        <f>Econ!E685</f>
        <v>232.8234766</v>
      </c>
      <c r="S685" s="10">
        <f>Econ!G685</f>
        <v>2581.810345</v>
      </c>
      <c r="T685" s="10">
        <f>Econ!I685</f>
        <v>0</v>
      </c>
    </row>
    <row r="686">
      <c r="A686" s="7" t="str">
        <f>Econ!A686&amp;if(Econ!B686&lt;10,"_0"&amp;Econ!B686,"_"&amp;Econ!B686)</f>
        <v>Knight_85</v>
      </c>
      <c r="B686" s="7" t="str">
        <f>"T"&amp;Econ!B686&amp;" "&amp;Econ!A686</f>
        <v>T85 Knight</v>
      </c>
      <c r="C686" s="8">
        <f>Econ!B686</f>
        <v>85</v>
      </c>
      <c r="D686" s="7"/>
      <c r="E686" s="9"/>
      <c r="F686" s="9"/>
      <c r="G686" s="10" t="str">
        <f>Econ!L686</f>
        <v/>
      </c>
      <c r="H686" s="11" t="str">
        <f>Econ!M686</f>
        <v/>
      </c>
      <c r="I686" s="11">
        <f>Econ!N686</f>
        <v>1137</v>
      </c>
      <c r="J686" s="12">
        <f>Econ!O686</f>
        <v>1252</v>
      </c>
      <c r="K686" s="13">
        <f>Econ!P686</f>
        <v>0</v>
      </c>
      <c r="L686" s="14">
        <f>Econ!Q686</f>
        <v>0</v>
      </c>
      <c r="M686" s="14">
        <f>Econ!R686</f>
        <v>284.25</v>
      </c>
      <c r="N686" s="13">
        <f>Econ!S686</f>
        <v>313</v>
      </c>
      <c r="O686" s="13">
        <f>Econ!T686</f>
        <v>10</v>
      </c>
      <c r="P686" s="7" t="str">
        <f>Econ!A686</f>
        <v>Knight</v>
      </c>
      <c r="Q686" s="10">
        <f>Econ!C686</f>
        <v>21084.78448</v>
      </c>
      <c r="R686" s="10">
        <f>Econ!E686</f>
        <v>237.4799462</v>
      </c>
      <c r="S686" s="10">
        <f>Econ!G686</f>
        <v>2710.900862</v>
      </c>
      <c r="T686" s="10">
        <f>Econ!I686</f>
        <v>0</v>
      </c>
    </row>
    <row r="687">
      <c r="A687" s="7" t="str">
        <f>Econ!A687&amp;if(Econ!B687&lt;10,"_0"&amp;Econ!B687,"_"&amp;Econ!B687)</f>
        <v>Knight_86</v>
      </c>
      <c r="B687" s="7" t="str">
        <f>"T"&amp;Econ!B687&amp;" "&amp;Econ!A687</f>
        <v>T86 Knight</v>
      </c>
      <c r="C687" s="8">
        <f>Econ!B687</f>
        <v>86</v>
      </c>
      <c r="D687" s="7"/>
      <c r="E687" s="9"/>
      <c r="F687" s="9"/>
      <c r="G687" s="10" t="str">
        <f>Econ!L687</f>
        <v/>
      </c>
      <c r="H687" s="11" t="str">
        <f>Econ!M687</f>
        <v/>
      </c>
      <c r="I687" s="11">
        <f>Econ!N687</f>
        <v>1159</v>
      </c>
      <c r="J687" s="12">
        <f>Econ!O687</f>
        <v>1274</v>
      </c>
      <c r="K687" s="13">
        <f>Econ!P687</f>
        <v>0</v>
      </c>
      <c r="L687" s="14">
        <f>Econ!Q687</f>
        <v>0</v>
      </c>
      <c r="M687" s="14">
        <f>Econ!R687</f>
        <v>289.75</v>
      </c>
      <c r="N687" s="13">
        <f>Econ!S687</f>
        <v>318.5</v>
      </c>
      <c r="O687" s="13">
        <f>Econ!T687</f>
        <v>10</v>
      </c>
      <c r="P687" s="7" t="str">
        <f>Econ!A687</f>
        <v>Knight</v>
      </c>
      <c r="Q687" s="10">
        <f>Econ!C687</f>
        <v>22139.02371</v>
      </c>
      <c r="R687" s="10">
        <f>Econ!E687</f>
        <v>242.2295451</v>
      </c>
      <c r="S687" s="10">
        <f>Econ!G687</f>
        <v>2846.445905</v>
      </c>
      <c r="T687" s="10">
        <f>Econ!I687</f>
        <v>0</v>
      </c>
    </row>
    <row r="688">
      <c r="A688" s="7" t="str">
        <f>Econ!A688&amp;if(Econ!B688&lt;10,"_0"&amp;Econ!B688,"_"&amp;Econ!B688)</f>
        <v>Knight_87</v>
      </c>
      <c r="B688" s="7" t="str">
        <f>"T"&amp;Econ!B688&amp;" "&amp;Econ!A688</f>
        <v>T87 Knight</v>
      </c>
      <c r="C688" s="8">
        <f>Econ!B688</f>
        <v>87</v>
      </c>
      <c r="D688" s="7"/>
      <c r="E688" s="9"/>
      <c r="F688" s="9"/>
      <c r="G688" s="10" t="str">
        <f>Econ!L688</f>
        <v/>
      </c>
      <c r="H688" s="11" t="str">
        <f>Econ!M688</f>
        <v/>
      </c>
      <c r="I688" s="11">
        <f>Econ!N688</f>
        <v>1181</v>
      </c>
      <c r="J688" s="12">
        <f>Econ!O688</f>
        <v>1296</v>
      </c>
      <c r="K688" s="13">
        <f>Econ!P688</f>
        <v>0</v>
      </c>
      <c r="L688" s="14">
        <f>Econ!Q688</f>
        <v>0</v>
      </c>
      <c r="M688" s="14">
        <f>Econ!R688</f>
        <v>295.25</v>
      </c>
      <c r="N688" s="13">
        <f>Econ!S688</f>
        <v>324</v>
      </c>
      <c r="O688" s="13">
        <f>Econ!T688</f>
        <v>10</v>
      </c>
      <c r="P688" s="7" t="str">
        <f>Econ!A688</f>
        <v>Knight</v>
      </c>
      <c r="Q688" s="10">
        <f>Econ!C688</f>
        <v>23245.97489</v>
      </c>
      <c r="R688" s="10">
        <f>Econ!E688</f>
        <v>247.074136</v>
      </c>
      <c r="S688" s="10">
        <f>Econ!G688</f>
        <v>2988.7682</v>
      </c>
      <c r="T688" s="10">
        <f>Econ!I688</f>
        <v>0</v>
      </c>
    </row>
    <row r="689">
      <c r="A689" s="7" t="str">
        <f>Econ!A689&amp;if(Econ!B689&lt;10,"_0"&amp;Econ!B689,"_"&amp;Econ!B689)</f>
        <v>Knight_88</v>
      </c>
      <c r="B689" s="7" t="str">
        <f>"T"&amp;Econ!B689&amp;" "&amp;Econ!A689</f>
        <v>T88 Knight</v>
      </c>
      <c r="C689" s="8">
        <f>Econ!B689</f>
        <v>88</v>
      </c>
      <c r="D689" s="7"/>
      <c r="E689" s="9"/>
      <c r="F689" s="9"/>
      <c r="G689" s="10" t="str">
        <f>Econ!L689</f>
        <v/>
      </c>
      <c r="H689" s="11" t="str">
        <f>Econ!M689</f>
        <v/>
      </c>
      <c r="I689" s="11">
        <f>Econ!N689</f>
        <v>1204</v>
      </c>
      <c r="J689" s="12">
        <f>Econ!O689</f>
        <v>1319</v>
      </c>
      <c r="K689" s="13">
        <f>Econ!P689</f>
        <v>0</v>
      </c>
      <c r="L689" s="14">
        <f>Econ!Q689</f>
        <v>0</v>
      </c>
      <c r="M689" s="14">
        <f>Econ!R689</f>
        <v>301</v>
      </c>
      <c r="N689" s="13">
        <f>Econ!S689</f>
        <v>329.75</v>
      </c>
      <c r="O689" s="13">
        <f>Econ!T689</f>
        <v>10</v>
      </c>
      <c r="P689" s="7" t="str">
        <f>Econ!A689</f>
        <v>Knight</v>
      </c>
      <c r="Q689" s="10">
        <f>Econ!C689</f>
        <v>24408.27364</v>
      </c>
      <c r="R689" s="10">
        <f>Econ!E689</f>
        <v>252.0156187</v>
      </c>
      <c r="S689" s="10">
        <f>Econ!G689</f>
        <v>3138.20661</v>
      </c>
      <c r="T689" s="10">
        <f>Econ!I689</f>
        <v>0</v>
      </c>
    </row>
    <row r="690">
      <c r="A690" s="7" t="str">
        <f>Econ!A690&amp;if(Econ!B690&lt;10,"_0"&amp;Econ!B690,"_"&amp;Econ!B690)</f>
        <v>Knight_89</v>
      </c>
      <c r="B690" s="7" t="str">
        <f>"T"&amp;Econ!B690&amp;" "&amp;Econ!A690</f>
        <v>T89 Knight</v>
      </c>
      <c r="C690" s="8">
        <f>Econ!B690</f>
        <v>89</v>
      </c>
      <c r="D690" s="7"/>
      <c r="E690" s="9"/>
      <c r="F690" s="9"/>
      <c r="G690" s="10" t="str">
        <f>Econ!L690</f>
        <v/>
      </c>
      <c r="H690" s="11" t="str">
        <f>Econ!M690</f>
        <v/>
      </c>
      <c r="I690" s="11">
        <f>Econ!N690</f>
        <v>1227</v>
      </c>
      <c r="J690" s="12">
        <f>Econ!O690</f>
        <v>1342</v>
      </c>
      <c r="K690" s="13">
        <f>Econ!P690</f>
        <v>0</v>
      </c>
      <c r="L690" s="14">
        <f>Econ!Q690</f>
        <v>0</v>
      </c>
      <c r="M690" s="14">
        <f>Econ!R690</f>
        <v>306.75</v>
      </c>
      <c r="N690" s="13">
        <f>Econ!S690</f>
        <v>335.5</v>
      </c>
      <c r="O690" s="13">
        <f>Econ!T690</f>
        <v>10</v>
      </c>
      <c r="P690" s="7" t="str">
        <f>Econ!A690</f>
        <v>Knight</v>
      </c>
      <c r="Q690" s="10">
        <f>Econ!C690</f>
        <v>25628.68732</v>
      </c>
      <c r="R690" s="10">
        <f>Econ!E690</f>
        <v>257.0559311</v>
      </c>
      <c r="S690" s="10">
        <f>Econ!G690</f>
        <v>3295.116941</v>
      </c>
      <c r="T690" s="10">
        <f>Econ!I690</f>
        <v>0</v>
      </c>
    </row>
    <row r="691">
      <c r="A691" s="7" t="str">
        <f>Econ!A691&amp;if(Econ!B691&lt;10,"_0"&amp;Econ!B691,"_"&amp;Econ!B691)</f>
        <v>Knight_90</v>
      </c>
      <c r="B691" s="7" t="str">
        <f>"T"&amp;Econ!B691&amp;" "&amp;Econ!A691</f>
        <v>T90 Knight</v>
      </c>
      <c r="C691" s="8">
        <f>Econ!B691</f>
        <v>90</v>
      </c>
      <c r="D691" s="7"/>
      <c r="E691" s="9"/>
      <c r="F691" s="9"/>
      <c r="G691" s="10" t="str">
        <f>Econ!L691</f>
        <v/>
      </c>
      <c r="H691" s="11" t="str">
        <f>Econ!M691</f>
        <v/>
      </c>
      <c r="I691" s="11">
        <f>Econ!N691</f>
        <v>1250</v>
      </c>
      <c r="J691" s="12">
        <f>Econ!O691</f>
        <v>1365</v>
      </c>
      <c r="K691" s="13">
        <f>Econ!P691</f>
        <v>0</v>
      </c>
      <c r="L691" s="14">
        <f>Econ!Q691</f>
        <v>0</v>
      </c>
      <c r="M691" s="14">
        <f>Econ!R691</f>
        <v>312.5</v>
      </c>
      <c r="N691" s="13">
        <f>Econ!S691</f>
        <v>341.25</v>
      </c>
      <c r="O691" s="13">
        <f>Econ!T691</f>
        <v>10</v>
      </c>
      <c r="P691" s="7" t="str">
        <f>Econ!A691</f>
        <v>Knight</v>
      </c>
      <c r="Q691" s="10">
        <f>Econ!C691</f>
        <v>26910.12168</v>
      </c>
      <c r="R691" s="10">
        <f>Econ!E691</f>
        <v>262.1970497</v>
      </c>
      <c r="S691" s="10">
        <f>Econ!G691</f>
        <v>3459.872788</v>
      </c>
      <c r="T691" s="10">
        <f>Econ!I691</f>
        <v>0</v>
      </c>
    </row>
    <row r="692">
      <c r="A692" s="7" t="str">
        <f>Econ!A692&amp;if(Econ!B692&lt;10,"_0"&amp;Econ!B692,"_"&amp;Econ!B692)</f>
        <v>Knight_91</v>
      </c>
      <c r="B692" s="7" t="str">
        <f>"T"&amp;Econ!B692&amp;" "&amp;Econ!A692</f>
        <v>T91 Knight</v>
      </c>
      <c r="C692" s="8">
        <f>Econ!B692</f>
        <v>91</v>
      </c>
      <c r="D692" s="7"/>
      <c r="E692" s="9"/>
      <c r="F692" s="9"/>
      <c r="G692" s="10" t="str">
        <f>Econ!L692</f>
        <v/>
      </c>
      <c r="H692" s="11" t="str">
        <f>Econ!M692</f>
        <v/>
      </c>
      <c r="I692" s="11">
        <f>Econ!N692</f>
        <v>1273</v>
      </c>
      <c r="J692" s="12">
        <f>Econ!O692</f>
        <v>1388</v>
      </c>
      <c r="K692" s="13">
        <f>Econ!P692</f>
        <v>0</v>
      </c>
      <c r="L692" s="14">
        <f>Econ!Q692</f>
        <v>0</v>
      </c>
      <c r="M692" s="14">
        <f>Econ!R692</f>
        <v>318.25</v>
      </c>
      <c r="N692" s="13">
        <f>Econ!S692</f>
        <v>347</v>
      </c>
      <c r="O692" s="13">
        <f>Econ!T692</f>
        <v>10</v>
      </c>
      <c r="P692" s="7" t="str">
        <f>Econ!A692</f>
        <v>Knight</v>
      </c>
      <c r="Q692" s="10">
        <f>Econ!C692</f>
        <v>28255.62777</v>
      </c>
      <c r="R692" s="10">
        <f>Econ!E692</f>
        <v>267.4409907</v>
      </c>
      <c r="S692" s="10">
        <f>Econ!G692</f>
        <v>3632.866427</v>
      </c>
      <c r="T692" s="10">
        <f>Econ!I692</f>
        <v>0</v>
      </c>
    </row>
    <row r="693">
      <c r="A693" s="7" t="str">
        <f>Econ!A693&amp;if(Econ!B693&lt;10,"_0"&amp;Econ!B693,"_"&amp;Econ!B693)</f>
        <v>Knight_92</v>
      </c>
      <c r="B693" s="7" t="str">
        <f>"T"&amp;Econ!B693&amp;" "&amp;Econ!A693</f>
        <v>T92 Knight</v>
      </c>
      <c r="C693" s="8">
        <f>Econ!B693</f>
        <v>92</v>
      </c>
      <c r="D693" s="7"/>
      <c r="E693" s="9"/>
      <c r="F693" s="9"/>
      <c r="G693" s="10" t="str">
        <f>Econ!L693</f>
        <v/>
      </c>
      <c r="H693" s="11" t="str">
        <f>Econ!M693</f>
        <v/>
      </c>
      <c r="I693" s="11">
        <f>Econ!N693</f>
        <v>1296</v>
      </c>
      <c r="J693" s="12">
        <f>Econ!O693</f>
        <v>1411</v>
      </c>
      <c r="K693" s="13">
        <f>Econ!P693</f>
        <v>0</v>
      </c>
      <c r="L693" s="14">
        <f>Econ!Q693</f>
        <v>0</v>
      </c>
      <c r="M693" s="14">
        <f>Econ!R693</f>
        <v>324</v>
      </c>
      <c r="N693" s="13">
        <f>Econ!S693</f>
        <v>352.75</v>
      </c>
      <c r="O693" s="13">
        <f>Econ!T693</f>
        <v>10</v>
      </c>
      <c r="P693" s="7" t="str">
        <f>Econ!A693</f>
        <v>Knight</v>
      </c>
      <c r="Q693" s="10">
        <f>Econ!C693</f>
        <v>29668.40916</v>
      </c>
      <c r="R693" s="10">
        <f>Econ!E693</f>
        <v>272.7898105</v>
      </c>
      <c r="S693" s="10">
        <f>Econ!G693</f>
        <v>3814.509749</v>
      </c>
      <c r="T693" s="10">
        <f>Econ!I693</f>
        <v>0</v>
      </c>
    </row>
    <row r="694">
      <c r="A694" s="7" t="str">
        <f>Econ!A694&amp;if(Econ!B694&lt;10,"_0"&amp;Econ!B694,"_"&amp;Econ!B694)</f>
        <v>Knight_93</v>
      </c>
      <c r="B694" s="7" t="str">
        <f>"T"&amp;Econ!B694&amp;" "&amp;Econ!A694</f>
        <v>T93 Knight</v>
      </c>
      <c r="C694" s="8">
        <f>Econ!B694</f>
        <v>93</v>
      </c>
      <c r="D694" s="7"/>
      <c r="E694" s="9"/>
      <c r="F694" s="9"/>
      <c r="G694" s="10" t="str">
        <f>Econ!L694</f>
        <v/>
      </c>
      <c r="H694" s="11" t="str">
        <f>Econ!M694</f>
        <v/>
      </c>
      <c r="I694" s="11">
        <f>Econ!N694</f>
        <v>1319</v>
      </c>
      <c r="J694" s="12">
        <f>Econ!O694</f>
        <v>1434</v>
      </c>
      <c r="K694" s="13">
        <f>Econ!P694</f>
        <v>0</v>
      </c>
      <c r="L694" s="14">
        <f>Econ!Q694</f>
        <v>0</v>
      </c>
      <c r="M694" s="14">
        <f>Econ!R694</f>
        <v>329.75</v>
      </c>
      <c r="N694" s="13">
        <f>Econ!S694</f>
        <v>358.5</v>
      </c>
      <c r="O694" s="13">
        <f>Econ!T694</f>
        <v>10</v>
      </c>
      <c r="P694" s="7" t="str">
        <f>Econ!A694</f>
        <v>Knight</v>
      </c>
      <c r="Q694" s="10">
        <f>Econ!C694</f>
        <v>31151.82961</v>
      </c>
      <c r="R694" s="10">
        <f>Econ!E694</f>
        <v>278.2456067</v>
      </c>
      <c r="S694" s="10">
        <f>Econ!G694</f>
        <v>4005.235236</v>
      </c>
      <c r="T694" s="10">
        <f>Econ!I694</f>
        <v>0</v>
      </c>
    </row>
    <row r="695">
      <c r="A695" s="7" t="str">
        <f>Econ!A695&amp;if(Econ!B695&lt;10,"_0"&amp;Econ!B695,"_"&amp;Econ!B695)</f>
        <v>Knight_94</v>
      </c>
      <c r="B695" s="7" t="str">
        <f>"T"&amp;Econ!B695&amp;" "&amp;Econ!A695</f>
        <v>T94 Knight</v>
      </c>
      <c r="C695" s="8">
        <f>Econ!B695</f>
        <v>94</v>
      </c>
      <c r="D695" s="7"/>
      <c r="E695" s="9"/>
      <c r="F695" s="9"/>
      <c r="G695" s="10" t="str">
        <f>Econ!L695</f>
        <v/>
      </c>
      <c r="H695" s="11" t="str">
        <f>Econ!M695</f>
        <v/>
      </c>
      <c r="I695" s="11">
        <f>Econ!N695</f>
        <v>1343</v>
      </c>
      <c r="J695" s="12">
        <f>Econ!O695</f>
        <v>1458</v>
      </c>
      <c r="K695" s="13">
        <f>Econ!P695</f>
        <v>0</v>
      </c>
      <c r="L695" s="14">
        <f>Econ!Q695</f>
        <v>0</v>
      </c>
      <c r="M695" s="14">
        <f>Econ!R695</f>
        <v>335.75</v>
      </c>
      <c r="N695" s="13">
        <f>Econ!S695</f>
        <v>364.5</v>
      </c>
      <c r="O695" s="13">
        <f>Econ!T695</f>
        <v>10</v>
      </c>
      <c r="P695" s="7" t="str">
        <f>Econ!A695</f>
        <v>Knight</v>
      </c>
      <c r="Q695" s="10">
        <f>Econ!C695</f>
        <v>32709.42109</v>
      </c>
      <c r="R695" s="10">
        <f>Econ!E695</f>
        <v>283.8105188</v>
      </c>
      <c r="S695" s="10">
        <f>Econ!G695</f>
        <v>4205.496998</v>
      </c>
      <c r="T695" s="10">
        <f>Econ!I695</f>
        <v>0</v>
      </c>
    </row>
    <row r="696">
      <c r="A696" s="7" t="str">
        <f>Econ!A696&amp;if(Econ!B696&lt;10,"_0"&amp;Econ!B696,"_"&amp;Econ!B696)</f>
        <v>Knight_95</v>
      </c>
      <c r="B696" s="7" t="str">
        <f>"T"&amp;Econ!B696&amp;" "&amp;Econ!A696</f>
        <v>T95 Knight</v>
      </c>
      <c r="C696" s="8">
        <f>Econ!B696</f>
        <v>95</v>
      </c>
      <c r="D696" s="7"/>
      <c r="E696" s="9"/>
      <c r="F696" s="9"/>
      <c r="G696" s="10" t="str">
        <f>Econ!L696</f>
        <v/>
      </c>
      <c r="H696" s="11" t="str">
        <f>Econ!M696</f>
        <v/>
      </c>
      <c r="I696" s="11">
        <f>Econ!N696</f>
        <v>1367</v>
      </c>
      <c r="J696" s="12">
        <f>Econ!O696</f>
        <v>1482</v>
      </c>
      <c r="K696" s="13">
        <f>Econ!P696</f>
        <v>0</v>
      </c>
      <c r="L696" s="14">
        <f>Econ!Q696</f>
        <v>0</v>
      </c>
      <c r="M696" s="14">
        <f>Econ!R696</f>
        <v>341.75</v>
      </c>
      <c r="N696" s="13">
        <f>Econ!S696</f>
        <v>370.5</v>
      </c>
      <c r="O696" s="13">
        <f>Econ!T696</f>
        <v>11</v>
      </c>
      <c r="P696" s="7" t="str">
        <f>Econ!A696</f>
        <v>Knight</v>
      </c>
      <c r="Q696" s="10">
        <f>Econ!C696</f>
        <v>34344.89215</v>
      </c>
      <c r="R696" s="10">
        <f>Econ!E696</f>
        <v>289.4867292</v>
      </c>
      <c r="S696" s="10">
        <f>Econ!G696</f>
        <v>4415.771848</v>
      </c>
      <c r="T696" s="10">
        <f>Econ!I696</f>
        <v>0</v>
      </c>
    </row>
    <row r="697">
      <c r="A697" s="7" t="str">
        <f>Econ!A697&amp;if(Econ!B697&lt;10,"_0"&amp;Econ!B697,"_"&amp;Econ!B697)</f>
        <v>Knight_96</v>
      </c>
      <c r="B697" s="7" t="str">
        <f>"T"&amp;Econ!B697&amp;" "&amp;Econ!A697</f>
        <v>T96 Knight</v>
      </c>
      <c r="C697" s="8">
        <f>Econ!B697</f>
        <v>96</v>
      </c>
      <c r="D697" s="7"/>
      <c r="E697" s="9"/>
      <c r="F697" s="9"/>
      <c r="G697" s="10" t="str">
        <f>Econ!L697</f>
        <v/>
      </c>
      <c r="H697" s="11" t="str">
        <f>Econ!M697</f>
        <v/>
      </c>
      <c r="I697" s="11">
        <f>Econ!N697</f>
        <v>1391</v>
      </c>
      <c r="J697" s="12">
        <f>Econ!O697</f>
        <v>1506</v>
      </c>
      <c r="K697" s="13">
        <f>Econ!P697</f>
        <v>0</v>
      </c>
      <c r="L697" s="14">
        <f>Econ!Q697</f>
        <v>0</v>
      </c>
      <c r="M697" s="14">
        <f>Econ!R697</f>
        <v>347.75</v>
      </c>
      <c r="N697" s="13">
        <f>Econ!S697</f>
        <v>376.5</v>
      </c>
      <c r="O697" s="13">
        <f>Econ!T697</f>
        <v>11</v>
      </c>
      <c r="P697" s="7" t="str">
        <f>Econ!A697</f>
        <v>Knight</v>
      </c>
      <c r="Q697" s="10">
        <f>Econ!C697</f>
        <v>36062.13676</v>
      </c>
      <c r="R697" s="10">
        <f>Econ!E697</f>
        <v>295.2764638</v>
      </c>
      <c r="S697" s="10">
        <f>Econ!G697</f>
        <v>4636.56044</v>
      </c>
      <c r="T697" s="10">
        <f>Econ!I697</f>
        <v>0</v>
      </c>
    </row>
    <row r="698">
      <c r="A698" s="7" t="str">
        <f>Econ!A698&amp;if(Econ!B698&lt;10,"_0"&amp;Econ!B698,"_"&amp;Econ!B698)</f>
        <v>Knight_97</v>
      </c>
      <c r="B698" s="7" t="str">
        <f>"T"&amp;Econ!B698&amp;" "&amp;Econ!A698</f>
        <v>T97 Knight</v>
      </c>
      <c r="C698" s="8">
        <f>Econ!B698</f>
        <v>97</v>
      </c>
      <c r="D698" s="7"/>
      <c r="E698" s="9"/>
      <c r="F698" s="9"/>
      <c r="G698" s="10" t="str">
        <f>Econ!L698</f>
        <v/>
      </c>
      <c r="H698" s="11" t="str">
        <f>Econ!M698</f>
        <v/>
      </c>
      <c r="I698" s="11">
        <f>Econ!N698</f>
        <v>1415</v>
      </c>
      <c r="J698" s="12">
        <f>Econ!O698</f>
        <v>1530</v>
      </c>
      <c r="K698" s="13">
        <f>Econ!P698</f>
        <v>0</v>
      </c>
      <c r="L698" s="14">
        <f>Econ!Q698</f>
        <v>0</v>
      </c>
      <c r="M698" s="14">
        <f>Econ!R698</f>
        <v>353.75</v>
      </c>
      <c r="N698" s="13">
        <f>Econ!S698</f>
        <v>382.5</v>
      </c>
      <c r="O698" s="13">
        <f>Econ!T698</f>
        <v>11</v>
      </c>
      <c r="P698" s="7" t="str">
        <f>Econ!A698</f>
        <v>Knight</v>
      </c>
      <c r="Q698" s="10">
        <f>Econ!C698</f>
        <v>37865.24359</v>
      </c>
      <c r="R698" s="10">
        <f>Econ!E698</f>
        <v>301.1819931</v>
      </c>
      <c r="S698" s="10">
        <f>Econ!G698</f>
        <v>4868.388462</v>
      </c>
      <c r="T698" s="10">
        <f>Econ!I698</f>
        <v>0</v>
      </c>
    </row>
    <row r="699">
      <c r="A699" s="7" t="str">
        <f>Econ!A699&amp;if(Econ!B699&lt;10,"_0"&amp;Econ!B699,"_"&amp;Econ!B699)</f>
        <v>Knight_98</v>
      </c>
      <c r="B699" s="7" t="str">
        <f>"T"&amp;Econ!B699&amp;" "&amp;Econ!A699</f>
        <v>T98 Knight</v>
      </c>
      <c r="C699" s="8">
        <f>Econ!B699</f>
        <v>98</v>
      </c>
      <c r="D699" s="7"/>
      <c r="E699" s="9"/>
      <c r="F699" s="9"/>
      <c r="G699" s="10" t="str">
        <f>Econ!L699</f>
        <v/>
      </c>
      <c r="H699" s="11" t="str">
        <f>Econ!M699</f>
        <v/>
      </c>
      <c r="I699" s="11">
        <f>Econ!N699</f>
        <v>1439</v>
      </c>
      <c r="J699" s="12">
        <f>Econ!O699</f>
        <v>1554</v>
      </c>
      <c r="K699" s="13">
        <f>Econ!P699</f>
        <v>0</v>
      </c>
      <c r="L699" s="14">
        <f>Econ!Q699</f>
        <v>0</v>
      </c>
      <c r="M699" s="14">
        <f>Econ!R699</f>
        <v>359.75</v>
      </c>
      <c r="N699" s="13">
        <f>Econ!S699</f>
        <v>388.5</v>
      </c>
      <c r="O699" s="13">
        <f>Econ!T699</f>
        <v>11</v>
      </c>
      <c r="P699" s="7" t="str">
        <f>Econ!A699</f>
        <v>Knight</v>
      </c>
      <c r="Q699" s="10">
        <f>Econ!C699</f>
        <v>39758.50577</v>
      </c>
      <c r="R699" s="10">
        <f>Econ!E699</f>
        <v>307.2056329</v>
      </c>
      <c r="S699" s="10">
        <f>Econ!G699</f>
        <v>5111.807885</v>
      </c>
      <c r="T699" s="10">
        <f>Econ!I699</f>
        <v>0</v>
      </c>
    </row>
    <row r="700">
      <c r="A700" s="7" t="str">
        <f>Econ!A700&amp;if(Econ!B700&lt;10,"_0"&amp;Econ!B700,"_"&amp;Econ!B700)</f>
        <v>Knight_99</v>
      </c>
      <c r="B700" s="7" t="str">
        <f>"T"&amp;Econ!B700&amp;" "&amp;Econ!A700</f>
        <v>T99 Knight</v>
      </c>
      <c r="C700" s="8">
        <f>Econ!B700</f>
        <v>99</v>
      </c>
      <c r="D700" s="7"/>
      <c r="E700" s="9"/>
      <c r="F700" s="9"/>
      <c r="G700" s="10" t="str">
        <f>Econ!L700</f>
        <v/>
      </c>
      <c r="H700" s="11" t="str">
        <f>Econ!M700</f>
        <v/>
      </c>
      <c r="I700" s="11">
        <f>Econ!N700</f>
        <v>1463</v>
      </c>
      <c r="J700" s="12">
        <f>Econ!O700</f>
        <v>1578</v>
      </c>
      <c r="K700" s="13">
        <f>Econ!P700</f>
        <v>0</v>
      </c>
      <c r="L700" s="14">
        <f>Econ!Q700</f>
        <v>0</v>
      </c>
      <c r="M700" s="14">
        <f>Econ!R700</f>
        <v>365.75</v>
      </c>
      <c r="N700" s="13">
        <f>Econ!S700</f>
        <v>394.5</v>
      </c>
      <c r="O700" s="13">
        <f>Econ!T700</f>
        <v>11</v>
      </c>
      <c r="P700" s="7" t="str">
        <f>Econ!A700</f>
        <v>Knight</v>
      </c>
      <c r="Q700" s="10">
        <f>Econ!C700</f>
        <v>41746.43106</v>
      </c>
      <c r="R700" s="10">
        <f>Econ!E700</f>
        <v>313.3497456</v>
      </c>
      <c r="S700" s="10">
        <f>Econ!G700</f>
        <v>5367.398279</v>
      </c>
      <c r="T700" s="10">
        <f>Econ!I700</f>
        <v>0</v>
      </c>
    </row>
    <row r="701">
      <c r="A701" s="7" t="str">
        <f>Econ!A701&amp;if(Econ!B701&lt;10,"_0"&amp;Econ!B701,"_"&amp;Econ!B701)</f>
        <v>Knight_100</v>
      </c>
      <c r="B701" s="7" t="str">
        <f>"T"&amp;Econ!B701&amp;" "&amp;Econ!A701</f>
        <v>T100 Knight</v>
      </c>
      <c r="C701" s="8">
        <f>Econ!B701</f>
        <v>100</v>
      </c>
      <c r="D701" s="7"/>
      <c r="E701" s="9"/>
      <c r="F701" s="9"/>
      <c r="G701" s="10">
        <f>Econ!L701</f>
        <v>148800</v>
      </c>
      <c r="H701" s="11" t="str">
        <f>Econ!M701</f>
        <v/>
      </c>
      <c r="I701" s="11">
        <f>Econ!N701</f>
        <v>1488</v>
      </c>
      <c r="J701" s="12">
        <f>Econ!O701</f>
        <v>1603</v>
      </c>
      <c r="K701" s="13">
        <f>Econ!P701</f>
        <v>37200</v>
      </c>
      <c r="L701" s="14">
        <f>Econ!Q701</f>
        <v>0</v>
      </c>
      <c r="M701" s="14">
        <f>Econ!R701</f>
        <v>372</v>
      </c>
      <c r="N701" s="13">
        <f>Econ!S701</f>
        <v>400.75</v>
      </c>
      <c r="O701" s="13">
        <f>Econ!T701</f>
        <v>11</v>
      </c>
      <c r="P701" s="7" t="str">
        <f>Econ!A701</f>
        <v>Knight</v>
      </c>
      <c r="Q701" s="10">
        <f>Econ!C701</f>
        <v>43833.75262</v>
      </c>
      <c r="R701" s="10">
        <f>Econ!E701</f>
        <v>319.6167405</v>
      </c>
      <c r="S701" s="10">
        <f>Econ!G701</f>
        <v>5635.768193</v>
      </c>
      <c r="T701" s="10">
        <f>Econ!I701</f>
        <v>0</v>
      </c>
    </row>
    <row r="702">
      <c r="A702" s="7" t="str">
        <f>Econ!A702&amp;if(Econ!B702&lt;10,"_0"&amp;Econ!B702,"_"&amp;Econ!B702)</f>
        <v>Knight_101</v>
      </c>
      <c r="B702" s="7" t="str">
        <f>"T"&amp;Econ!B702&amp;" "&amp;Econ!A702</f>
        <v>T101 Knight</v>
      </c>
      <c r="C702" s="8">
        <f>Econ!B702</f>
        <v>101</v>
      </c>
      <c r="D702" s="7"/>
      <c r="E702" s="9"/>
      <c r="F702" s="9"/>
      <c r="G702" s="10">
        <f>Econ!L702</f>
        <v>149395</v>
      </c>
      <c r="H702" s="11" t="str">
        <f>Econ!M702</f>
        <v/>
      </c>
      <c r="I702" s="11">
        <f>Econ!N702</f>
        <v>1513</v>
      </c>
      <c r="J702" s="12">
        <f>Econ!O702</f>
        <v>1628</v>
      </c>
      <c r="K702" s="13">
        <f>Econ!P702</f>
        <v>37348.75</v>
      </c>
      <c r="L702" s="14">
        <f>Econ!Q702</f>
        <v>0</v>
      </c>
      <c r="M702" s="14">
        <f>Econ!R702</f>
        <v>378.25</v>
      </c>
      <c r="N702" s="13">
        <f>Econ!S702</f>
        <v>407</v>
      </c>
      <c r="O702" s="13">
        <f>Econ!T702</f>
        <v>11</v>
      </c>
      <c r="P702" s="7" t="str">
        <f>Econ!A702</f>
        <v>Knight</v>
      </c>
      <c r="Q702" s="10">
        <f>Econ!C702</f>
        <v>46025.44025</v>
      </c>
      <c r="R702" s="10">
        <f>Econ!E702</f>
        <v>326.0090753</v>
      </c>
      <c r="S702" s="10">
        <f>Econ!G702</f>
        <v>5917.556603</v>
      </c>
      <c r="T702" s="10">
        <f>Econ!I702</f>
        <v>0</v>
      </c>
    </row>
    <row r="703">
      <c r="A703" s="7" t="str">
        <f>Econ!A703&amp;if(Econ!B703&lt;10,"_0"&amp;Econ!B703,"_"&amp;Econ!B703)</f>
        <v>Knight_102</v>
      </c>
      <c r="B703" s="7" t="str">
        <f>"T"&amp;Econ!B703&amp;" "&amp;Econ!A703</f>
        <v>T102 Knight</v>
      </c>
      <c r="C703" s="8">
        <f>Econ!B703</f>
        <v>102</v>
      </c>
      <c r="D703" s="7"/>
      <c r="E703" s="9"/>
      <c r="F703" s="9"/>
      <c r="G703" s="10">
        <f>Econ!L703</f>
        <v>149994</v>
      </c>
      <c r="H703" s="11" t="str">
        <f>Econ!M703</f>
        <v/>
      </c>
      <c r="I703" s="11">
        <f>Econ!N703</f>
        <v>1538</v>
      </c>
      <c r="J703" s="12">
        <f>Econ!O703</f>
        <v>1653</v>
      </c>
      <c r="K703" s="13">
        <f>Econ!P703</f>
        <v>37498.5</v>
      </c>
      <c r="L703" s="14">
        <f>Econ!Q703</f>
        <v>0</v>
      </c>
      <c r="M703" s="14">
        <f>Econ!R703</f>
        <v>384.5</v>
      </c>
      <c r="N703" s="13">
        <f>Econ!S703</f>
        <v>413.25</v>
      </c>
      <c r="O703" s="13">
        <f>Econ!T703</f>
        <v>11</v>
      </c>
      <c r="P703" s="7" t="str">
        <f>Econ!A703</f>
        <v>Knight</v>
      </c>
      <c r="Q703" s="10">
        <f>Econ!C703</f>
        <v>48326.71226</v>
      </c>
      <c r="R703" s="10">
        <f>Econ!E703</f>
        <v>332.5292568</v>
      </c>
      <c r="S703" s="10">
        <f>Econ!G703</f>
        <v>6213.434433</v>
      </c>
      <c r="T703" s="10">
        <f>Econ!I703</f>
        <v>0</v>
      </c>
    </row>
    <row r="704">
      <c r="A704" s="7" t="str">
        <f>Econ!A704&amp;if(Econ!B704&lt;10,"_0"&amp;Econ!B704,"_"&amp;Econ!B704)</f>
        <v>Knight_103</v>
      </c>
      <c r="B704" s="7" t="str">
        <f>"T"&amp;Econ!B704&amp;" "&amp;Econ!A704</f>
        <v>T103 Knight</v>
      </c>
      <c r="C704" s="8">
        <f>Econ!B704</f>
        <v>103</v>
      </c>
      <c r="D704" s="7"/>
      <c r="E704" s="9"/>
      <c r="F704" s="9"/>
      <c r="G704" s="10">
        <f>Econ!L704</f>
        <v>150597</v>
      </c>
      <c r="H704" s="11" t="str">
        <f>Econ!M704</f>
        <v/>
      </c>
      <c r="I704" s="11">
        <f>Econ!N704</f>
        <v>1563</v>
      </c>
      <c r="J704" s="12">
        <f>Econ!O704</f>
        <v>1678</v>
      </c>
      <c r="K704" s="13">
        <f>Econ!P704</f>
        <v>37649.25</v>
      </c>
      <c r="L704" s="14">
        <f>Econ!Q704</f>
        <v>0</v>
      </c>
      <c r="M704" s="14">
        <f>Econ!R704</f>
        <v>390.75</v>
      </c>
      <c r="N704" s="13">
        <f>Econ!S704</f>
        <v>419.5</v>
      </c>
      <c r="O704" s="13">
        <f>Econ!T704</f>
        <v>11</v>
      </c>
      <c r="P704" s="7" t="str">
        <f>Econ!A704</f>
        <v>Knight</v>
      </c>
      <c r="Q704" s="10">
        <f>Econ!C704</f>
        <v>50743.04787</v>
      </c>
      <c r="R704" s="10">
        <f>Econ!E704</f>
        <v>339.179842</v>
      </c>
      <c r="S704" s="10">
        <f>Econ!G704</f>
        <v>6524.106155</v>
      </c>
      <c r="T704" s="10">
        <f>Econ!I704</f>
        <v>0</v>
      </c>
    </row>
    <row r="705">
      <c r="A705" s="7" t="str">
        <f>Econ!A705&amp;if(Econ!B705&lt;10,"_0"&amp;Econ!B705,"_"&amp;Econ!B705)</f>
        <v>Knight_104</v>
      </c>
      <c r="B705" s="7" t="str">
        <f>"T"&amp;Econ!B705&amp;" "&amp;Econ!A705</f>
        <v>T104 Knight</v>
      </c>
      <c r="C705" s="8">
        <f>Econ!B705</f>
        <v>104</v>
      </c>
      <c r="D705" s="7"/>
      <c r="E705" s="9"/>
      <c r="F705" s="9"/>
      <c r="G705" s="10">
        <f>Econ!L705</f>
        <v>151204</v>
      </c>
      <c r="H705" s="11" t="str">
        <f>Econ!M705</f>
        <v/>
      </c>
      <c r="I705" s="11">
        <f>Econ!N705</f>
        <v>1588</v>
      </c>
      <c r="J705" s="12">
        <f>Econ!O705</f>
        <v>1703</v>
      </c>
      <c r="K705" s="13">
        <f>Econ!P705</f>
        <v>37801</v>
      </c>
      <c r="L705" s="14">
        <f>Econ!Q705</f>
        <v>0</v>
      </c>
      <c r="M705" s="14">
        <f>Econ!R705</f>
        <v>397</v>
      </c>
      <c r="N705" s="13">
        <f>Econ!S705</f>
        <v>425.75</v>
      </c>
      <c r="O705" s="13">
        <f>Econ!T705</f>
        <v>11</v>
      </c>
      <c r="P705" s="7" t="str">
        <f>Econ!A705</f>
        <v>Knight</v>
      </c>
      <c r="Q705" s="10">
        <f>Econ!C705</f>
        <v>53280.20027</v>
      </c>
      <c r="R705" s="10">
        <f>Econ!E705</f>
        <v>345.9634388</v>
      </c>
      <c r="S705" s="10">
        <f>Econ!G705</f>
        <v>6850.311463</v>
      </c>
      <c r="T705" s="10">
        <f>Econ!I705</f>
        <v>0</v>
      </c>
    </row>
    <row r="706">
      <c r="A706" s="7" t="str">
        <f>Econ!A706&amp;if(Econ!B706&lt;10,"_0"&amp;Econ!B706,"_"&amp;Econ!B706)</f>
        <v>Knight_105</v>
      </c>
      <c r="B706" s="7" t="str">
        <f>"T"&amp;Econ!B706&amp;" "&amp;Econ!A706</f>
        <v>T105 Knight</v>
      </c>
      <c r="C706" s="8">
        <f>Econ!B706</f>
        <v>105</v>
      </c>
      <c r="D706" s="7"/>
      <c r="E706" s="9"/>
      <c r="F706" s="9"/>
      <c r="G706" s="10">
        <f>Econ!L706</f>
        <v>151815</v>
      </c>
      <c r="H706" s="11" t="str">
        <f>Econ!M706</f>
        <v/>
      </c>
      <c r="I706" s="11">
        <f>Econ!N706</f>
        <v>1613</v>
      </c>
      <c r="J706" s="12">
        <f>Econ!O706</f>
        <v>1728</v>
      </c>
      <c r="K706" s="13">
        <f>Econ!P706</f>
        <v>37953.75</v>
      </c>
      <c r="L706" s="14">
        <f>Econ!Q706</f>
        <v>0</v>
      </c>
      <c r="M706" s="14">
        <f>Econ!R706</f>
        <v>403.25</v>
      </c>
      <c r="N706" s="13">
        <f>Econ!S706</f>
        <v>432</v>
      </c>
      <c r="O706" s="13">
        <f>Econ!T706</f>
        <v>12</v>
      </c>
      <c r="P706" s="7" t="str">
        <f>Econ!A706</f>
        <v>Knight</v>
      </c>
      <c r="Q706" s="10">
        <f>Econ!C706</f>
        <v>55944.21028</v>
      </c>
      <c r="R706" s="10">
        <f>Econ!E706</f>
        <v>352.8827076</v>
      </c>
      <c r="S706" s="10">
        <f>Econ!G706</f>
        <v>7192.827036</v>
      </c>
      <c r="T706" s="10">
        <f>Econ!I706</f>
        <v>0</v>
      </c>
    </row>
    <row r="707">
      <c r="A707" s="7" t="str">
        <f>Econ!A707&amp;if(Econ!B707&lt;10,"_0"&amp;Econ!B707,"_"&amp;Econ!B707)</f>
        <v>Knight_106</v>
      </c>
      <c r="B707" s="7" t="str">
        <f>"T"&amp;Econ!B707&amp;" "&amp;Econ!A707</f>
        <v>T106 Knight</v>
      </c>
      <c r="C707" s="8">
        <f>Econ!B707</f>
        <v>106</v>
      </c>
      <c r="D707" s="7"/>
      <c r="E707" s="9"/>
      <c r="F707" s="9"/>
      <c r="G707" s="10">
        <f>Econ!L707</f>
        <v>152430</v>
      </c>
      <c r="H707" s="11" t="str">
        <f>Econ!M707</f>
        <v/>
      </c>
      <c r="I707" s="11">
        <f>Econ!N707</f>
        <v>1639</v>
      </c>
      <c r="J707" s="12">
        <f>Econ!O707</f>
        <v>1754</v>
      </c>
      <c r="K707" s="13">
        <f>Econ!P707</f>
        <v>38107.5</v>
      </c>
      <c r="L707" s="14">
        <f>Econ!Q707</f>
        <v>0</v>
      </c>
      <c r="M707" s="14">
        <f>Econ!R707</f>
        <v>409.75</v>
      </c>
      <c r="N707" s="13">
        <f>Econ!S707</f>
        <v>438.5</v>
      </c>
      <c r="O707" s="13">
        <f>Econ!T707</f>
        <v>12</v>
      </c>
      <c r="P707" s="7" t="str">
        <f>Econ!A707</f>
        <v>Knight</v>
      </c>
      <c r="Q707" s="10">
        <f>Econ!C707</f>
        <v>58741.42079</v>
      </c>
      <c r="R707" s="10">
        <f>Econ!E707</f>
        <v>359.9403617</v>
      </c>
      <c r="S707" s="10">
        <f>Econ!G707</f>
        <v>7552.468388</v>
      </c>
      <c r="T707" s="10">
        <f>Econ!I707</f>
        <v>0</v>
      </c>
    </row>
    <row r="708">
      <c r="A708" s="7" t="str">
        <f>Econ!A708&amp;if(Econ!B708&lt;10,"_0"&amp;Econ!B708,"_"&amp;Econ!B708)</f>
        <v>Knight_107</v>
      </c>
      <c r="B708" s="7" t="str">
        <f>"T"&amp;Econ!B708&amp;" "&amp;Econ!A708</f>
        <v>T107 Knight</v>
      </c>
      <c r="C708" s="8">
        <f>Econ!B708</f>
        <v>107</v>
      </c>
      <c r="D708" s="7"/>
      <c r="E708" s="9"/>
      <c r="F708" s="9"/>
      <c r="G708" s="10">
        <f>Econ!L708</f>
        <v>153049</v>
      </c>
      <c r="H708" s="11" t="str">
        <f>Econ!M708</f>
        <v/>
      </c>
      <c r="I708" s="11">
        <f>Econ!N708</f>
        <v>1665</v>
      </c>
      <c r="J708" s="12">
        <f>Econ!O708</f>
        <v>1780</v>
      </c>
      <c r="K708" s="13">
        <f>Econ!P708</f>
        <v>38262.25</v>
      </c>
      <c r="L708" s="14">
        <f>Econ!Q708</f>
        <v>0</v>
      </c>
      <c r="M708" s="14">
        <f>Econ!R708</f>
        <v>416.25</v>
      </c>
      <c r="N708" s="13">
        <f>Econ!S708</f>
        <v>445</v>
      </c>
      <c r="O708" s="13">
        <f>Econ!T708</f>
        <v>12</v>
      </c>
      <c r="P708" s="7" t="str">
        <f>Econ!A708</f>
        <v>Knight</v>
      </c>
      <c r="Q708" s="10">
        <f>Econ!C708</f>
        <v>61678.49183</v>
      </c>
      <c r="R708" s="10">
        <f>Econ!E708</f>
        <v>367.139169</v>
      </c>
      <c r="S708" s="10">
        <f>Econ!G708</f>
        <v>7930.091807</v>
      </c>
      <c r="T708" s="10">
        <f>Econ!I708</f>
        <v>0</v>
      </c>
    </row>
    <row r="709">
      <c r="A709" s="7" t="str">
        <f>Econ!A709&amp;if(Econ!B709&lt;10,"_0"&amp;Econ!B709,"_"&amp;Econ!B709)</f>
        <v>Knight_108</v>
      </c>
      <c r="B709" s="7" t="str">
        <f>"T"&amp;Econ!B709&amp;" "&amp;Econ!A709</f>
        <v>T108 Knight</v>
      </c>
      <c r="C709" s="8">
        <f>Econ!B709</f>
        <v>108</v>
      </c>
      <c r="D709" s="7"/>
      <c r="E709" s="9"/>
      <c r="F709" s="9"/>
      <c r="G709" s="10">
        <f>Econ!L709</f>
        <v>153672</v>
      </c>
      <c r="H709" s="11" t="str">
        <f>Econ!M709</f>
        <v/>
      </c>
      <c r="I709" s="11">
        <f>Econ!N709</f>
        <v>1691</v>
      </c>
      <c r="J709" s="12">
        <f>Econ!O709</f>
        <v>1806</v>
      </c>
      <c r="K709" s="13">
        <f>Econ!P709</f>
        <v>38418</v>
      </c>
      <c r="L709" s="14">
        <f>Econ!Q709</f>
        <v>0</v>
      </c>
      <c r="M709" s="14">
        <f>Econ!R709</f>
        <v>422.75</v>
      </c>
      <c r="N709" s="13">
        <f>Econ!S709</f>
        <v>451.5</v>
      </c>
      <c r="O709" s="13">
        <f>Econ!T709</f>
        <v>12</v>
      </c>
      <c r="P709" s="7" t="str">
        <f>Econ!A709</f>
        <v>Knight</v>
      </c>
      <c r="Q709" s="10">
        <f>Econ!C709</f>
        <v>64762.41642</v>
      </c>
      <c r="R709" s="10">
        <f>Econ!E709</f>
        <v>374.4819523</v>
      </c>
      <c r="S709" s="10">
        <f>Econ!G709</f>
        <v>8326.596397</v>
      </c>
      <c r="T709" s="10">
        <f>Econ!I709</f>
        <v>0</v>
      </c>
    </row>
    <row r="710">
      <c r="A710" s="7" t="str">
        <f>Econ!A710&amp;if(Econ!B710&lt;10,"_0"&amp;Econ!B710,"_"&amp;Econ!B710)</f>
        <v>Knight_109</v>
      </c>
      <c r="B710" s="7" t="str">
        <f>"T"&amp;Econ!B710&amp;" "&amp;Econ!A710</f>
        <v>T109 Knight</v>
      </c>
      <c r="C710" s="8">
        <f>Econ!B710</f>
        <v>109</v>
      </c>
      <c r="D710" s="7"/>
      <c r="E710" s="9"/>
      <c r="F710" s="9"/>
      <c r="G710" s="10">
        <f>Econ!L710</f>
        <v>154300</v>
      </c>
      <c r="H710" s="11" t="str">
        <f>Econ!M710</f>
        <v/>
      </c>
      <c r="I710" s="11">
        <f>Econ!N710</f>
        <v>1717</v>
      </c>
      <c r="J710" s="12">
        <f>Econ!O710</f>
        <v>1832</v>
      </c>
      <c r="K710" s="13">
        <f>Econ!P710</f>
        <v>38575</v>
      </c>
      <c r="L710" s="14">
        <f>Econ!Q710</f>
        <v>0</v>
      </c>
      <c r="M710" s="14">
        <f>Econ!R710</f>
        <v>429.25</v>
      </c>
      <c r="N710" s="13">
        <f>Econ!S710</f>
        <v>458</v>
      </c>
      <c r="O710" s="13">
        <f>Econ!T710</f>
        <v>12</v>
      </c>
      <c r="P710" s="7" t="str">
        <f>Econ!A710</f>
        <v>Knight</v>
      </c>
      <c r="Q710" s="10">
        <f>Econ!C710</f>
        <v>68000.53724</v>
      </c>
      <c r="R710" s="10">
        <f>Econ!E710</f>
        <v>381.9715914</v>
      </c>
      <c r="S710" s="10">
        <f>Econ!G710</f>
        <v>8742.926217</v>
      </c>
      <c r="T710" s="10">
        <f>Econ!I710</f>
        <v>0</v>
      </c>
    </row>
    <row r="711">
      <c r="A711" s="7" t="str">
        <f>Econ!A711&amp;if(Econ!B711&lt;10,"_0"&amp;Econ!B711,"_"&amp;Econ!B711)</f>
        <v>Knight_110</v>
      </c>
      <c r="B711" s="7" t="str">
        <f>"T"&amp;Econ!B711&amp;" "&amp;Econ!A711</f>
        <v>T110 Knight</v>
      </c>
      <c r="C711" s="8">
        <f>Econ!B711</f>
        <v>110</v>
      </c>
      <c r="D711" s="7"/>
      <c r="E711" s="9"/>
      <c r="F711" s="9"/>
      <c r="G711" s="10">
        <f>Econ!L711</f>
        <v>154932</v>
      </c>
      <c r="H711" s="11" t="str">
        <f>Econ!M711</f>
        <v/>
      </c>
      <c r="I711" s="11">
        <f>Econ!N711</f>
        <v>1743</v>
      </c>
      <c r="J711" s="12">
        <f>Econ!O711</f>
        <v>1858</v>
      </c>
      <c r="K711" s="13">
        <f>Econ!P711</f>
        <v>38733</v>
      </c>
      <c r="L711" s="14">
        <f>Econ!Q711</f>
        <v>0</v>
      </c>
      <c r="M711" s="14">
        <f>Econ!R711</f>
        <v>435.75</v>
      </c>
      <c r="N711" s="13">
        <f>Econ!S711</f>
        <v>464.5</v>
      </c>
      <c r="O711" s="13">
        <f>Econ!T711</f>
        <v>12</v>
      </c>
      <c r="P711" s="7" t="str">
        <f>Econ!A711</f>
        <v>Knight</v>
      </c>
      <c r="Q711" s="10">
        <f>Econ!C711</f>
        <v>71400.56411</v>
      </c>
      <c r="R711" s="10">
        <f>Econ!E711</f>
        <v>389.6110232</v>
      </c>
      <c r="S711" s="10">
        <f>Econ!G711</f>
        <v>9180.072528</v>
      </c>
      <c r="T711" s="10">
        <f>Econ!I711</f>
        <v>0</v>
      </c>
    </row>
    <row r="712">
      <c r="A712" s="7" t="str">
        <f>Econ!A712&amp;if(Econ!B712&lt;10,"_0"&amp;Econ!B712,"_"&amp;Econ!B712)</f>
        <v>Knight_111</v>
      </c>
      <c r="B712" s="7" t="str">
        <f>"T"&amp;Econ!B712&amp;" "&amp;Econ!A712</f>
        <v>T111 Knight</v>
      </c>
      <c r="C712" s="8">
        <f>Econ!B712</f>
        <v>111</v>
      </c>
      <c r="D712" s="7"/>
      <c r="E712" s="9"/>
      <c r="F712" s="9"/>
      <c r="G712" s="10">
        <f>Econ!L712</f>
        <v>155568</v>
      </c>
      <c r="H712" s="11" t="str">
        <f>Econ!M712</f>
        <v/>
      </c>
      <c r="I712" s="11">
        <f>Econ!N712</f>
        <v>1769</v>
      </c>
      <c r="J712" s="12">
        <f>Econ!O712</f>
        <v>1884</v>
      </c>
      <c r="K712" s="13">
        <f>Econ!P712</f>
        <v>38892</v>
      </c>
      <c r="L712" s="14">
        <f>Econ!Q712</f>
        <v>0</v>
      </c>
      <c r="M712" s="14">
        <f>Econ!R712</f>
        <v>442.25</v>
      </c>
      <c r="N712" s="13">
        <f>Econ!S712</f>
        <v>471</v>
      </c>
      <c r="O712" s="13">
        <f>Econ!T712</f>
        <v>12</v>
      </c>
      <c r="P712" s="7" t="str">
        <f>Econ!A712</f>
        <v>Knight</v>
      </c>
      <c r="Q712" s="10">
        <f>Econ!C712</f>
        <v>74970.59231</v>
      </c>
      <c r="R712" s="10">
        <f>Econ!E712</f>
        <v>397.4032437</v>
      </c>
      <c r="S712" s="10">
        <f>Econ!G712</f>
        <v>9639.076154</v>
      </c>
      <c r="T712" s="10">
        <f>Econ!I712</f>
        <v>0</v>
      </c>
    </row>
    <row r="713">
      <c r="A713" s="7" t="str">
        <f>Econ!A713&amp;if(Econ!B713&lt;10,"_0"&amp;Econ!B713,"_"&amp;Econ!B713)</f>
        <v>Knight_112</v>
      </c>
      <c r="B713" s="7" t="str">
        <f>"T"&amp;Econ!B713&amp;" "&amp;Econ!A713</f>
        <v>T112 Knight</v>
      </c>
      <c r="C713" s="8">
        <f>Econ!B713</f>
        <v>112</v>
      </c>
      <c r="D713" s="7"/>
      <c r="E713" s="9"/>
      <c r="F713" s="9"/>
      <c r="G713" s="10">
        <f>Econ!L713</f>
        <v>156208</v>
      </c>
      <c r="H713" s="11" t="str">
        <f>Econ!M713</f>
        <v/>
      </c>
      <c r="I713" s="11">
        <f>Econ!N713</f>
        <v>1796</v>
      </c>
      <c r="J713" s="12">
        <f>Econ!O713</f>
        <v>1911</v>
      </c>
      <c r="K713" s="13">
        <f>Econ!P713</f>
        <v>39052</v>
      </c>
      <c r="L713" s="14">
        <f>Econ!Q713</f>
        <v>0</v>
      </c>
      <c r="M713" s="14">
        <f>Econ!R713</f>
        <v>449</v>
      </c>
      <c r="N713" s="13">
        <f>Econ!S713</f>
        <v>477.75</v>
      </c>
      <c r="O713" s="13">
        <f>Econ!T713</f>
        <v>12</v>
      </c>
      <c r="P713" s="7" t="str">
        <f>Econ!A713</f>
        <v>Knight</v>
      </c>
      <c r="Q713" s="10">
        <f>Econ!C713</f>
        <v>78719.12193</v>
      </c>
      <c r="R713" s="10">
        <f>Econ!E713</f>
        <v>405.3513086</v>
      </c>
      <c r="S713" s="10">
        <f>Econ!G713</f>
        <v>10121.02996</v>
      </c>
      <c r="T713" s="10">
        <f>Econ!I713</f>
        <v>0</v>
      </c>
    </row>
    <row r="714">
      <c r="A714" s="7" t="str">
        <f>Econ!A714&amp;if(Econ!B714&lt;10,"_0"&amp;Econ!B714,"_"&amp;Econ!B714)</f>
        <v>Knight_113</v>
      </c>
      <c r="B714" s="7" t="str">
        <f>"T"&amp;Econ!B714&amp;" "&amp;Econ!A714</f>
        <v>T113 Knight</v>
      </c>
      <c r="C714" s="8">
        <f>Econ!B714</f>
        <v>113</v>
      </c>
      <c r="D714" s="7"/>
      <c r="E714" s="9"/>
      <c r="F714" s="9"/>
      <c r="G714" s="10">
        <f>Econ!L714</f>
        <v>156852</v>
      </c>
      <c r="H714" s="11" t="str">
        <f>Econ!M714</f>
        <v/>
      </c>
      <c r="I714" s="11">
        <f>Econ!N714</f>
        <v>1823</v>
      </c>
      <c r="J714" s="12">
        <f>Econ!O714</f>
        <v>1938</v>
      </c>
      <c r="K714" s="13">
        <f>Econ!P714</f>
        <v>39213</v>
      </c>
      <c r="L714" s="14">
        <f>Econ!Q714</f>
        <v>0</v>
      </c>
      <c r="M714" s="14">
        <f>Econ!R714</f>
        <v>455.75</v>
      </c>
      <c r="N714" s="13">
        <f>Econ!S714</f>
        <v>484.5</v>
      </c>
      <c r="O714" s="13">
        <f>Econ!T714</f>
        <v>12</v>
      </c>
      <c r="P714" s="7" t="str">
        <f>Econ!A714</f>
        <v>Knight</v>
      </c>
      <c r="Q714" s="10">
        <f>Econ!C714</f>
        <v>82655.07802</v>
      </c>
      <c r="R714" s="10">
        <f>Econ!E714</f>
        <v>413.4583347</v>
      </c>
      <c r="S714" s="10">
        <f>Econ!G714</f>
        <v>10627.08146</v>
      </c>
      <c r="T714" s="10">
        <f>Econ!I714</f>
        <v>0</v>
      </c>
    </row>
    <row r="715">
      <c r="A715" s="7" t="str">
        <f>Econ!A715&amp;if(Econ!B715&lt;10,"_0"&amp;Econ!B715,"_"&amp;Econ!B715)</f>
        <v>Knight_114</v>
      </c>
      <c r="B715" s="7" t="str">
        <f>"T"&amp;Econ!B715&amp;" "&amp;Econ!A715</f>
        <v>T114 Knight</v>
      </c>
      <c r="C715" s="8">
        <f>Econ!B715</f>
        <v>114</v>
      </c>
      <c r="D715" s="7"/>
      <c r="E715" s="9"/>
      <c r="F715" s="9"/>
      <c r="G715" s="10">
        <f>Econ!L715</f>
        <v>157500</v>
      </c>
      <c r="H715" s="11" t="str">
        <f>Econ!M715</f>
        <v/>
      </c>
      <c r="I715" s="11">
        <f>Econ!N715</f>
        <v>1850</v>
      </c>
      <c r="J715" s="12">
        <f>Econ!O715</f>
        <v>1965</v>
      </c>
      <c r="K715" s="13">
        <f>Econ!P715</f>
        <v>39375</v>
      </c>
      <c r="L715" s="14">
        <f>Econ!Q715</f>
        <v>0</v>
      </c>
      <c r="M715" s="14">
        <f>Econ!R715</f>
        <v>462.5</v>
      </c>
      <c r="N715" s="13">
        <f>Econ!S715</f>
        <v>491.25</v>
      </c>
      <c r="O715" s="13">
        <f>Econ!T715</f>
        <v>12</v>
      </c>
      <c r="P715" s="7" t="str">
        <f>Econ!A715</f>
        <v>Knight</v>
      </c>
      <c r="Q715" s="10">
        <f>Econ!C715</f>
        <v>86787.83193</v>
      </c>
      <c r="R715" s="10">
        <f>Econ!E715</f>
        <v>421.7275014</v>
      </c>
      <c r="S715" s="10">
        <f>Econ!G715</f>
        <v>11158.43553</v>
      </c>
      <c r="T715" s="10">
        <f>Econ!I715</f>
        <v>0</v>
      </c>
    </row>
    <row r="716">
      <c r="A716" s="7" t="str">
        <f>Econ!A716&amp;if(Econ!B716&lt;10,"_0"&amp;Econ!B716,"_"&amp;Econ!B716)</f>
        <v>Knight_115</v>
      </c>
      <c r="B716" s="7" t="str">
        <f>"T"&amp;Econ!B716&amp;" "&amp;Econ!A716</f>
        <v>T115 Knight</v>
      </c>
      <c r="C716" s="8">
        <f>Econ!B716</f>
        <v>115</v>
      </c>
      <c r="D716" s="7"/>
      <c r="E716" s="9"/>
      <c r="F716" s="9"/>
      <c r="G716" s="10">
        <f>Econ!L716</f>
        <v>158152</v>
      </c>
      <c r="H716" s="11" t="str">
        <f>Econ!M716</f>
        <v/>
      </c>
      <c r="I716" s="11">
        <f>Econ!N716</f>
        <v>1877</v>
      </c>
      <c r="J716" s="12">
        <f>Econ!O716</f>
        <v>1992</v>
      </c>
      <c r="K716" s="13">
        <f>Econ!P716</f>
        <v>39538</v>
      </c>
      <c r="L716" s="14">
        <f>Econ!Q716</f>
        <v>0</v>
      </c>
      <c r="M716" s="14">
        <f>Econ!R716</f>
        <v>469.25</v>
      </c>
      <c r="N716" s="13">
        <f>Econ!S716</f>
        <v>498</v>
      </c>
      <c r="O716" s="13">
        <f>Econ!T716</f>
        <v>13</v>
      </c>
      <c r="P716" s="7" t="str">
        <f>Econ!A716</f>
        <v>Knight</v>
      </c>
      <c r="Q716" s="10">
        <f>Econ!C716</f>
        <v>91127.22352</v>
      </c>
      <c r="R716" s="10">
        <f>Econ!E716</f>
        <v>430.1620515</v>
      </c>
      <c r="S716" s="10">
        <f>Econ!G716</f>
        <v>11716.35731</v>
      </c>
      <c r="T716" s="10">
        <f>Econ!I716</f>
        <v>0</v>
      </c>
    </row>
    <row r="717">
      <c r="A717" s="7" t="str">
        <f>Econ!A717&amp;if(Econ!B717&lt;10,"_0"&amp;Econ!B717,"_"&amp;Econ!B717)</f>
        <v>Knight_116</v>
      </c>
      <c r="B717" s="7" t="str">
        <f>"T"&amp;Econ!B717&amp;" "&amp;Econ!A717</f>
        <v>T116 Knight</v>
      </c>
      <c r="C717" s="8">
        <f>Econ!B717</f>
        <v>116</v>
      </c>
      <c r="D717" s="7"/>
      <c r="E717" s="9"/>
      <c r="F717" s="9"/>
      <c r="G717" s="10">
        <f>Econ!L717</f>
        <v>158808</v>
      </c>
      <c r="H717" s="11" t="str">
        <f>Econ!M717</f>
        <v/>
      </c>
      <c r="I717" s="11">
        <f>Econ!N717</f>
        <v>1904</v>
      </c>
      <c r="J717" s="12">
        <f>Econ!O717</f>
        <v>2019</v>
      </c>
      <c r="K717" s="13">
        <f>Econ!P717</f>
        <v>39702</v>
      </c>
      <c r="L717" s="14">
        <f>Econ!Q717</f>
        <v>0</v>
      </c>
      <c r="M717" s="14">
        <f>Econ!R717</f>
        <v>476</v>
      </c>
      <c r="N717" s="13">
        <f>Econ!S717</f>
        <v>504.75</v>
      </c>
      <c r="O717" s="13">
        <f>Econ!T717</f>
        <v>13</v>
      </c>
      <c r="P717" s="7" t="str">
        <f>Econ!A717</f>
        <v>Knight</v>
      </c>
      <c r="Q717" s="10">
        <f>Econ!C717</f>
        <v>95683.5847</v>
      </c>
      <c r="R717" s="10">
        <f>Econ!E717</f>
        <v>438.7652925</v>
      </c>
      <c r="S717" s="10">
        <f>Econ!G717</f>
        <v>12302.17518</v>
      </c>
      <c r="T717" s="10">
        <f>Econ!I717</f>
        <v>0</v>
      </c>
    </row>
    <row r="718">
      <c r="A718" s="7" t="str">
        <f>Econ!A718&amp;if(Econ!B718&lt;10,"_0"&amp;Econ!B718,"_"&amp;Econ!B718)</f>
        <v>Knight_117</v>
      </c>
      <c r="B718" s="7" t="str">
        <f>"T"&amp;Econ!B718&amp;" "&amp;Econ!A718</f>
        <v>T117 Knight</v>
      </c>
      <c r="C718" s="8">
        <f>Econ!B718</f>
        <v>117</v>
      </c>
      <c r="D718" s="7"/>
      <c r="E718" s="9"/>
      <c r="F718" s="9"/>
      <c r="G718" s="10">
        <f>Econ!L718</f>
        <v>159468</v>
      </c>
      <c r="H718" s="11" t="str">
        <f>Econ!M718</f>
        <v/>
      </c>
      <c r="I718" s="11">
        <f>Econ!N718</f>
        <v>1931</v>
      </c>
      <c r="J718" s="12">
        <f>Econ!O718</f>
        <v>2046</v>
      </c>
      <c r="K718" s="13">
        <f>Econ!P718</f>
        <v>39867</v>
      </c>
      <c r="L718" s="14">
        <f>Econ!Q718</f>
        <v>0</v>
      </c>
      <c r="M718" s="14">
        <f>Econ!R718</f>
        <v>482.75</v>
      </c>
      <c r="N718" s="13">
        <f>Econ!S718</f>
        <v>511.5</v>
      </c>
      <c r="O718" s="13">
        <f>Econ!T718</f>
        <v>13</v>
      </c>
      <c r="P718" s="7" t="str">
        <f>Econ!A718</f>
        <v>Knight</v>
      </c>
      <c r="Q718" s="10">
        <f>Econ!C718</f>
        <v>100467.7639</v>
      </c>
      <c r="R718" s="10">
        <f>Econ!E718</f>
        <v>447.5405983</v>
      </c>
      <c r="S718" s="10">
        <f>Econ!G718</f>
        <v>12917.28393</v>
      </c>
      <c r="T718" s="10">
        <f>Econ!I718</f>
        <v>0</v>
      </c>
    </row>
    <row r="719">
      <c r="A719" s="7" t="str">
        <f>Econ!A719&amp;if(Econ!B719&lt;10,"_0"&amp;Econ!B719,"_"&amp;Econ!B719)</f>
        <v>Knight_118</v>
      </c>
      <c r="B719" s="7" t="str">
        <f>"T"&amp;Econ!B719&amp;" "&amp;Econ!A719</f>
        <v>T118 Knight</v>
      </c>
      <c r="C719" s="8">
        <f>Econ!B719</f>
        <v>118</v>
      </c>
      <c r="D719" s="7"/>
      <c r="E719" s="9"/>
      <c r="F719" s="9"/>
      <c r="G719" s="10">
        <f>Econ!L719</f>
        <v>160132</v>
      </c>
      <c r="H719" s="11" t="str">
        <f>Econ!M719</f>
        <v/>
      </c>
      <c r="I719" s="11">
        <f>Econ!N719</f>
        <v>1959</v>
      </c>
      <c r="J719" s="12">
        <f>Econ!O719</f>
        <v>2074</v>
      </c>
      <c r="K719" s="13">
        <f>Econ!P719</f>
        <v>40033</v>
      </c>
      <c r="L719" s="14">
        <f>Econ!Q719</f>
        <v>0</v>
      </c>
      <c r="M719" s="14">
        <f>Econ!R719</f>
        <v>489.75</v>
      </c>
      <c r="N719" s="13">
        <f>Econ!S719</f>
        <v>518.5</v>
      </c>
      <c r="O719" s="13">
        <f>Econ!T719</f>
        <v>13</v>
      </c>
      <c r="P719" s="7" t="str">
        <f>Econ!A719</f>
        <v>Knight</v>
      </c>
      <c r="Q719" s="10">
        <f>Econ!C719</f>
        <v>105491.1521</v>
      </c>
      <c r="R719" s="10">
        <f>Econ!E719</f>
        <v>456.4914103</v>
      </c>
      <c r="S719" s="10">
        <f>Econ!G719</f>
        <v>13563.14813</v>
      </c>
      <c r="T719" s="10">
        <f>Econ!I719</f>
        <v>0</v>
      </c>
    </row>
    <row r="720">
      <c r="A720" s="7" t="str">
        <f>Econ!A720&amp;if(Econ!B720&lt;10,"_0"&amp;Econ!B720,"_"&amp;Econ!B720)</f>
        <v>Knight_119</v>
      </c>
      <c r="B720" s="7" t="str">
        <f>"T"&amp;Econ!B720&amp;" "&amp;Econ!A720</f>
        <v>T119 Knight</v>
      </c>
      <c r="C720" s="8">
        <f>Econ!B720</f>
        <v>119</v>
      </c>
      <c r="D720" s="7"/>
      <c r="E720" s="9"/>
      <c r="F720" s="9"/>
      <c r="G720" s="10">
        <f>Econ!L720</f>
        <v>160800</v>
      </c>
      <c r="H720" s="11" t="str">
        <f>Econ!M720</f>
        <v/>
      </c>
      <c r="I720" s="11">
        <f>Econ!N720</f>
        <v>1987</v>
      </c>
      <c r="J720" s="12">
        <f>Econ!O720</f>
        <v>2102</v>
      </c>
      <c r="K720" s="13">
        <f>Econ!P720</f>
        <v>40200</v>
      </c>
      <c r="L720" s="14">
        <f>Econ!Q720</f>
        <v>0</v>
      </c>
      <c r="M720" s="14">
        <f>Econ!R720</f>
        <v>496.75</v>
      </c>
      <c r="N720" s="13">
        <f>Econ!S720</f>
        <v>525.5</v>
      </c>
      <c r="O720" s="13">
        <f>Econ!T720</f>
        <v>13</v>
      </c>
      <c r="P720" s="7" t="str">
        <f>Econ!A720</f>
        <v>Knight</v>
      </c>
      <c r="Q720" s="10">
        <f>Econ!C720</f>
        <v>110765.7097</v>
      </c>
      <c r="R720" s="10">
        <f>Econ!E720</f>
        <v>465.6212385</v>
      </c>
      <c r="S720" s="10">
        <f>Econ!G720</f>
        <v>14241.30554</v>
      </c>
      <c r="T720" s="10">
        <f>Econ!I720</f>
        <v>0</v>
      </c>
    </row>
    <row r="721">
      <c r="A721" s="7" t="str">
        <f>Econ!A721&amp;if(Econ!B721&lt;10,"_0"&amp;Econ!B721,"_"&amp;Econ!B721)</f>
        <v>Knight_120</v>
      </c>
      <c r="B721" s="7" t="str">
        <f>"T"&amp;Econ!B721&amp;" "&amp;Econ!A721</f>
        <v>T120 Knight</v>
      </c>
      <c r="C721" s="8">
        <f>Econ!B721</f>
        <v>120</v>
      </c>
      <c r="D721" s="7"/>
      <c r="E721" s="9"/>
      <c r="F721" s="9"/>
      <c r="G721" s="10">
        <f>Econ!L721</f>
        <v>161472</v>
      </c>
      <c r="H721" s="11" t="str">
        <f>Econ!M721</f>
        <v/>
      </c>
      <c r="I721" s="11">
        <f>Econ!N721</f>
        <v>2015</v>
      </c>
      <c r="J721" s="12">
        <f>Econ!O721</f>
        <v>2130</v>
      </c>
      <c r="K721" s="13">
        <f>Econ!P721</f>
        <v>40368</v>
      </c>
      <c r="L721" s="14">
        <f>Econ!Q721</f>
        <v>0</v>
      </c>
      <c r="M721" s="14">
        <f>Econ!R721</f>
        <v>503.75</v>
      </c>
      <c r="N721" s="13">
        <f>Econ!S721</f>
        <v>532.5</v>
      </c>
      <c r="O721" s="13">
        <f>Econ!T721</f>
        <v>13</v>
      </c>
      <c r="P721" s="7" t="str">
        <f>Econ!A721</f>
        <v>Knight</v>
      </c>
      <c r="Q721" s="10">
        <f>Econ!C721</f>
        <v>116303.9952</v>
      </c>
      <c r="R721" s="10">
        <f>Econ!E721</f>
        <v>474.9336633</v>
      </c>
      <c r="S721" s="10">
        <f>Econ!G721</f>
        <v>14953.37081</v>
      </c>
      <c r="T721" s="10">
        <f>Econ!I721</f>
        <v>0</v>
      </c>
    </row>
    <row r="722">
      <c r="A722" s="7" t="str">
        <f>Econ!A722&amp;if(Econ!B722&lt;10,"_0"&amp;Econ!B722,"_"&amp;Econ!B722)</f>
        <v>Knight_121</v>
      </c>
      <c r="B722" s="7" t="str">
        <f>"T"&amp;Econ!B722&amp;" "&amp;Econ!A722</f>
        <v>T121 Knight</v>
      </c>
      <c r="C722" s="8">
        <f>Econ!B722</f>
        <v>121</v>
      </c>
      <c r="D722" s="7"/>
      <c r="E722" s="9"/>
      <c r="F722" s="9"/>
      <c r="G722" s="10">
        <f>Econ!L722</f>
        <v>162147</v>
      </c>
      <c r="H722" s="11" t="str">
        <f>Econ!M722</f>
        <v/>
      </c>
      <c r="I722" s="11">
        <f>Econ!N722</f>
        <v>2043</v>
      </c>
      <c r="J722" s="12">
        <f>Econ!O722</f>
        <v>2158</v>
      </c>
      <c r="K722" s="13">
        <f>Econ!P722</f>
        <v>40536.75</v>
      </c>
      <c r="L722" s="14">
        <f>Econ!Q722</f>
        <v>0</v>
      </c>
      <c r="M722" s="14">
        <f>Econ!R722</f>
        <v>510.75</v>
      </c>
      <c r="N722" s="13">
        <f>Econ!S722</f>
        <v>539.5</v>
      </c>
      <c r="O722" s="13">
        <f>Econ!T722</f>
        <v>13</v>
      </c>
      <c r="P722" s="7" t="str">
        <f>Econ!A722</f>
        <v>Knight</v>
      </c>
      <c r="Q722" s="10">
        <f>Econ!C722</f>
        <v>122119.195</v>
      </c>
      <c r="R722" s="10">
        <f>Econ!E722</f>
        <v>484.4323365</v>
      </c>
      <c r="S722" s="10">
        <f>Econ!G722</f>
        <v>15701.03936</v>
      </c>
      <c r="T722" s="10">
        <f>Econ!I722</f>
        <v>0</v>
      </c>
    </row>
    <row r="723">
      <c r="A723" s="7" t="str">
        <f>Econ!A723&amp;if(Econ!B723&lt;10,"_0"&amp;Econ!B723,"_"&amp;Econ!B723)</f>
        <v>Knight_122</v>
      </c>
      <c r="B723" s="7" t="str">
        <f>"T"&amp;Econ!B723&amp;" "&amp;Econ!A723</f>
        <v>T122 Knight</v>
      </c>
      <c r="C723" s="8">
        <f>Econ!B723</f>
        <v>122</v>
      </c>
      <c r="D723" s="7"/>
      <c r="E723" s="9"/>
      <c r="F723" s="9"/>
      <c r="G723" s="10">
        <f>Econ!L723</f>
        <v>162826</v>
      </c>
      <c r="H723" s="11" t="str">
        <f>Econ!M723</f>
        <v/>
      </c>
      <c r="I723" s="11">
        <f>Econ!N723</f>
        <v>2071</v>
      </c>
      <c r="J723" s="12">
        <f>Econ!O723</f>
        <v>2186</v>
      </c>
      <c r="K723" s="13">
        <f>Econ!P723</f>
        <v>40706.5</v>
      </c>
      <c r="L723" s="14">
        <f>Econ!Q723</f>
        <v>0</v>
      </c>
      <c r="M723" s="14">
        <f>Econ!R723</f>
        <v>517.75</v>
      </c>
      <c r="N723" s="13">
        <f>Econ!S723</f>
        <v>546.5</v>
      </c>
      <c r="O723" s="13">
        <f>Econ!T723</f>
        <v>13</v>
      </c>
      <c r="P723" s="7" t="str">
        <f>Econ!A723</f>
        <v>Knight</v>
      </c>
      <c r="Q723" s="10">
        <f>Econ!C723</f>
        <v>128225.1547</v>
      </c>
      <c r="R723" s="10">
        <f>Econ!E723</f>
        <v>494.1209833</v>
      </c>
      <c r="S723" s="10">
        <f>Econ!G723</f>
        <v>16486.09132</v>
      </c>
      <c r="T723" s="10">
        <f>Econ!I723</f>
        <v>0</v>
      </c>
    </row>
    <row r="724">
      <c r="A724" s="7" t="str">
        <f>Econ!A724&amp;if(Econ!B724&lt;10,"_0"&amp;Econ!B724,"_"&amp;Econ!B724)</f>
        <v>Knight_123</v>
      </c>
      <c r="B724" s="7" t="str">
        <f>"T"&amp;Econ!B724&amp;" "&amp;Econ!A724</f>
        <v>T123 Knight</v>
      </c>
      <c r="C724" s="8">
        <f>Econ!B724</f>
        <v>123</v>
      </c>
      <c r="D724" s="7"/>
      <c r="E724" s="9"/>
      <c r="F724" s="9"/>
      <c r="G724" s="10">
        <f>Econ!L724</f>
        <v>163509</v>
      </c>
      <c r="H724" s="11" t="str">
        <f>Econ!M724</f>
        <v/>
      </c>
      <c r="I724" s="11">
        <f>Econ!N724</f>
        <v>2099</v>
      </c>
      <c r="J724" s="12">
        <f>Econ!O724</f>
        <v>2214</v>
      </c>
      <c r="K724" s="13">
        <f>Econ!P724</f>
        <v>40877.25</v>
      </c>
      <c r="L724" s="14">
        <f>Econ!Q724</f>
        <v>0</v>
      </c>
      <c r="M724" s="14">
        <f>Econ!R724</f>
        <v>524.75</v>
      </c>
      <c r="N724" s="13">
        <f>Econ!S724</f>
        <v>553.5</v>
      </c>
      <c r="O724" s="13">
        <f>Econ!T724</f>
        <v>13</v>
      </c>
      <c r="P724" s="7" t="str">
        <f>Econ!A724</f>
        <v>Knight</v>
      </c>
      <c r="Q724" s="10">
        <f>Econ!C724</f>
        <v>134636.4125</v>
      </c>
      <c r="R724" s="10">
        <f>Econ!E724</f>
        <v>504.0034029</v>
      </c>
      <c r="S724" s="10">
        <f>Econ!G724</f>
        <v>17310.39589</v>
      </c>
      <c r="T724" s="10">
        <f>Econ!I724</f>
        <v>0</v>
      </c>
    </row>
    <row r="725">
      <c r="A725" s="7" t="str">
        <f>Econ!A725&amp;if(Econ!B725&lt;10,"_0"&amp;Econ!B725,"_"&amp;Econ!B725)</f>
        <v>Knight_124</v>
      </c>
      <c r="B725" s="7" t="str">
        <f>"T"&amp;Econ!B725&amp;" "&amp;Econ!A725</f>
        <v>T124 Knight</v>
      </c>
      <c r="C725" s="8">
        <f>Econ!B725</f>
        <v>124</v>
      </c>
      <c r="D725" s="7"/>
      <c r="E725" s="9"/>
      <c r="F725" s="9"/>
      <c r="G725" s="10">
        <f>Econ!L725</f>
        <v>164196</v>
      </c>
      <c r="H725" s="11" t="str">
        <f>Econ!M725</f>
        <v/>
      </c>
      <c r="I725" s="11">
        <f>Econ!N725</f>
        <v>2127</v>
      </c>
      <c r="J725" s="12">
        <f>Econ!O725</f>
        <v>2242</v>
      </c>
      <c r="K725" s="13">
        <f>Econ!P725</f>
        <v>41049</v>
      </c>
      <c r="L725" s="14">
        <f>Econ!Q725</f>
        <v>0</v>
      </c>
      <c r="M725" s="14">
        <f>Econ!R725</f>
        <v>531.75</v>
      </c>
      <c r="N725" s="13">
        <f>Econ!S725</f>
        <v>560.5</v>
      </c>
      <c r="O725" s="13">
        <f>Econ!T725</f>
        <v>13</v>
      </c>
      <c r="P725" s="7" t="str">
        <f>Econ!A725</f>
        <v>Knight</v>
      </c>
      <c r="Q725" s="10">
        <f>Econ!C725</f>
        <v>141368.2331</v>
      </c>
      <c r="R725" s="10">
        <f>Econ!E725</f>
        <v>514.083471</v>
      </c>
      <c r="S725" s="10">
        <f>Econ!G725</f>
        <v>18175.91568</v>
      </c>
      <c r="T725" s="10">
        <f>Econ!I725</f>
        <v>0</v>
      </c>
    </row>
    <row r="726">
      <c r="A726" s="7" t="str">
        <f>Econ!A726&amp;if(Econ!B726&lt;10,"_0"&amp;Econ!B726,"_"&amp;Econ!B726)</f>
        <v>Knight_125</v>
      </c>
      <c r="B726" s="7" t="str">
        <f>"T"&amp;Econ!B726&amp;" "&amp;Econ!A726</f>
        <v>T125 Knight</v>
      </c>
      <c r="C726" s="8">
        <f>Econ!B726</f>
        <v>125</v>
      </c>
      <c r="D726" s="7"/>
      <c r="E726" s="9"/>
      <c r="F726" s="9"/>
      <c r="G726" s="10">
        <f>Econ!L726</f>
        <v>164887</v>
      </c>
      <c r="H726" s="11" t="str">
        <f>Econ!M726</f>
        <v/>
      </c>
      <c r="I726" s="11">
        <f>Econ!N726</f>
        <v>2156</v>
      </c>
      <c r="J726" s="12">
        <f>Econ!O726</f>
        <v>2271</v>
      </c>
      <c r="K726" s="13">
        <f>Econ!P726</f>
        <v>41221.75</v>
      </c>
      <c r="L726" s="14">
        <f>Econ!Q726</f>
        <v>0</v>
      </c>
      <c r="M726" s="14">
        <f>Econ!R726</f>
        <v>539</v>
      </c>
      <c r="N726" s="13">
        <f>Econ!S726</f>
        <v>567.75</v>
      </c>
      <c r="O726" s="13">
        <f>Econ!T726</f>
        <v>14</v>
      </c>
      <c r="P726" s="7" t="str">
        <f>Econ!A726</f>
        <v>Knight</v>
      </c>
      <c r="Q726" s="10">
        <f>Econ!C726</f>
        <v>148436.6447</v>
      </c>
      <c r="R726" s="10">
        <f>Econ!E726</f>
        <v>524.3651404</v>
      </c>
      <c r="S726" s="10">
        <f>Econ!G726</f>
        <v>19084.71147</v>
      </c>
      <c r="T726" s="10">
        <f>Econ!I726</f>
        <v>0</v>
      </c>
    </row>
    <row r="727">
      <c r="A727" s="7" t="str">
        <f>Econ!A727&amp;if(Econ!B727&lt;10,"_0"&amp;Econ!B727,"_"&amp;Econ!B727)</f>
        <v>Knight_126</v>
      </c>
      <c r="B727" s="7" t="str">
        <f>"T"&amp;Econ!B727&amp;" "&amp;Econ!A727</f>
        <v>T126 Knight</v>
      </c>
      <c r="C727" s="8">
        <f>Econ!B727</f>
        <v>126</v>
      </c>
      <c r="D727" s="7"/>
      <c r="E727" s="9"/>
      <c r="F727" s="9"/>
      <c r="G727" s="10">
        <f>Econ!L727</f>
        <v>165582</v>
      </c>
      <c r="H727" s="11" t="str">
        <f>Econ!M727</f>
        <v/>
      </c>
      <c r="I727" s="11">
        <f>Econ!N727</f>
        <v>2185</v>
      </c>
      <c r="J727" s="12">
        <f>Econ!O727</f>
        <v>2300</v>
      </c>
      <c r="K727" s="13">
        <f>Econ!P727</f>
        <v>41395.5</v>
      </c>
      <c r="L727" s="14">
        <f>Econ!Q727</f>
        <v>0</v>
      </c>
      <c r="M727" s="14">
        <f>Econ!R727</f>
        <v>546.25</v>
      </c>
      <c r="N727" s="13">
        <f>Econ!S727</f>
        <v>575</v>
      </c>
      <c r="O727" s="13">
        <f>Econ!T727</f>
        <v>14</v>
      </c>
      <c r="P727" s="7" t="str">
        <f>Econ!A727</f>
        <v>Knight</v>
      </c>
      <c r="Q727" s="10">
        <f>Econ!C727</f>
        <v>155858.477</v>
      </c>
      <c r="R727" s="10">
        <f>Econ!E727</f>
        <v>534.8524432</v>
      </c>
      <c r="S727" s="10">
        <f>Econ!G727</f>
        <v>20038.94704</v>
      </c>
      <c r="T727" s="10">
        <f>Econ!I727</f>
        <v>0</v>
      </c>
    </row>
    <row r="728">
      <c r="A728" s="7" t="str">
        <f>Econ!A728&amp;if(Econ!B728&lt;10,"_0"&amp;Econ!B728,"_"&amp;Econ!B728)</f>
        <v>Knight_127</v>
      </c>
      <c r="B728" s="7" t="str">
        <f>"T"&amp;Econ!B728&amp;" "&amp;Econ!A728</f>
        <v>T127 Knight</v>
      </c>
      <c r="C728" s="8">
        <f>Econ!B728</f>
        <v>127</v>
      </c>
      <c r="D728" s="7"/>
      <c r="E728" s="9"/>
      <c r="F728" s="9"/>
      <c r="G728" s="10">
        <f>Econ!L728</f>
        <v>166281</v>
      </c>
      <c r="H728" s="11" t="str">
        <f>Econ!M728</f>
        <v/>
      </c>
      <c r="I728" s="11">
        <f>Econ!N728</f>
        <v>2214</v>
      </c>
      <c r="J728" s="12">
        <f>Econ!O728</f>
        <v>2329</v>
      </c>
      <c r="K728" s="13">
        <f>Econ!P728</f>
        <v>41570.25</v>
      </c>
      <c r="L728" s="14">
        <f>Econ!Q728</f>
        <v>0</v>
      </c>
      <c r="M728" s="14">
        <f>Econ!R728</f>
        <v>553.5</v>
      </c>
      <c r="N728" s="13">
        <f>Econ!S728</f>
        <v>582.25</v>
      </c>
      <c r="O728" s="13">
        <f>Econ!T728</f>
        <v>14</v>
      </c>
      <c r="P728" s="7" t="str">
        <f>Econ!A728</f>
        <v>Knight</v>
      </c>
      <c r="Q728" s="10">
        <f>Econ!C728</f>
        <v>163651.4008</v>
      </c>
      <c r="R728" s="10">
        <f>Econ!E728</f>
        <v>545.5494921</v>
      </c>
      <c r="S728" s="10">
        <f>Econ!G728</f>
        <v>21040.89439</v>
      </c>
      <c r="T728" s="10">
        <f>Econ!I728</f>
        <v>0</v>
      </c>
    </row>
    <row r="729">
      <c r="A729" s="7" t="str">
        <f>Econ!A729&amp;if(Econ!B729&lt;10,"_0"&amp;Econ!B729,"_"&amp;Econ!B729)</f>
        <v>Knight_128</v>
      </c>
      <c r="B729" s="7" t="str">
        <f>"T"&amp;Econ!B729&amp;" "&amp;Econ!A729</f>
        <v>T128 Knight</v>
      </c>
      <c r="C729" s="8">
        <f>Econ!B729</f>
        <v>128</v>
      </c>
      <c r="D729" s="7"/>
      <c r="E729" s="9"/>
      <c r="F729" s="9"/>
      <c r="G729" s="10">
        <f>Econ!L729</f>
        <v>166984</v>
      </c>
      <c r="H729" s="11" t="str">
        <f>Econ!M729</f>
        <v/>
      </c>
      <c r="I729" s="11">
        <f>Econ!N729</f>
        <v>2243</v>
      </c>
      <c r="J729" s="12">
        <f>Econ!O729</f>
        <v>2358</v>
      </c>
      <c r="K729" s="13">
        <f>Econ!P729</f>
        <v>41746</v>
      </c>
      <c r="L729" s="14">
        <f>Econ!Q729</f>
        <v>0</v>
      </c>
      <c r="M729" s="14">
        <f>Econ!R729</f>
        <v>560.75</v>
      </c>
      <c r="N729" s="13">
        <f>Econ!S729</f>
        <v>589.5</v>
      </c>
      <c r="O729" s="13">
        <f>Econ!T729</f>
        <v>14</v>
      </c>
      <c r="P729" s="7" t="str">
        <f>Econ!A729</f>
        <v>Knight</v>
      </c>
      <c r="Q729" s="10">
        <f>Econ!C729</f>
        <v>171833.9709</v>
      </c>
      <c r="R729" s="10">
        <f>Econ!E729</f>
        <v>556.4604819</v>
      </c>
      <c r="S729" s="10">
        <f>Econ!G729</f>
        <v>22092.93911</v>
      </c>
      <c r="T729" s="10">
        <f>Econ!I729</f>
        <v>0</v>
      </c>
    </row>
    <row r="730">
      <c r="A730" s="7" t="str">
        <f>Econ!A730&amp;if(Econ!B730&lt;10,"_0"&amp;Econ!B730,"_"&amp;Econ!B730)</f>
        <v>Knight_129</v>
      </c>
      <c r="B730" s="7" t="str">
        <f>"T"&amp;Econ!B730&amp;" "&amp;Econ!A730</f>
        <v>T129 Knight</v>
      </c>
      <c r="C730" s="8">
        <f>Econ!B730</f>
        <v>129</v>
      </c>
      <c r="D730" s="7"/>
      <c r="E730" s="9"/>
      <c r="F730" s="9"/>
      <c r="G730" s="10">
        <f>Econ!L730</f>
        <v>167691</v>
      </c>
      <c r="H730" s="11" t="str">
        <f>Econ!M730</f>
        <v/>
      </c>
      <c r="I730" s="11">
        <f>Econ!N730</f>
        <v>2272</v>
      </c>
      <c r="J730" s="12">
        <f>Econ!O730</f>
        <v>2387</v>
      </c>
      <c r="K730" s="13">
        <f>Econ!P730</f>
        <v>41922.75</v>
      </c>
      <c r="L730" s="14">
        <f>Econ!Q730</f>
        <v>0</v>
      </c>
      <c r="M730" s="14">
        <f>Econ!R730</f>
        <v>568</v>
      </c>
      <c r="N730" s="13">
        <f>Econ!S730</f>
        <v>596.75</v>
      </c>
      <c r="O730" s="13">
        <f>Econ!T730</f>
        <v>14</v>
      </c>
      <c r="P730" s="7" t="str">
        <f>Econ!A730</f>
        <v>Knight</v>
      </c>
      <c r="Q730" s="10">
        <f>Econ!C730</f>
        <v>180425.6694</v>
      </c>
      <c r="R730" s="10">
        <f>Econ!E730</f>
        <v>567.5896916</v>
      </c>
      <c r="S730" s="10">
        <f>Econ!G730</f>
        <v>23197.58607</v>
      </c>
      <c r="T730" s="10">
        <f>Econ!I730</f>
        <v>0</v>
      </c>
    </row>
    <row r="731">
      <c r="A731" s="7" t="str">
        <f>Econ!A731&amp;if(Econ!B731&lt;10,"_0"&amp;Econ!B731,"_"&amp;Econ!B731)</f>
        <v>Knight_130</v>
      </c>
      <c r="B731" s="7" t="str">
        <f>"T"&amp;Econ!B731&amp;" "&amp;Econ!A731</f>
        <v>T130 Knight</v>
      </c>
      <c r="C731" s="8">
        <f>Econ!B731</f>
        <v>130</v>
      </c>
      <c r="D731" s="7"/>
      <c r="E731" s="9"/>
      <c r="F731" s="9"/>
      <c r="G731" s="10">
        <f>Econ!L731</f>
        <v>168402</v>
      </c>
      <c r="H731" s="11" t="str">
        <f>Econ!M731</f>
        <v/>
      </c>
      <c r="I731" s="11">
        <f>Econ!N731</f>
        <v>2301</v>
      </c>
      <c r="J731" s="12">
        <f>Econ!O731</f>
        <v>2416</v>
      </c>
      <c r="K731" s="13">
        <f>Econ!P731</f>
        <v>42100.5</v>
      </c>
      <c r="L731" s="14">
        <f>Econ!Q731</f>
        <v>0</v>
      </c>
      <c r="M731" s="14">
        <f>Econ!R731</f>
        <v>575.25</v>
      </c>
      <c r="N731" s="13">
        <f>Econ!S731</f>
        <v>604</v>
      </c>
      <c r="O731" s="13">
        <f>Econ!T731</f>
        <v>14</v>
      </c>
      <c r="P731" s="7" t="str">
        <f>Econ!A731</f>
        <v>Knight</v>
      </c>
      <c r="Q731" s="10">
        <f>Econ!C731</f>
        <v>189446.9529</v>
      </c>
      <c r="R731" s="10">
        <f>Econ!E731</f>
        <v>578.9414854</v>
      </c>
      <c r="S731" s="10">
        <f>Econ!G731</f>
        <v>24357.46537</v>
      </c>
      <c r="T731" s="10">
        <f>Econ!I731</f>
        <v>0</v>
      </c>
    </row>
    <row r="732">
      <c r="A732" s="7" t="str">
        <f>Econ!A732&amp;if(Econ!B732&lt;10,"_0"&amp;Econ!B732,"_"&amp;Econ!B732)</f>
        <v>Knight_131</v>
      </c>
      <c r="B732" s="7" t="str">
        <f>"T"&amp;Econ!B732&amp;" "&amp;Econ!A732</f>
        <v>T131 Knight</v>
      </c>
      <c r="C732" s="8">
        <f>Econ!B732</f>
        <v>131</v>
      </c>
      <c r="D732" s="7"/>
      <c r="E732" s="9"/>
      <c r="F732" s="9"/>
      <c r="G732" s="10">
        <f>Econ!L732</f>
        <v>169116</v>
      </c>
      <c r="H732" s="11" t="str">
        <f>Econ!M732</f>
        <v/>
      </c>
      <c r="I732" s="11">
        <f>Econ!N732</f>
        <v>2331</v>
      </c>
      <c r="J732" s="12">
        <f>Econ!O732</f>
        <v>2446</v>
      </c>
      <c r="K732" s="13">
        <f>Econ!P732</f>
        <v>42279</v>
      </c>
      <c r="L732" s="14">
        <f>Econ!Q732</f>
        <v>0</v>
      </c>
      <c r="M732" s="14">
        <f>Econ!R732</f>
        <v>582.75</v>
      </c>
      <c r="N732" s="13">
        <f>Econ!S732</f>
        <v>611.5</v>
      </c>
      <c r="O732" s="13">
        <f>Econ!T732</f>
        <v>14</v>
      </c>
      <c r="P732" s="7" t="str">
        <f>Econ!A732</f>
        <v>Knight</v>
      </c>
      <c r="Q732" s="10">
        <f>Econ!C732</f>
        <v>198919.3005</v>
      </c>
      <c r="R732" s="10">
        <f>Econ!E732</f>
        <v>590.5203151</v>
      </c>
      <c r="S732" s="10">
        <f>Econ!G732</f>
        <v>25575.33864</v>
      </c>
      <c r="T732" s="10">
        <f>Econ!I732</f>
        <v>0</v>
      </c>
    </row>
    <row r="733">
      <c r="A733" s="7" t="str">
        <f>Econ!A733&amp;if(Econ!B733&lt;10,"_0"&amp;Econ!B733,"_"&amp;Econ!B733)</f>
        <v>Knight_132</v>
      </c>
      <c r="B733" s="7" t="str">
        <f>"T"&amp;Econ!B733&amp;" "&amp;Econ!A733</f>
        <v>T132 Knight</v>
      </c>
      <c r="C733" s="8">
        <f>Econ!B733</f>
        <v>132</v>
      </c>
      <c r="D733" s="7"/>
      <c r="E733" s="9"/>
      <c r="F733" s="9"/>
      <c r="G733" s="10">
        <f>Econ!L733</f>
        <v>169834</v>
      </c>
      <c r="H733" s="11" t="str">
        <f>Econ!M733</f>
        <v/>
      </c>
      <c r="I733" s="11">
        <f>Econ!N733</f>
        <v>2361</v>
      </c>
      <c r="J733" s="12">
        <f>Econ!O733</f>
        <v>2476</v>
      </c>
      <c r="K733" s="13">
        <f>Econ!P733</f>
        <v>42458.5</v>
      </c>
      <c r="L733" s="14">
        <f>Econ!Q733</f>
        <v>0</v>
      </c>
      <c r="M733" s="14">
        <f>Econ!R733</f>
        <v>590.25</v>
      </c>
      <c r="N733" s="13">
        <f>Econ!S733</f>
        <v>619</v>
      </c>
      <c r="O733" s="13">
        <f>Econ!T733</f>
        <v>14</v>
      </c>
      <c r="P733" s="7" t="str">
        <f>Econ!A733</f>
        <v>Knight</v>
      </c>
      <c r="Q733" s="10">
        <f>Econ!C733</f>
        <v>208865.2656</v>
      </c>
      <c r="R733" s="10">
        <f>Econ!E733</f>
        <v>602.3307214</v>
      </c>
      <c r="S733" s="10">
        <f>Econ!G733</f>
        <v>26854.10557</v>
      </c>
      <c r="T733" s="10">
        <f>Econ!I733</f>
        <v>0</v>
      </c>
    </row>
    <row r="734">
      <c r="A734" s="7" t="str">
        <f>Econ!A734&amp;if(Econ!B734&lt;10,"_0"&amp;Econ!B734,"_"&amp;Econ!B734)</f>
        <v>Knight_133</v>
      </c>
      <c r="B734" s="7" t="str">
        <f>"T"&amp;Econ!B734&amp;" "&amp;Econ!A734</f>
        <v>T133 Knight</v>
      </c>
      <c r="C734" s="8">
        <f>Econ!B734</f>
        <v>133</v>
      </c>
      <c r="D734" s="7"/>
      <c r="E734" s="9"/>
      <c r="F734" s="9"/>
      <c r="G734" s="10">
        <f>Econ!L734</f>
        <v>170556</v>
      </c>
      <c r="H734" s="11" t="str">
        <f>Econ!M734</f>
        <v/>
      </c>
      <c r="I734" s="11">
        <f>Econ!N734</f>
        <v>2391</v>
      </c>
      <c r="J734" s="12">
        <f>Econ!O734</f>
        <v>2506</v>
      </c>
      <c r="K734" s="13">
        <f>Econ!P734</f>
        <v>42639</v>
      </c>
      <c r="L734" s="14">
        <f>Econ!Q734</f>
        <v>0</v>
      </c>
      <c r="M734" s="14">
        <f>Econ!R734</f>
        <v>597.75</v>
      </c>
      <c r="N734" s="13">
        <f>Econ!S734</f>
        <v>626.5</v>
      </c>
      <c r="O734" s="13">
        <f>Econ!T734</f>
        <v>14</v>
      </c>
      <c r="P734" s="7" t="str">
        <f>Econ!A734</f>
        <v>Knight</v>
      </c>
      <c r="Q734" s="10">
        <f>Econ!C734</f>
        <v>219308.5288</v>
      </c>
      <c r="R734" s="10">
        <f>Econ!E734</f>
        <v>614.3773358</v>
      </c>
      <c r="S734" s="10">
        <f>Econ!G734</f>
        <v>28196.81085</v>
      </c>
      <c r="T734" s="10">
        <f>Econ!I734</f>
        <v>0</v>
      </c>
    </row>
    <row r="735">
      <c r="A735" s="7" t="str">
        <f>Econ!A735&amp;if(Econ!B735&lt;10,"_0"&amp;Econ!B735,"_"&amp;Econ!B735)</f>
        <v>Knight_134</v>
      </c>
      <c r="B735" s="7" t="str">
        <f>"T"&amp;Econ!B735&amp;" "&amp;Econ!A735</f>
        <v>T134 Knight</v>
      </c>
      <c r="C735" s="8">
        <f>Econ!B735</f>
        <v>134</v>
      </c>
      <c r="D735" s="7"/>
      <c r="E735" s="9"/>
      <c r="F735" s="9"/>
      <c r="G735" s="10">
        <f>Econ!L735</f>
        <v>171282</v>
      </c>
      <c r="H735" s="11" t="str">
        <f>Econ!M735</f>
        <v/>
      </c>
      <c r="I735" s="11">
        <f>Econ!N735</f>
        <v>2421</v>
      </c>
      <c r="J735" s="12">
        <f>Econ!O735</f>
        <v>2536</v>
      </c>
      <c r="K735" s="13">
        <f>Econ!P735</f>
        <v>42820.5</v>
      </c>
      <c r="L735" s="14">
        <f>Econ!Q735</f>
        <v>0</v>
      </c>
      <c r="M735" s="14">
        <f>Econ!R735</f>
        <v>605.25</v>
      </c>
      <c r="N735" s="13">
        <f>Econ!S735</f>
        <v>634</v>
      </c>
      <c r="O735" s="13">
        <f>Econ!T735</f>
        <v>14</v>
      </c>
      <c r="P735" s="7" t="str">
        <f>Econ!A735</f>
        <v>Knight</v>
      </c>
      <c r="Q735" s="10">
        <f>Econ!C735</f>
        <v>230273.9553</v>
      </c>
      <c r="R735" s="10">
        <f>Econ!E735</f>
        <v>626.6648826</v>
      </c>
      <c r="S735" s="10">
        <f>Econ!G735</f>
        <v>29606.65139</v>
      </c>
      <c r="T735" s="10">
        <f>Econ!I735</f>
        <v>0</v>
      </c>
    </row>
    <row r="736">
      <c r="A736" s="7" t="str">
        <f>Econ!A736&amp;if(Econ!B736&lt;10,"_0"&amp;Econ!B736,"_"&amp;Econ!B736)</f>
        <v>Knight_135</v>
      </c>
      <c r="B736" s="7" t="str">
        <f>"T"&amp;Econ!B736&amp;" "&amp;Econ!A736</f>
        <v>T135 Knight</v>
      </c>
      <c r="C736" s="8">
        <f>Econ!B736</f>
        <v>135</v>
      </c>
      <c r="D736" s="7"/>
      <c r="E736" s="9"/>
      <c r="F736" s="9"/>
      <c r="G736" s="10">
        <f>Econ!L736</f>
        <v>172012</v>
      </c>
      <c r="H736" s="11" t="str">
        <f>Econ!M736</f>
        <v/>
      </c>
      <c r="I736" s="11">
        <f>Econ!N736</f>
        <v>2451</v>
      </c>
      <c r="J736" s="12">
        <f>Econ!O736</f>
        <v>2566</v>
      </c>
      <c r="K736" s="13">
        <f>Econ!P736</f>
        <v>43003</v>
      </c>
      <c r="L736" s="14">
        <f>Econ!Q736</f>
        <v>0</v>
      </c>
      <c r="M736" s="14">
        <f>Econ!R736</f>
        <v>612.75</v>
      </c>
      <c r="N736" s="13">
        <f>Econ!S736</f>
        <v>641.5</v>
      </c>
      <c r="O736" s="13">
        <f>Econ!T736</f>
        <v>15</v>
      </c>
      <c r="P736" s="7" t="str">
        <f>Econ!A736</f>
        <v>Knight</v>
      </c>
      <c r="Q736" s="10">
        <f>Econ!C736</f>
        <v>241787.653</v>
      </c>
      <c r="R736" s="10">
        <f>Econ!E736</f>
        <v>639.1981802</v>
      </c>
      <c r="S736" s="10">
        <f>Econ!G736</f>
        <v>31086.98396</v>
      </c>
      <c r="T736" s="10">
        <f>Econ!I736</f>
        <v>0</v>
      </c>
    </row>
    <row r="737">
      <c r="A737" s="7" t="str">
        <f>Econ!A737&amp;if(Econ!B737&lt;10,"_0"&amp;Econ!B737,"_"&amp;Econ!B737)</f>
        <v>Knight_136</v>
      </c>
      <c r="B737" s="7" t="str">
        <f>"T"&amp;Econ!B737&amp;" "&amp;Econ!A737</f>
        <v>T136 Knight</v>
      </c>
      <c r="C737" s="8">
        <f>Econ!B737</f>
        <v>136</v>
      </c>
      <c r="D737" s="7"/>
      <c r="E737" s="9"/>
      <c r="F737" s="9"/>
      <c r="G737" s="10">
        <f>Econ!L737</f>
        <v>172745</v>
      </c>
      <c r="H737" s="11" t="str">
        <f>Econ!M737</f>
        <v/>
      </c>
      <c r="I737" s="11">
        <f>Econ!N737</f>
        <v>2481</v>
      </c>
      <c r="J737" s="12">
        <f>Econ!O737</f>
        <v>2596</v>
      </c>
      <c r="K737" s="13">
        <f>Econ!P737</f>
        <v>43186.25</v>
      </c>
      <c r="L737" s="14">
        <f>Econ!Q737</f>
        <v>0</v>
      </c>
      <c r="M737" s="14">
        <f>Econ!R737</f>
        <v>620.25</v>
      </c>
      <c r="N737" s="13">
        <f>Econ!S737</f>
        <v>649</v>
      </c>
      <c r="O737" s="13">
        <f>Econ!T737</f>
        <v>15</v>
      </c>
      <c r="P737" s="7" t="str">
        <f>Econ!A737</f>
        <v>Knight</v>
      </c>
      <c r="Q737" s="10">
        <f>Econ!C737</f>
        <v>253877.0357</v>
      </c>
      <c r="R737" s="10">
        <f>Econ!E737</f>
        <v>651.9821438</v>
      </c>
      <c r="S737" s="10">
        <f>Econ!G737</f>
        <v>32641.33316</v>
      </c>
      <c r="T737" s="10">
        <f>Econ!I737</f>
        <v>0</v>
      </c>
    </row>
    <row r="738">
      <c r="A738" s="7" t="str">
        <f>Econ!A738&amp;if(Econ!B738&lt;10,"_0"&amp;Econ!B738,"_"&amp;Econ!B738)</f>
        <v>Knight_137</v>
      </c>
      <c r="B738" s="7" t="str">
        <f>"T"&amp;Econ!B738&amp;" "&amp;Econ!A738</f>
        <v>T137 Knight</v>
      </c>
      <c r="C738" s="8">
        <f>Econ!B738</f>
        <v>137</v>
      </c>
      <c r="D738" s="7"/>
      <c r="E738" s="9"/>
      <c r="F738" s="9"/>
      <c r="G738" s="10">
        <f>Econ!L738</f>
        <v>173482</v>
      </c>
      <c r="H738" s="11" t="str">
        <f>Econ!M738</f>
        <v/>
      </c>
      <c r="I738" s="11">
        <f>Econ!N738</f>
        <v>2511</v>
      </c>
      <c r="J738" s="12">
        <f>Econ!O738</f>
        <v>2626</v>
      </c>
      <c r="K738" s="13">
        <f>Econ!P738</f>
        <v>43370.5</v>
      </c>
      <c r="L738" s="14">
        <f>Econ!Q738</f>
        <v>0</v>
      </c>
      <c r="M738" s="14">
        <f>Econ!R738</f>
        <v>627.75</v>
      </c>
      <c r="N738" s="13">
        <f>Econ!S738</f>
        <v>656.5</v>
      </c>
      <c r="O738" s="13">
        <f>Econ!T738</f>
        <v>15</v>
      </c>
      <c r="P738" s="7" t="str">
        <f>Econ!A738</f>
        <v>Knight</v>
      </c>
      <c r="Q738" s="10">
        <f>Econ!C738</f>
        <v>266570.8875</v>
      </c>
      <c r="R738" s="10">
        <f>Econ!E738</f>
        <v>665.0217867</v>
      </c>
      <c r="S738" s="10">
        <f>Econ!G738</f>
        <v>34273.39982</v>
      </c>
      <c r="T738" s="10">
        <f>Econ!I738</f>
        <v>0</v>
      </c>
    </row>
    <row r="739">
      <c r="A739" s="7" t="str">
        <f>Econ!A739&amp;if(Econ!B739&lt;10,"_0"&amp;Econ!B739,"_"&amp;Econ!B739)</f>
        <v>Knight_138</v>
      </c>
      <c r="B739" s="7" t="str">
        <f>"T"&amp;Econ!B739&amp;" "&amp;Econ!A739</f>
        <v>T138 Knight</v>
      </c>
      <c r="C739" s="8">
        <f>Econ!B739</f>
        <v>138</v>
      </c>
      <c r="D739" s="7"/>
      <c r="E739" s="9"/>
      <c r="F739" s="9"/>
      <c r="G739" s="10">
        <f>Econ!L739</f>
        <v>174223</v>
      </c>
      <c r="H739" s="11" t="str">
        <f>Econ!M739</f>
        <v/>
      </c>
      <c r="I739" s="11">
        <f>Econ!N739</f>
        <v>2542</v>
      </c>
      <c r="J739" s="12">
        <f>Econ!O739</f>
        <v>2657</v>
      </c>
      <c r="K739" s="13">
        <f>Econ!P739</f>
        <v>43555.75</v>
      </c>
      <c r="L739" s="14">
        <f>Econ!Q739</f>
        <v>0</v>
      </c>
      <c r="M739" s="14">
        <f>Econ!R739</f>
        <v>635.5</v>
      </c>
      <c r="N739" s="13">
        <f>Econ!S739</f>
        <v>664.25</v>
      </c>
      <c r="O739" s="13">
        <f>Econ!T739</f>
        <v>15</v>
      </c>
      <c r="P739" s="7" t="str">
        <f>Econ!A739</f>
        <v>Knight</v>
      </c>
      <c r="Q739" s="10">
        <f>Econ!C739</f>
        <v>279899.4319</v>
      </c>
      <c r="R739" s="10">
        <f>Econ!E739</f>
        <v>678.3222224</v>
      </c>
      <c r="S739" s="10">
        <f>Econ!G739</f>
        <v>35987.06981</v>
      </c>
      <c r="T739" s="10">
        <f>Econ!I739</f>
        <v>0</v>
      </c>
    </row>
    <row r="740">
      <c r="A740" s="7" t="str">
        <f>Econ!A740&amp;if(Econ!B740&lt;10,"_0"&amp;Econ!B740,"_"&amp;Econ!B740)</f>
        <v>Knight_139</v>
      </c>
      <c r="B740" s="7" t="str">
        <f>"T"&amp;Econ!B740&amp;" "&amp;Econ!A740</f>
        <v>T139 Knight</v>
      </c>
      <c r="C740" s="8">
        <f>Econ!B740</f>
        <v>139</v>
      </c>
      <c r="D740" s="7"/>
      <c r="E740" s="9"/>
      <c r="F740" s="9"/>
      <c r="G740" s="10">
        <f>Econ!L740</f>
        <v>174968</v>
      </c>
      <c r="H740" s="11" t="str">
        <f>Econ!M740</f>
        <v/>
      </c>
      <c r="I740" s="11">
        <f>Econ!N740</f>
        <v>2573</v>
      </c>
      <c r="J740" s="12">
        <f>Econ!O740</f>
        <v>2688</v>
      </c>
      <c r="K740" s="13">
        <f>Econ!P740</f>
        <v>43742</v>
      </c>
      <c r="L740" s="14">
        <f>Econ!Q740</f>
        <v>0</v>
      </c>
      <c r="M740" s="14">
        <f>Econ!R740</f>
        <v>643.25</v>
      </c>
      <c r="N740" s="13">
        <f>Econ!S740</f>
        <v>672</v>
      </c>
      <c r="O740" s="13">
        <f>Econ!T740</f>
        <v>15</v>
      </c>
      <c r="P740" s="7" t="str">
        <f>Econ!A740</f>
        <v>Knight</v>
      </c>
      <c r="Q740" s="10">
        <f>Econ!C740</f>
        <v>293894.4035</v>
      </c>
      <c r="R740" s="10">
        <f>Econ!E740</f>
        <v>691.8886669</v>
      </c>
      <c r="S740" s="10">
        <f>Econ!G740</f>
        <v>37786.4233</v>
      </c>
      <c r="T740" s="10">
        <f>Econ!I740</f>
        <v>0</v>
      </c>
    </row>
    <row r="741">
      <c r="A741" s="7" t="str">
        <f>Econ!A741&amp;if(Econ!B741&lt;10,"_0"&amp;Econ!B741,"_"&amp;Econ!B741)</f>
        <v>Knight_140</v>
      </c>
      <c r="B741" s="7" t="str">
        <f>"T"&amp;Econ!B741&amp;" "&amp;Econ!A741</f>
        <v>T140 Knight</v>
      </c>
      <c r="C741" s="8">
        <f>Econ!B741</f>
        <v>140</v>
      </c>
      <c r="D741" s="7"/>
      <c r="E741" s="9"/>
      <c r="F741" s="9"/>
      <c r="G741" s="10">
        <f>Econ!L741</f>
        <v>175717</v>
      </c>
      <c r="H741" s="11" t="str">
        <f>Econ!M741</f>
        <v/>
      </c>
      <c r="I741" s="11">
        <f>Econ!N741</f>
        <v>2604</v>
      </c>
      <c r="J741" s="12">
        <f>Econ!O741</f>
        <v>2719</v>
      </c>
      <c r="K741" s="13">
        <f>Econ!P741</f>
        <v>43929.25</v>
      </c>
      <c r="L741" s="14">
        <f>Econ!Q741</f>
        <v>0</v>
      </c>
      <c r="M741" s="14">
        <f>Econ!R741</f>
        <v>651</v>
      </c>
      <c r="N741" s="13">
        <f>Econ!S741</f>
        <v>679.75</v>
      </c>
      <c r="O741" s="13">
        <f>Econ!T741</f>
        <v>15</v>
      </c>
      <c r="P741" s="7" t="str">
        <f>Econ!A741</f>
        <v>Knight</v>
      </c>
      <c r="Q741" s="10">
        <f>Econ!C741</f>
        <v>308589.1236</v>
      </c>
      <c r="R741" s="10">
        <f>Econ!E741</f>
        <v>705.7264402</v>
      </c>
      <c r="S741" s="10">
        <f>Econ!G741</f>
        <v>39675.74447</v>
      </c>
      <c r="T741" s="10">
        <f>Econ!I741</f>
        <v>0</v>
      </c>
    </row>
    <row r="742">
      <c r="A742" s="7" t="str">
        <f>Econ!A742&amp;if(Econ!B742&lt;10,"_0"&amp;Econ!B742,"_"&amp;Econ!B742)</f>
        <v>Knight_141</v>
      </c>
      <c r="B742" s="7" t="str">
        <f>"T"&amp;Econ!B742&amp;" "&amp;Econ!A742</f>
        <v>T141 Knight</v>
      </c>
      <c r="C742" s="8">
        <f>Econ!B742</f>
        <v>141</v>
      </c>
      <c r="D742" s="7"/>
      <c r="E742" s="9"/>
      <c r="F742" s="9"/>
      <c r="G742" s="10">
        <f>Econ!L742</f>
        <v>176469</v>
      </c>
      <c r="H742" s="11" t="str">
        <f>Econ!M742</f>
        <v/>
      </c>
      <c r="I742" s="11">
        <f>Econ!N742</f>
        <v>2635</v>
      </c>
      <c r="J742" s="12">
        <f>Econ!O742</f>
        <v>2750</v>
      </c>
      <c r="K742" s="13">
        <f>Econ!P742</f>
        <v>44117.25</v>
      </c>
      <c r="L742" s="14">
        <f>Econ!Q742</f>
        <v>0</v>
      </c>
      <c r="M742" s="14">
        <f>Econ!R742</f>
        <v>658.75</v>
      </c>
      <c r="N742" s="13">
        <f>Econ!S742</f>
        <v>687.5</v>
      </c>
      <c r="O742" s="13">
        <f>Econ!T742</f>
        <v>15</v>
      </c>
      <c r="P742" s="7" t="str">
        <f>Econ!A742</f>
        <v>Knight</v>
      </c>
      <c r="Q742" s="10">
        <f>Econ!C742</f>
        <v>324018.5798</v>
      </c>
      <c r="R742" s="10">
        <f>Econ!E742</f>
        <v>719.840969</v>
      </c>
      <c r="S742" s="10">
        <f>Econ!G742</f>
        <v>41659.53169</v>
      </c>
      <c r="T742" s="10">
        <f>Econ!I742</f>
        <v>0</v>
      </c>
    </row>
    <row r="743">
      <c r="A743" s="7" t="str">
        <f>Econ!A743&amp;if(Econ!B743&lt;10,"_0"&amp;Econ!B743,"_"&amp;Econ!B743)</f>
        <v>Knight_142</v>
      </c>
      <c r="B743" s="7" t="str">
        <f>"T"&amp;Econ!B743&amp;" "&amp;Econ!A743</f>
        <v>T142 Knight</v>
      </c>
      <c r="C743" s="8">
        <f>Econ!B743</f>
        <v>142</v>
      </c>
      <c r="D743" s="7"/>
      <c r="E743" s="9"/>
      <c r="F743" s="9"/>
      <c r="G743" s="10">
        <f>Econ!L743</f>
        <v>177225</v>
      </c>
      <c r="H743" s="11" t="str">
        <f>Econ!M743</f>
        <v/>
      </c>
      <c r="I743" s="11">
        <f>Econ!N743</f>
        <v>2666</v>
      </c>
      <c r="J743" s="12">
        <f>Econ!O743</f>
        <v>2781</v>
      </c>
      <c r="K743" s="13">
        <f>Econ!P743</f>
        <v>44306.25</v>
      </c>
      <c r="L743" s="14">
        <f>Econ!Q743</f>
        <v>0</v>
      </c>
      <c r="M743" s="14">
        <f>Econ!R743</f>
        <v>666.5</v>
      </c>
      <c r="N743" s="13">
        <f>Econ!S743</f>
        <v>695.25</v>
      </c>
      <c r="O743" s="13">
        <f>Econ!T743</f>
        <v>15</v>
      </c>
      <c r="P743" s="7" t="str">
        <f>Econ!A743</f>
        <v>Knight</v>
      </c>
      <c r="Q743" s="10">
        <f>Econ!C743</f>
        <v>340219.5088</v>
      </c>
      <c r="R743" s="10">
        <f>Econ!E743</f>
        <v>734.2377884</v>
      </c>
      <c r="S743" s="10">
        <f>Econ!G743</f>
        <v>43742.50827</v>
      </c>
      <c r="T743" s="10">
        <f>Econ!I743</f>
        <v>0</v>
      </c>
    </row>
    <row r="744">
      <c r="A744" s="7" t="str">
        <f>Econ!A744&amp;if(Econ!B744&lt;10,"_0"&amp;Econ!B744,"_"&amp;Econ!B744)</f>
        <v>Knight_143</v>
      </c>
      <c r="B744" s="7" t="str">
        <f>"T"&amp;Econ!B744&amp;" "&amp;Econ!A744</f>
        <v>T143 Knight</v>
      </c>
      <c r="C744" s="8">
        <f>Econ!B744</f>
        <v>143</v>
      </c>
      <c r="D744" s="7"/>
      <c r="E744" s="9"/>
      <c r="F744" s="9"/>
      <c r="G744" s="10">
        <f>Econ!L744</f>
        <v>177985</v>
      </c>
      <c r="H744" s="11" t="str">
        <f>Econ!M744</f>
        <v/>
      </c>
      <c r="I744" s="11">
        <f>Econ!N744</f>
        <v>2697</v>
      </c>
      <c r="J744" s="12">
        <f>Econ!O744</f>
        <v>2812</v>
      </c>
      <c r="K744" s="13">
        <f>Econ!P744</f>
        <v>44496.25</v>
      </c>
      <c r="L744" s="14">
        <f>Econ!Q744</f>
        <v>0</v>
      </c>
      <c r="M744" s="14">
        <f>Econ!R744</f>
        <v>674.25</v>
      </c>
      <c r="N744" s="13">
        <f>Econ!S744</f>
        <v>703</v>
      </c>
      <c r="O744" s="13">
        <f>Econ!T744</f>
        <v>15</v>
      </c>
      <c r="P744" s="7" t="str">
        <f>Econ!A744</f>
        <v>Knight</v>
      </c>
      <c r="Q744" s="10">
        <f>Econ!C744</f>
        <v>357230.4842</v>
      </c>
      <c r="R744" s="10">
        <f>Econ!E744</f>
        <v>748.9225442</v>
      </c>
      <c r="S744" s="10">
        <f>Econ!G744</f>
        <v>45929.63369</v>
      </c>
      <c r="T744" s="10">
        <f>Econ!I744</f>
        <v>0</v>
      </c>
    </row>
    <row r="745">
      <c r="A745" s="7" t="str">
        <f>Econ!A745&amp;if(Econ!B745&lt;10,"_0"&amp;Econ!B745,"_"&amp;Econ!B745)</f>
        <v>Knight_144</v>
      </c>
      <c r="B745" s="7" t="str">
        <f>"T"&amp;Econ!B745&amp;" "&amp;Econ!A745</f>
        <v>T144 Knight</v>
      </c>
      <c r="C745" s="8">
        <f>Econ!B745</f>
        <v>144</v>
      </c>
      <c r="D745" s="7"/>
      <c r="E745" s="9"/>
      <c r="F745" s="9"/>
      <c r="G745" s="10">
        <f>Econ!L745</f>
        <v>178749</v>
      </c>
      <c r="H745" s="11" t="str">
        <f>Econ!M745</f>
        <v/>
      </c>
      <c r="I745" s="11">
        <f>Econ!N745</f>
        <v>2729</v>
      </c>
      <c r="J745" s="12">
        <f>Econ!O745</f>
        <v>2844</v>
      </c>
      <c r="K745" s="13">
        <f>Econ!P745</f>
        <v>44687.25</v>
      </c>
      <c r="L745" s="14">
        <f>Econ!Q745</f>
        <v>0</v>
      </c>
      <c r="M745" s="14">
        <f>Econ!R745</f>
        <v>682.25</v>
      </c>
      <c r="N745" s="13">
        <f>Econ!S745</f>
        <v>711</v>
      </c>
      <c r="O745" s="13">
        <f>Econ!T745</f>
        <v>15</v>
      </c>
      <c r="P745" s="7" t="str">
        <f>Econ!A745</f>
        <v>Knight</v>
      </c>
      <c r="Q745" s="10">
        <f>Econ!C745</f>
        <v>375092.0084</v>
      </c>
      <c r="R745" s="10">
        <f>Econ!E745</f>
        <v>763.900995</v>
      </c>
      <c r="S745" s="10">
        <f>Econ!G745</f>
        <v>48226.11537</v>
      </c>
      <c r="T745" s="10">
        <f>Econ!I745</f>
        <v>0</v>
      </c>
    </row>
    <row r="746">
      <c r="A746" s="7" t="str">
        <f>Econ!A746&amp;if(Econ!B746&lt;10,"_0"&amp;Econ!B746,"_"&amp;Econ!B746)</f>
        <v>Knight_145</v>
      </c>
      <c r="B746" s="7" t="str">
        <f>"T"&amp;Econ!B746&amp;" "&amp;Econ!A746</f>
        <v>T145 Knight</v>
      </c>
      <c r="C746" s="8">
        <f>Econ!B746</f>
        <v>145</v>
      </c>
      <c r="D746" s="7"/>
      <c r="E746" s="9"/>
      <c r="F746" s="9"/>
      <c r="G746" s="10">
        <f>Econ!L746</f>
        <v>179516</v>
      </c>
      <c r="H746" s="11" t="str">
        <f>Econ!M746</f>
        <v/>
      </c>
      <c r="I746" s="11">
        <f>Econ!N746</f>
        <v>2761</v>
      </c>
      <c r="J746" s="12">
        <f>Econ!O746</f>
        <v>2876</v>
      </c>
      <c r="K746" s="13">
        <f>Econ!P746</f>
        <v>44879</v>
      </c>
      <c r="L746" s="14">
        <f>Econ!Q746</f>
        <v>0</v>
      </c>
      <c r="M746" s="14">
        <f>Econ!R746</f>
        <v>690.25</v>
      </c>
      <c r="N746" s="13">
        <f>Econ!S746</f>
        <v>719</v>
      </c>
      <c r="O746" s="13">
        <f>Econ!T746</f>
        <v>16</v>
      </c>
      <c r="P746" s="7" t="str">
        <f>Econ!A746</f>
        <v>Knight</v>
      </c>
      <c r="Q746" s="10">
        <f>Econ!C746</f>
        <v>393846.6089</v>
      </c>
      <c r="R746" s="10">
        <f>Econ!E746</f>
        <v>779.1790149</v>
      </c>
      <c r="S746" s="10">
        <f>Econ!G746</f>
        <v>50637.42114</v>
      </c>
      <c r="T746" s="10">
        <f>Econ!I746</f>
        <v>0</v>
      </c>
    </row>
    <row r="747">
      <c r="A747" s="7" t="str">
        <f>Econ!A747&amp;if(Econ!B747&lt;10,"_0"&amp;Econ!B747,"_"&amp;Econ!B747)</f>
        <v>Knight_146</v>
      </c>
      <c r="B747" s="7" t="str">
        <f>"T"&amp;Econ!B747&amp;" "&amp;Econ!A747</f>
        <v>T146 Knight</v>
      </c>
      <c r="C747" s="8">
        <f>Econ!B747</f>
        <v>146</v>
      </c>
      <c r="D747" s="7"/>
      <c r="E747" s="9"/>
      <c r="F747" s="9"/>
      <c r="G747" s="10">
        <f>Econ!L747</f>
        <v>180287</v>
      </c>
      <c r="H747" s="11" t="str">
        <f>Econ!M747</f>
        <v/>
      </c>
      <c r="I747" s="11">
        <f>Econ!N747</f>
        <v>2793</v>
      </c>
      <c r="J747" s="12">
        <f>Econ!O747</f>
        <v>2908</v>
      </c>
      <c r="K747" s="13">
        <f>Econ!P747</f>
        <v>45071.75</v>
      </c>
      <c r="L747" s="14">
        <f>Econ!Q747</f>
        <v>0</v>
      </c>
      <c r="M747" s="14">
        <f>Econ!R747</f>
        <v>698.25</v>
      </c>
      <c r="N747" s="13">
        <f>Econ!S747</f>
        <v>727</v>
      </c>
      <c r="O747" s="13">
        <f>Econ!T747</f>
        <v>16</v>
      </c>
      <c r="P747" s="7" t="str">
        <f>Econ!A747</f>
        <v>Knight</v>
      </c>
      <c r="Q747" s="10">
        <f>Econ!C747</f>
        <v>413538.9393</v>
      </c>
      <c r="R747" s="10">
        <f>Econ!E747</f>
        <v>794.7625952</v>
      </c>
      <c r="S747" s="10">
        <f>Econ!G747</f>
        <v>53169.2922</v>
      </c>
      <c r="T747" s="10">
        <f>Econ!I747</f>
        <v>0</v>
      </c>
    </row>
    <row r="748">
      <c r="A748" s="7" t="str">
        <f>Econ!A748&amp;if(Econ!B748&lt;10,"_0"&amp;Econ!B748,"_"&amp;Econ!B748)</f>
        <v>Knight_147</v>
      </c>
      <c r="B748" s="7" t="str">
        <f>"T"&amp;Econ!B748&amp;" "&amp;Econ!A748</f>
        <v>T147 Knight</v>
      </c>
      <c r="C748" s="8">
        <f>Econ!B748</f>
        <v>147</v>
      </c>
      <c r="D748" s="7"/>
      <c r="E748" s="9"/>
      <c r="F748" s="9"/>
      <c r="G748" s="10">
        <f>Econ!L748</f>
        <v>181062</v>
      </c>
      <c r="H748" s="11" t="str">
        <f>Econ!M748</f>
        <v/>
      </c>
      <c r="I748" s="11">
        <f>Econ!N748</f>
        <v>2825</v>
      </c>
      <c r="J748" s="12">
        <f>Econ!O748</f>
        <v>2940</v>
      </c>
      <c r="K748" s="13">
        <f>Econ!P748</f>
        <v>45265.5</v>
      </c>
      <c r="L748" s="14">
        <f>Econ!Q748</f>
        <v>0</v>
      </c>
      <c r="M748" s="14">
        <f>Econ!R748</f>
        <v>706.25</v>
      </c>
      <c r="N748" s="13">
        <f>Econ!S748</f>
        <v>735</v>
      </c>
      <c r="O748" s="13">
        <f>Econ!T748</f>
        <v>16</v>
      </c>
      <c r="P748" s="7" t="str">
        <f>Econ!A748</f>
        <v>Knight</v>
      </c>
      <c r="Q748" s="10">
        <f>Econ!C748</f>
        <v>434215.8863</v>
      </c>
      <c r="R748" s="10">
        <f>Econ!E748</f>
        <v>810.6578471</v>
      </c>
      <c r="S748" s="10">
        <f>Econ!G748</f>
        <v>55827.75681</v>
      </c>
      <c r="T748" s="10">
        <f>Econ!I748</f>
        <v>0</v>
      </c>
    </row>
    <row r="749">
      <c r="A749" s="7" t="str">
        <f>Econ!A749&amp;if(Econ!B749&lt;10,"_0"&amp;Econ!B749,"_"&amp;Econ!B749)</f>
        <v>Knight_148</v>
      </c>
      <c r="B749" s="7" t="str">
        <f>"T"&amp;Econ!B749&amp;" "&amp;Econ!A749</f>
        <v>T148 Knight</v>
      </c>
      <c r="C749" s="8">
        <f>Econ!B749</f>
        <v>148</v>
      </c>
      <c r="D749" s="7"/>
      <c r="E749" s="9"/>
      <c r="F749" s="9"/>
      <c r="G749" s="10">
        <f>Econ!L749</f>
        <v>181840</v>
      </c>
      <c r="H749" s="11" t="str">
        <f>Econ!M749</f>
        <v/>
      </c>
      <c r="I749" s="11">
        <f>Econ!N749</f>
        <v>2857</v>
      </c>
      <c r="J749" s="12">
        <f>Econ!O749</f>
        <v>2972</v>
      </c>
      <c r="K749" s="13">
        <f>Econ!P749</f>
        <v>45460</v>
      </c>
      <c r="L749" s="14">
        <f>Econ!Q749</f>
        <v>0</v>
      </c>
      <c r="M749" s="14">
        <f>Econ!R749</f>
        <v>714.25</v>
      </c>
      <c r="N749" s="13">
        <f>Econ!S749</f>
        <v>743</v>
      </c>
      <c r="O749" s="13">
        <f>Econ!T749</f>
        <v>16</v>
      </c>
      <c r="P749" s="7" t="str">
        <f>Econ!A749</f>
        <v>Knight</v>
      </c>
      <c r="Q749" s="10">
        <f>Econ!C749</f>
        <v>455926.6806</v>
      </c>
      <c r="R749" s="10">
        <f>Econ!E749</f>
        <v>826.8710041</v>
      </c>
      <c r="S749" s="10">
        <f>Econ!G749</f>
        <v>58619.14465</v>
      </c>
      <c r="T749" s="10">
        <f>Econ!I749</f>
        <v>0</v>
      </c>
    </row>
    <row r="750">
      <c r="A750" s="7" t="str">
        <f>Econ!A750&amp;if(Econ!B750&lt;10,"_0"&amp;Econ!B750,"_"&amp;Econ!B750)</f>
        <v>Knight_149</v>
      </c>
      <c r="B750" s="7" t="str">
        <f>"T"&amp;Econ!B750&amp;" "&amp;Econ!A750</f>
        <v>T149 Knight</v>
      </c>
      <c r="C750" s="8">
        <f>Econ!B750</f>
        <v>149</v>
      </c>
      <c r="D750" s="7"/>
      <c r="E750" s="9"/>
      <c r="F750" s="9"/>
      <c r="G750" s="10">
        <f>Econ!L750</f>
        <v>182622</v>
      </c>
      <c r="H750" s="11" t="str">
        <f>Econ!M750</f>
        <v/>
      </c>
      <c r="I750" s="11">
        <f>Econ!N750</f>
        <v>2889</v>
      </c>
      <c r="J750" s="12">
        <f>Econ!O750</f>
        <v>3004</v>
      </c>
      <c r="K750" s="13">
        <f>Econ!P750</f>
        <v>45655.5</v>
      </c>
      <c r="L750" s="14">
        <f>Econ!Q750</f>
        <v>0</v>
      </c>
      <c r="M750" s="14">
        <f>Econ!R750</f>
        <v>722.25</v>
      </c>
      <c r="N750" s="13">
        <f>Econ!S750</f>
        <v>751</v>
      </c>
      <c r="O750" s="13">
        <f>Econ!T750</f>
        <v>16</v>
      </c>
      <c r="P750" s="7" t="str">
        <f>Econ!A750</f>
        <v>Knight</v>
      </c>
      <c r="Q750" s="10">
        <f>Econ!C750</f>
        <v>478723.0146</v>
      </c>
      <c r="R750" s="10">
        <f>Econ!E750</f>
        <v>843.4084242</v>
      </c>
      <c r="S750" s="10">
        <f>Econ!G750</f>
        <v>61550.10188</v>
      </c>
      <c r="T750" s="10">
        <f>Econ!I750</f>
        <v>0</v>
      </c>
    </row>
    <row r="751">
      <c r="A751" s="7" t="str">
        <f>Econ!A751&amp;if(Econ!B751&lt;10,"_0"&amp;Econ!B751,"_"&amp;Econ!B751)</f>
        <v>Knight_150</v>
      </c>
      <c r="B751" s="7" t="str">
        <f>"T"&amp;Econ!B751&amp;" "&amp;Econ!A751</f>
        <v>T150 Knight</v>
      </c>
      <c r="C751" s="8">
        <f>Econ!B751</f>
        <v>150</v>
      </c>
      <c r="D751" s="7"/>
      <c r="E751" s="9"/>
      <c r="F751" s="9"/>
      <c r="G751" s="10">
        <f>Econ!L751</f>
        <v>183408</v>
      </c>
      <c r="H751" s="11" t="str">
        <f>Econ!M751</f>
        <v/>
      </c>
      <c r="I751" s="11">
        <f>Econ!N751</f>
        <v>2921</v>
      </c>
      <c r="J751" s="12">
        <f>Econ!O751</f>
        <v>3036</v>
      </c>
      <c r="K751" s="13">
        <f>Econ!P751</f>
        <v>45852</v>
      </c>
      <c r="L751" s="14">
        <f>Econ!Q751</f>
        <v>0</v>
      </c>
      <c r="M751" s="14">
        <f>Econ!R751</f>
        <v>730.25</v>
      </c>
      <c r="N751" s="13">
        <f>Econ!S751</f>
        <v>759</v>
      </c>
      <c r="O751" s="13">
        <f>Econ!T751</f>
        <v>16</v>
      </c>
      <c r="P751" s="7" t="str">
        <f>Econ!A751</f>
        <v>Knight</v>
      </c>
      <c r="Q751" s="10">
        <f>Econ!C751</f>
        <v>502659.1654</v>
      </c>
      <c r="R751" s="10">
        <f>Econ!E751</f>
        <v>860.2765927</v>
      </c>
      <c r="S751" s="10">
        <f>Econ!G751</f>
        <v>64627.60697</v>
      </c>
      <c r="T751" s="10">
        <f>Econ!I751</f>
        <v>0</v>
      </c>
    </row>
    <row r="752">
      <c r="A752" s="7" t="str">
        <f>Econ!A752&amp;if(Econ!B752&lt;10,"_0"&amp;Econ!B752,"_"&amp;Econ!B752)</f>
        <v>Knight_151</v>
      </c>
      <c r="B752" s="7" t="str">
        <f>"T"&amp;Econ!B752&amp;" "&amp;Econ!A752</f>
        <v>T151 Knight</v>
      </c>
      <c r="C752" s="8">
        <f>Econ!B752</f>
        <v>151</v>
      </c>
      <c r="D752" s="7"/>
      <c r="E752" s="9"/>
      <c r="F752" s="9"/>
      <c r="G752" s="10">
        <f>Econ!L752</f>
        <v>184198</v>
      </c>
      <c r="H752" s="11" t="str">
        <f>Econ!M752</f>
        <v/>
      </c>
      <c r="I752" s="11">
        <f>Econ!N752</f>
        <v>2954</v>
      </c>
      <c r="J752" s="12">
        <f>Econ!O752</f>
        <v>3069</v>
      </c>
      <c r="K752" s="13">
        <f>Econ!P752</f>
        <v>46049.5</v>
      </c>
      <c r="L752" s="14">
        <f>Econ!Q752</f>
        <v>0</v>
      </c>
      <c r="M752" s="14">
        <f>Econ!R752</f>
        <v>738.5</v>
      </c>
      <c r="N752" s="13">
        <f>Econ!S752</f>
        <v>767.25</v>
      </c>
      <c r="O752" s="13">
        <f>Econ!T752</f>
        <v>16</v>
      </c>
      <c r="P752" s="7" t="str">
        <f>Econ!A752</f>
        <v>Knight</v>
      </c>
      <c r="Q752" s="10">
        <f>Econ!C752</f>
        <v>527792.1236</v>
      </c>
      <c r="R752" s="10">
        <f>Econ!E752</f>
        <v>877.4821245</v>
      </c>
      <c r="S752" s="10">
        <f>Econ!G752</f>
        <v>67858.98732</v>
      </c>
      <c r="T752" s="10">
        <f>Econ!I752</f>
        <v>0</v>
      </c>
    </row>
    <row r="753">
      <c r="A753" s="7" t="str">
        <f>Econ!A753&amp;if(Econ!B753&lt;10,"_0"&amp;Econ!B753,"_"&amp;Econ!B753)</f>
        <v>Knight_152</v>
      </c>
      <c r="B753" s="7" t="str">
        <f>"T"&amp;Econ!B753&amp;" "&amp;Econ!A753</f>
        <v>T152 Knight</v>
      </c>
      <c r="C753" s="8">
        <f>Econ!B753</f>
        <v>152</v>
      </c>
      <c r="D753" s="7"/>
      <c r="E753" s="9"/>
      <c r="F753" s="9"/>
      <c r="G753" s="10">
        <f>Econ!L753</f>
        <v>184991</v>
      </c>
      <c r="H753" s="11" t="str">
        <f>Econ!M753</f>
        <v/>
      </c>
      <c r="I753" s="11">
        <f>Econ!N753</f>
        <v>2987</v>
      </c>
      <c r="J753" s="12">
        <f>Econ!O753</f>
        <v>3102</v>
      </c>
      <c r="K753" s="13">
        <f>Econ!P753</f>
        <v>46247.75</v>
      </c>
      <c r="L753" s="14">
        <f>Econ!Q753</f>
        <v>0</v>
      </c>
      <c r="M753" s="14">
        <f>Econ!R753</f>
        <v>746.75</v>
      </c>
      <c r="N753" s="13">
        <f>Econ!S753</f>
        <v>775.5</v>
      </c>
      <c r="O753" s="13">
        <f>Econ!T753</f>
        <v>16</v>
      </c>
      <c r="P753" s="7" t="str">
        <f>Econ!A753</f>
        <v>Knight</v>
      </c>
      <c r="Q753" s="10">
        <f>Econ!C753</f>
        <v>554181.7298</v>
      </c>
      <c r="R753" s="10">
        <f>Econ!E753</f>
        <v>895.031767</v>
      </c>
      <c r="S753" s="10">
        <f>Econ!G753</f>
        <v>71251.93669</v>
      </c>
      <c r="T753" s="10">
        <f>Econ!I753</f>
        <v>0</v>
      </c>
    </row>
    <row r="754">
      <c r="A754" s="7" t="str">
        <f>Econ!A754&amp;if(Econ!B754&lt;10,"_0"&amp;Econ!B754,"_"&amp;Econ!B754)</f>
        <v>Knight_153</v>
      </c>
      <c r="B754" s="7" t="str">
        <f>"T"&amp;Econ!B754&amp;" "&amp;Econ!A754</f>
        <v>T153 Knight</v>
      </c>
      <c r="C754" s="8">
        <f>Econ!B754</f>
        <v>153</v>
      </c>
      <c r="D754" s="7"/>
      <c r="E754" s="9"/>
      <c r="F754" s="9"/>
      <c r="G754" s="10">
        <f>Econ!L754</f>
        <v>185788</v>
      </c>
      <c r="H754" s="11" t="str">
        <f>Econ!M754</f>
        <v/>
      </c>
      <c r="I754" s="11">
        <f>Econ!N754</f>
        <v>3020</v>
      </c>
      <c r="J754" s="12">
        <f>Econ!O754</f>
        <v>3135</v>
      </c>
      <c r="K754" s="13">
        <f>Econ!P754</f>
        <v>46447</v>
      </c>
      <c r="L754" s="14">
        <f>Econ!Q754</f>
        <v>0</v>
      </c>
      <c r="M754" s="14">
        <f>Econ!R754</f>
        <v>755</v>
      </c>
      <c r="N754" s="13">
        <f>Econ!S754</f>
        <v>783.75</v>
      </c>
      <c r="O754" s="13">
        <f>Econ!T754</f>
        <v>16</v>
      </c>
      <c r="P754" s="7" t="str">
        <f>Econ!A754</f>
        <v>Knight</v>
      </c>
      <c r="Q754" s="10">
        <f>Econ!C754</f>
        <v>581890.8163</v>
      </c>
      <c r="R754" s="10">
        <f>Econ!E754</f>
        <v>912.9324023</v>
      </c>
      <c r="S754" s="10">
        <f>Econ!G754</f>
        <v>74814.53352</v>
      </c>
      <c r="T754" s="10">
        <f>Econ!I754</f>
        <v>0</v>
      </c>
    </row>
    <row r="755">
      <c r="A755" s="7" t="str">
        <f>Econ!A755&amp;if(Econ!B755&lt;10,"_0"&amp;Econ!B755,"_"&amp;Econ!B755)</f>
        <v>Knight_154</v>
      </c>
      <c r="B755" s="7" t="str">
        <f>"T"&amp;Econ!B755&amp;" "&amp;Econ!A755</f>
        <v>T154 Knight</v>
      </c>
      <c r="C755" s="8">
        <f>Econ!B755</f>
        <v>154</v>
      </c>
      <c r="D755" s="7"/>
      <c r="E755" s="9"/>
      <c r="F755" s="9"/>
      <c r="G755" s="10">
        <f>Econ!L755</f>
        <v>186589</v>
      </c>
      <c r="H755" s="11" t="str">
        <f>Econ!M755</f>
        <v/>
      </c>
      <c r="I755" s="11">
        <f>Econ!N755</f>
        <v>3053</v>
      </c>
      <c r="J755" s="12">
        <f>Econ!O755</f>
        <v>3168</v>
      </c>
      <c r="K755" s="13">
        <f>Econ!P755</f>
        <v>46647.25</v>
      </c>
      <c r="L755" s="14">
        <f>Econ!Q755</f>
        <v>0</v>
      </c>
      <c r="M755" s="14">
        <f>Econ!R755</f>
        <v>763.25</v>
      </c>
      <c r="N755" s="13">
        <f>Econ!S755</f>
        <v>792</v>
      </c>
      <c r="O755" s="13">
        <f>Econ!T755</f>
        <v>16</v>
      </c>
      <c r="P755" s="7" t="str">
        <f>Econ!A755</f>
        <v>Knight</v>
      </c>
      <c r="Q755" s="10">
        <f>Econ!C755</f>
        <v>610985.3571</v>
      </c>
      <c r="R755" s="10">
        <f>Econ!E755</f>
        <v>931.1910504</v>
      </c>
      <c r="S755" s="10">
        <f>Econ!G755</f>
        <v>78555.2602</v>
      </c>
      <c r="T755" s="10">
        <f>Econ!I755</f>
        <v>0</v>
      </c>
    </row>
    <row r="756">
      <c r="A756" s="7" t="str">
        <f>Econ!A756&amp;if(Econ!B756&lt;10,"_0"&amp;Econ!B756,"_"&amp;Econ!B756)</f>
        <v>Knight_155</v>
      </c>
      <c r="B756" s="7" t="str">
        <f>"T"&amp;Econ!B756&amp;" "&amp;Econ!A756</f>
        <v>T155 Knight</v>
      </c>
      <c r="C756" s="8">
        <f>Econ!B756</f>
        <v>155</v>
      </c>
      <c r="D756" s="7"/>
      <c r="E756" s="9"/>
      <c r="F756" s="9"/>
      <c r="G756" s="10">
        <f>Econ!L756</f>
        <v>187393</v>
      </c>
      <c r="H756" s="11" t="str">
        <f>Econ!M756</f>
        <v/>
      </c>
      <c r="I756" s="11">
        <f>Econ!N756</f>
        <v>3086</v>
      </c>
      <c r="J756" s="12">
        <f>Econ!O756</f>
        <v>3201</v>
      </c>
      <c r="K756" s="13">
        <f>Econ!P756</f>
        <v>46848.25</v>
      </c>
      <c r="L756" s="14">
        <f>Econ!Q756</f>
        <v>0</v>
      </c>
      <c r="M756" s="14">
        <f>Econ!R756</f>
        <v>771.5</v>
      </c>
      <c r="N756" s="13">
        <f>Econ!S756</f>
        <v>800.25</v>
      </c>
      <c r="O756" s="13">
        <f>Econ!T756</f>
        <v>17</v>
      </c>
      <c r="P756" s="7" t="str">
        <f>Econ!A756</f>
        <v>Knight</v>
      </c>
      <c r="Q756" s="10">
        <f>Econ!C756</f>
        <v>641534.625</v>
      </c>
      <c r="R756" s="10">
        <f>Econ!E756</f>
        <v>949.8148714</v>
      </c>
      <c r="S756" s="10">
        <f>Econ!G756</f>
        <v>82483.02321</v>
      </c>
      <c r="T756" s="10">
        <f>Econ!I756</f>
        <v>0</v>
      </c>
    </row>
    <row r="757">
      <c r="A757" s="7" t="str">
        <f>Econ!A757&amp;if(Econ!B757&lt;10,"_0"&amp;Econ!B757,"_"&amp;Econ!B757)</f>
        <v>Knight_156</v>
      </c>
      <c r="B757" s="7" t="str">
        <f>"T"&amp;Econ!B757&amp;" "&amp;Econ!A757</f>
        <v>T156 Knight</v>
      </c>
      <c r="C757" s="8">
        <f>Econ!B757</f>
        <v>156</v>
      </c>
      <c r="D757" s="7"/>
      <c r="E757" s="9"/>
      <c r="F757" s="9"/>
      <c r="G757" s="10">
        <f>Econ!L757</f>
        <v>188201</v>
      </c>
      <c r="H757" s="11" t="str">
        <f>Econ!M757</f>
        <v/>
      </c>
      <c r="I757" s="11">
        <f>Econ!N757</f>
        <v>3119</v>
      </c>
      <c r="J757" s="12">
        <f>Econ!O757</f>
        <v>3234</v>
      </c>
      <c r="K757" s="13">
        <f>Econ!P757</f>
        <v>47050.25</v>
      </c>
      <c r="L757" s="14">
        <f>Econ!Q757</f>
        <v>0</v>
      </c>
      <c r="M757" s="14">
        <f>Econ!R757</f>
        <v>779.75</v>
      </c>
      <c r="N757" s="13">
        <f>Econ!S757</f>
        <v>808.5</v>
      </c>
      <c r="O757" s="13">
        <f>Econ!T757</f>
        <v>17</v>
      </c>
      <c r="P757" s="7" t="str">
        <f>Econ!A757</f>
        <v>Knight</v>
      </c>
      <c r="Q757" s="10">
        <f>Econ!C757</f>
        <v>673611.3562</v>
      </c>
      <c r="R757" s="10">
        <f>Econ!E757</f>
        <v>968.8111688</v>
      </c>
      <c r="S757" s="10">
        <f>Econ!G757</f>
        <v>86607.17437</v>
      </c>
      <c r="T757" s="10">
        <f>Econ!I757</f>
        <v>0</v>
      </c>
    </row>
    <row r="758">
      <c r="A758" s="7" t="str">
        <f>Econ!A758&amp;if(Econ!B758&lt;10,"_0"&amp;Econ!B758,"_"&amp;Econ!B758)</f>
        <v>Knight_157</v>
      </c>
      <c r="B758" s="7" t="str">
        <f>"T"&amp;Econ!B758&amp;" "&amp;Econ!A758</f>
        <v>T157 Knight</v>
      </c>
      <c r="C758" s="8">
        <f>Econ!B758</f>
        <v>157</v>
      </c>
      <c r="D758" s="7"/>
      <c r="E758" s="9"/>
      <c r="F758" s="9"/>
      <c r="G758" s="10">
        <f>Econ!L758</f>
        <v>189012</v>
      </c>
      <c r="H758" s="11" t="str">
        <f>Econ!M758</f>
        <v/>
      </c>
      <c r="I758" s="11">
        <f>Econ!N758</f>
        <v>3152</v>
      </c>
      <c r="J758" s="12">
        <f>Econ!O758</f>
        <v>3267</v>
      </c>
      <c r="K758" s="13">
        <f>Econ!P758</f>
        <v>47253</v>
      </c>
      <c r="L758" s="14">
        <f>Econ!Q758</f>
        <v>0</v>
      </c>
      <c r="M758" s="14">
        <f>Econ!R758</f>
        <v>788</v>
      </c>
      <c r="N758" s="13">
        <f>Econ!S758</f>
        <v>816.75</v>
      </c>
      <c r="O758" s="13">
        <f>Econ!T758</f>
        <v>17</v>
      </c>
      <c r="P758" s="7" t="str">
        <f>Econ!A758</f>
        <v>Knight</v>
      </c>
      <c r="Q758" s="10">
        <f>Econ!C758</f>
        <v>707291.924</v>
      </c>
      <c r="R758" s="10">
        <f>Econ!E758</f>
        <v>988.1873922</v>
      </c>
      <c r="S758" s="10">
        <f>Econ!G758</f>
        <v>90937.53309</v>
      </c>
      <c r="T758" s="10">
        <f>Econ!I758</f>
        <v>0</v>
      </c>
    </row>
    <row r="759">
      <c r="A759" s="7" t="str">
        <f>Econ!A759&amp;if(Econ!B759&lt;10,"_0"&amp;Econ!B759,"_"&amp;Econ!B759)</f>
        <v>Knight_158</v>
      </c>
      <c r="B759" s="7" t="str">
        <f>"T"&amp;Econ!B759&amp;" "&amp;Econ!A759</f>
        <v>T158 Knight</v>
      </c>
      <c r="C759" s="8">
        <f>Econ!B759</f>
        <v>158</v>
      </c>
      <c r="D759" s="7"/>
      <c r="E759" s="9"/>
      <c r="F759" s="9"/>
      <c r="G759" s="10">
        <f>Econ!L759</f>
        <v>189827</v>
      </c>
      <c r="H759" s="11" t="str">
        <f>Econ!M759</f>
        <v/>
      </c>
      <c r="I759" s="11">
        <f>Econ!N759</f>
        <v>3186</v>
      </c>
      <c r="J759" s="12">
        <f>Econ!O759</f>
        <v>3301</v>
      </c>
      <c r="K759" s="13">
        <f>Econ!P759</f>
        <v>47456.75</v>
      </c>
      <c r="L759" s="14">
        <f>Econ!Q759</f>
        <v>0</v>
      </c>
      <c r="M759" s="14">
        <f>Econ!R759</f>
        <v>796.5</v>
      </c>
      <c r="N759" s="13">
        <f>Econ!S759</f>
        <v>825.25</v>
      </c>
      <c r="O759" s="13">
        <f>Econ!T759</f>
        <v>17</v>
      </c>
      <c r="P759" s="7" t="str">
        <f>Econ!A759</f>
        <v>Knight</v>
      </c>
      <c r="Q759" s="10">
        <f>Econ!C759</f>
        <v>742656.5202</v>
      </c>
      <c r="R759" s="10">
        <f>Econ!E759</f>
        <v>1007.95114</v>
      </c>
      <c r="S759" s="10">
        <f>Econ!G759</f>
        <v>95484.40974</v>
      </c>
      <c r="T759" s="10">
        <f>Econ!I759</f>
        <v>0</v>
      </c>
    </row>
    <row r="760">
      <c r="A760" s="7" t="str">
        <f>Econ!A760&amp;if(Econ!B760&lt;10,"_0"&amp;Econ!B760,"_"&amp;Econ!B760)</f>
        <v>Knight_159</v>
      </c>
      <c r="B760" s="7" t="str">
        <f>"T"&amp;Econ!B760&amp;" "&amp;Econ!A760</f>
        <v>T159 Knight</v>
      </c>
      <c r="C760" s="8">
        <f>Econ!B760</f>
        <v>159</v>
      </c>
      <c r="D760" s="7"/>
      <c r="E760" s="9"/>
      <c r="F760" s="9"/>
      <c r="G760" s="10">
        <f>Econ!L760</f>
        <v>190646</v>
      </c>
      <c r="H760" s="11" t="str">
        <f>Econ!M760</f>
        <v/>
      </c>
      <c r="I760" s="11">
        <f>Econ!N760</f>
        <v>3220</v>
      </c>
      <c r="J760" s="12">
        <f>Econ!O760</f>
        <v>3335</v>
      </c>
      <c r="K760" s="13">
        <f>Econ!P760</f>
        <v>47661.5</v>
      </c>
      <c r="L760" s="14">
        <f>Econ!Q760</f>
        <v>0</v>
      </c>
      <c r="M760" s="14">
        <f>Econ!R760</f>
        <v>805</v>
      </c>
      <c r="N760" s="13">
        <f>Econ!S760</f>
        <v>833.75</v>
      </c>
      <c r="O760" s="13">
        <f>Econ!T760</f>
        <v>17</v>
      </c>
      <c r="P760" s="7" t="str">
        <f>Econ!A760</f>
        <v>Knight</v>
      </c>
      <c r="Q760" s="10">
        <f>Econ!C760</f>
        <v>779789.3462</v>
      </c>
      <c r="R760" s="10">
        <f>Econ!E760</f>
        <v>1028.110163</v>
      </c>
      <c r="S760" s="10">
        <f>Econ!G760</f>
        <v>100258.6302</v>
      </c>
      <c r="T760" s="10">
        <f>Econ!I760</f>
        <v>0</v>
      </c>
    </row>
    <row r="761">
      <c r="A761" s="7" t="str">
        <f>Econ!A761&amp;if(Econ!B761&lt;10,"_0"&amp;Econ!B761,"_"&amp;Econ!B761)</f>
        <v>Knight_160</v>
      </c>
      <c r="B761" s="7" t="str">
        <f>"T"&amp;Econ!B761&amp;" "&amp;Econ!A761</f>
        <v>T160 Knight</v>
      </c>
      <c r="C761" s="8">
        <f>Econ!B761</f>
        <v>160</v>
      </c>
      <c r="D761" s="7"/>
      <c r="E761" s="9"/>
      <c r="F761" s="9"/>
      <c r="G761" s="10">
        <f>Econ!L761</f>
        <v>191468</v>
      </c>
      <c r="H761" s="11" t="str">
        <f>Econ!M761</f>
        <v/>
      </c>
      <c r="I761" s="11">
        <f>Econ!N761</f>
        <v>3254</v>
      </c>
      <c r="J761" s="12">
        <f>Econ!O761</f>
        <v>3369</v>
      </c>
      <c r="K761" s="13">
        <f>Econ!P761</f>
        <v>47867</v>
      </c>
      <c r="L761" s="14">
        <f>Econ!Q761</f>
        <v>0</v>
      </c>
      <c r="M761" s="14">
        <f>Econ!R761</f>
        <v>813.5</v>
      </c>
      <c r="N761" s="13">
        <f>Econ!S761</f>
        <v>842.25</v>
      </c>
      <c r="O761" s="13">
        <f>Econ!T761</f>
        <v>17</v>
      </c>
      <c r="P761" s="7" t="str">
        <f>Econ!A761</f>
        <v>Knight</v>
      </c>
      <c r="Q761" s="10">
        <f>Econ!C761</f>
        <v>818778.8135</v>
      </c>
      <c r="R761" s="10">
        <f>Econ!E761</f>
        <v>1048.672366</v>
      </c>
      <c r="S761" s="10">
        <f>Econ!G761</f>
        <v>105271.5617</v>
      </c>
      <c r="T761" s="10">
        <f>Econ!I761</f>
        <v>0</v>
      </c>
    </row>
    <row r="762">
      <c r="A762" s="7" t="str">
        <f>Econ!A762&amp;if(Econ!B762&lt;10,"_0"&amp;Econ!B762,"_"&amp;Econ!B762)</f>
        <v>Knight_161</v>
      </c>
      <c r="B762" s="7" t="str">
        <f>"T"&amp;Econ!B762&amp;" "&amp;Econ!A762</f>
        <v>T161 Knight</v>
      </c>
      <c r="C762" s="8">
        <f>Econ!B762</f>
        <v>161</v>
      </c>
      <c r="D762" s="7"/>
      <c r="E762" s="9"/>
      <c r="F762" s="9"/>
      <c r="G762" s="10">
        <f>Econ!L762</f>
        <v>192294</v>
      </c>
      <c r="H762" s="11" t="str">
        <f>Econ!M762</f>
        <v/>
      </c>
      <c r="I762" s="11">
        <f>Econ!N762</f>
        <v>3288</v>
      </c>
      <c r="J762" s="12">
        <f>Econ!O762</f>
        <v>3403</v>
      </c>
      <c r="K762" s="13">
        <f>Econ!P762</f>
        <v>48073.5</v>
      </c>
      <c r="L762" s="14">
        <f>Econ!Q762</f>
        <v>0</v>
      </c>
      <c r="M762" s="14">
        <f>Econ!R762</f>
        <v>822</v>
      </c>
      <c r="N762" s="13">
        <f>Econ!S762</f>
        <v>850.75</v>
      </c>
      <c r="O762" s="13">
        <f>Econ!T762</f>
        <v>17</v>
      </c>
      <c r="P762" s="7" t="str">
        <f>Econ!A762</f>
        <v>Knight</v>
      </c>
      <c r="Q762" s="10">
        <f>Econ!C762</f>
        <v>859717.7542</v>
      </c>
      <c r="R762" s="10">
        <f>Econ!E762</f>
        <v>1069.645813</v>
      </c>
      <c r="S762" s="10">
        <f>Econ!G762</f>
        <v>110535.1398</v>
      </c>
      <c r="T762" s="10">
        <f>Econ!I762</f>
        <v>0</v>
      </c>
    </row>
    <row r="763">
      <c r="A763" s="7" t="str">
        <f>Econ!A763&amp;if(Econ!B763&lt;10,"_0"&amp;Econ!B763,"_"&amp;Econ!B763)</f>
        <v>Knight_162</v>
      </c>
      <c r="B763" s="7" t="str">
        <f>"T"&amp;Econ!B763&amp;" "&amp;Econ!A763</f>
        <v>T162 Knight</v>
      </c>
      <c r="C763" s="8">
        <f>Econ!B763</f>
        <v>162</v>
      </c>
      <c r="D763" s="7"/>
      <c r="E763" s="9"/>
      <c r="F763" s="9"/>
      <c r="G763" s="10">
        <f>Econ!L763</f>
        <v>193124</v>
      </c>
      <c r="H763" s="11" t="str">
        <f>Econ!M763</f>
        <v/>
      </c>
      <c r="I763" s="11">
        <f>Econ!N763</f>
        <v>3322</v>
      </c>
      <c r="J763" s="12">
        <f>Econ!O763</f>
        <v>3437</v>
      </c>
      <c r="K763" s="13">
        <f>Econ!P763</f>
        <v>48281</v>
      </c>
      <c r="L763" s="14">
        <f>Econ!Q763</f>
        <v>0</v>
      </c>
      <c r="M763" s="14">
        <f>Econ!R763</f>
        <v>830.5</v>
      </c>
      <c r="N763" s="13">
        <f>Econ!S763</f>
        <v>859.25</v>
      </c>
      <c r="O763" s="13">
        <f>Econ!T763</f>
        <v>17</v>
      </c>
      <c r="P763" s="7" t="str">
        <f>Econ!A763</f>
        <v>Knight</v>
      </c>
      <c r="Q763" s="10">
        <f>Econ!C763</f>
        <v>902703.6419</v>
      </c>
      <c r="R763" s="10">
        <f>Econ!E763</f>
        <v>1091.03873</v>
      </c>
      <c r="S763" s="10">
        <f>Econ!G763</f>
        <v>116061.8968</v>
      </c>
      <c r="T763" s="10">
        <f>Econ!I763</f>
        <v>0</v>
      </c>
    </row>
    <row r="764">
      <c r="A764" s="7" t="str">
        <f>Econ!A764&amp;if(Econ!B764&lt;10,"_0"&amp;Econ!B764,"_"&amp;Econ!B764)</f>
        <v>Knight_163</v>
      </c>
      <c r="B764" s="7" t="str">
        <f>"T"&amp;Econ!B764&amp;" "&amp;Econ!A764</f>
        <v>T163 Knight</v>
      </c>
      <c r="C764" s="8">
        <f>Econ!B764</f>
        <v>163</v>
      </c>
      <c r="D764" s="7"/>
      <c r="E764" s="9"/>
      <c r="F764" s="9"/>
      <c r="G764" s="10">
        <f>Econ!L764</f>
        <v>193957</v>
      </c>
      <c r="H764" s="11" t="str">
        <f>Econ!M764</f>
        <v/>
      </c>
      <c r="I764" s="11">
        <f>Econ!N764</f>
        <v>3356</v>
      </c>
      <c r="J764" s="12">
        <f>Econ!O764</f>
        <v>3471</v>
      </c>
      <c r="K764" s="13">
        <f>Econ!P764</f>
        <v>48489.25</v>
      </c>
      <c r="L764" s="14">
        <f>Econ!Q764</f>
        <v>0</v>
      </c>
      <c r="M764" s="14">
        <f>Econ!R764</f>
        <v>839</v>
      </c>
      <c r="N764" s="13">
        <f>Econ!S764</f>
        <v>867.75</v>
      </c>
      <c r="O764" s="13">
        <f>Econ!T764</f>
        <v>17</v>
      </c>
      <c r="P764" s="7" t="str">
        <f>Econ!A764</f>
        <v>Knight</v>
      </c>
      <c r="Q764" s="10">
        <f>Econ!C764</f>
        <v>947838.824</v>
      </c>
      <c r="R764" s="10">
        <f>Econ!E764</f>
        <v>1112.859504</v>
      </c>
      <c r="S764" s="10">
        <f>Econ!G764</f>
        <v>121864.9917</v>
      </c>
      <c r="T764" s="10">
        <f>Econ!I764</f>
        <v>0</v>
      </c>
    </row>
    <row r="765">
      <c r="A765" s="7" t="str">
        <f>Econ!A765&amp;if(Econ!B765&lt;10,"_0"&amp;Econ!B765,"_"&amp;Econ!B765)</f>
        <v>Knight_164</v>
      </c>
      <c r="B765" s="7" t="str">
        <f>"T"&amp;Econ!B765&amp;" "&amp;Econ!A765</f>
        <v>T164 Knight</v>
      </c>
      <c r="C765" s="8">
        <f>Econ!B765</f>
        <v>164</v>
      </c>
      <c r="D765" s="7"/>
      <c r="E765" s="9"/>
      <c r="F765" s="9"/>
      <c r="G765" s="10">
        <f>Econ!L765</f>
        <v>194794</v>
      </c>
      <c r="H765" s="11" t="str">
        <f>Econ!M765</f>
        <v/>
      </c>
      <c r="I765" s="11">
        <f>Econ!N765</f>
        <v>3390</v>
      </c>
      <c r="J765" s="12">
        <f>Econ!O765</f>
        <v>3505</v>
      </c>
      <c r="K765" s="13">
        <f>Econ!P765</f>
        <v>48698.5</v>
      </c>
      <c r="L765" s="14">
        <f>Econ!Q765</f>
        <v>0</v>
      </c>
      <c r="M765" s="14">
        <f>Econ!R765</f>
        <v>847.5</v>
      </c>
      <c r="N765" s="13">
        <f>Econ!S765</f>
        <v>876.25</v>
      </c>
      <c r="O765" s="13">
        <f>Econ!T765</f>
        <v>17</v>
      </c>
      <c r="P765" s="7" t="str">
        <f>Econ!A765</f>
        <v>Knight</v>
      </c>
      <c r="Q765" s="10">
        <f>Econ!C765</f>
        <v>995230.7652</v>
      </c>
      <c r="R765" s="10">
        <f>Econ!E765</f>
        <v>1135.116694</v>
      </c>
      <c r="S765" s="10">
        <f>Econ!G765</f>
        <v>127958.2412</v>
      </c>
      <c r="T765" s="10">
        <f>Econ!I765</f>
        <v>0</v>
      </c>
    </row>
    <row r="766">
      <c r="A766" s="7" t="str">
        <f>Econ!A766&amp;if(Econ!B766&lt;10,"_0"&amp;Econ!B766,"_"&amp;Econ!B766)</f>
        <v>Knight_165</v>
      </c>
      <c r="B766" s="7" t="str">
        <f>"T"&amp;Econ!B766&amp;" "&amp;Econ!A766</f>
        <v>T165 Knight</v>
      </c>
      <c r="C766" s="8">
        <f>Econ!B766</f>
        <v>165</v>
      </c>
      <c r="D766" s="7"/>
      <c r="E766" s="9"/>
      <c r="F766" s="9"/>
      <c r="G766" s="10">
        <f>Econ!L766</f>
        <v>195634</v>
      </c>
      <c r="H766" s="11" t="str">
        <f>Econ!M766</f>
        <v/>
      </c>
      <c r="I766" s="11">
        <f>Econ!N766</f>
        <v>3425</v>
      </c>
      <c r="J766" s="12">
        <f>Econ!O766</f>
        <v>3540</v>
      </c>
      <c r="K766" s="13">
        <f>Econ!P766</f>
        <v>48908.5</v>
      </c>
      <c r="L766" s="14">
        <f>Econ!Q766</f>
        <v>0</v>
      </c>
      <c r="M766" s="14">
        <f>Econ!R766</f>
        <v>856.25</v>
      </c>
      <c r="N766" s="13">
        <f>Econ!S766</f>
        <v>885</v>
      </c>
      <c r="O766" s="13">
        <f>Econ!T766</f>
        <v>18</v>
      </c>
      <c r="P766" s="7" t="str">
        <f>Econ!A766</f>
        <v>Knight</v>
      </c>
      <c r="Q766" s="10">
        <f>Econ!C766</f>
        <v>1044992.303</v>
      </c>
      <c r="R766" s="10">
        <f>Econ!E766</f>
        <v>1157.819028</v>
      </c>
      <c r="S766" s="10">
        <f>Econ!G766</f>
        <v>134356.1533</v>
      </c>
      <c r="T766" s="10">
        <f>Econ!I766</f>
        <v>0</v>
      </c>
    </row>
    <row r="767">
      <c r="A767" s="7" t="str">
        <f>Econ!A767&amp;if(Econ!B767&lt;10,"_0"&amp;Econ!B767,"_"&amp;Econ!B767)</f>
        <v>Knight_166</v>
      </c>
      <c r="B767" s="7" t="str">
        <f>"T"&amp;Econ!B767&amp;" "&amp;Econ!A767</f>
        <v>T166 Knight</v>
      </c>
      <c r="C767" s="8">
        <f>Econ!B767</f>
        <v>166</v>
      </c>
      <c r="D767" s="7"/>
      <c r="E767" s="9"/>
      <c r="F767" s="9"/>
      <c r="G767" s="10">
        <f>Econ!L767</f>
        <v>196478</v>
      </c>
      <c r="H767" s="11" t="str">
        <f>Econ!M767</f>
        <v/>
      </c>
      <c r="I767" s="11">
        <f>Econ!N767</f>
        <v>3460</v>
      </c>
      <c r="J767" s="12">
        <f>Econ!O767</f>
        <v>3575</v>
      </c>
      <c r="K767" s="13">
        <f>Econ!P767</f>
        <v>49119.5</v>
      </c>
      <c r="L767" s="14">
        <f>Econ!Q767</f>
        <v>0</v>
      </c>
      <c r="M767" s="14">
        <f>Econ!R767</f>
        <v>865</v>
      </c>
      <c r="N767" s="13">
        <f>Econ!S767</f>
        <v>893.75</v>
      </c>
      <c r="O767" s="13">
        <f>Econ!T767</f>
        <v>18</v>
      </c>
      <c r="P767" s="7" t="str">
        <f>Econ!A767</f>
        <v>Knight</v>
      </c>
      <c r="Q767" s="10">
        <f>Econ!C767</f>
        <v>1097241.919</v>
      </c>
      <c r="R767" s="10">
        <f>Econ!E767</f>
        <v>1180.975409</v>
      </c>
      <c r="S767" s="10">
        <f>Econ!G767</f>
        <v>141073.961</v>
      </c>
      <c r="T767" s="10">
        <f>Econ!I767</f>
        <v>0</v>
      </c>
    </row>
    <row r="768">
      <c r="A768" s="7" t="str">
        <f>Econ!A768&amp;if(Econ!B768&lt;10,"_0"&amp;Econ!B768,"_"&amp;Econ!B768)</f>
        <v>Knight_167</v>
      </c>
      <c r="B768" s="7" t="str">
        <f>"T"&amp;Econ!B768&amp;" "&amp;Econ!A768</f>
        <v>T167 Knight</v>
      </c>
      <c r="C768" s="8">
        <f>Econ!B768</f>
        <v>167</v>
      </c>
      <c r="D768" s="7"/>
      <c r="E768" s="9"/>
      <c r="F768" s="9"/>
      <c r="G768" s="10">
        <f>Econ!L768</f>
        <v>197325</v>
      </c>
      <c r="H768" s="11" t="str">
        <f>Econ!M768</f>
        <v/>
      </c>
      <c r="I768" s="11">
        <f>Econ!N768</f>
        <v>3495</v>
      </c>
      <c r="J768" s="12">
        <f>Econ!O768</f>
        <v>3610</v>
      </c>
      <c r="K768" s="13">
        <f>Econ!P768</f>
        <v>49331.25</v>
      </c>
      <c r="L768" s="14">
        <f>Econ!Q768</f>
        <v>0</v>
      </c>
      <c r="M768" s="14">
        <f>Econ!R768</f>
        <v>873.75</v>
      </c>
      <c r="N768" s="13">
        <f>Econ!S768</f>
        <v>902.5</v>
      </c>
      <c r="O768" s="13">
        <f>Econ!T768</f>
        <v>18</v>
      </c>
      <c r="P768" s="7" t="str">
        <f>Econ!A768</f>
        <v>Knight</v>
      </c>
      <c r="Q768" s="10">
        <f>Econ!C768</f>
        <v>1152104.015</v>
      </c>
      <c r="R768" s="10">
        <f>Econ!E768</f>
        <v>1204.594917</v>
      </c>
      <c r="S768" s="10">
        <f>Econ!G768</f>
        <v>148127.659</v>
      </c>
      <c r="T768" s="10">
        <f>Econ!I768</f>
        <v>0</v>
      </c>
    </row>
    <row r="769">
      <c r="A769" s="7" t="str">
        <f>Econ!A769&amp;if(Econ!B769&lt;10,"_0"&amp;Econ!B769,"_"&amp;Econ!B769)</f>
        <v>Knight_168</v>
      </c>
      <c r="B769" s="7" t="str">
        <f>"T"&amp;Econ!B769&amp;" "&amp;Econ!A769</f>
        <v>T168 Knight</v>
      </c>
      <c r="C769" s="8">
        <f>Econ!B769</f>
        <v>168</v>
      </c>
      <c r="D769" s="7"/>
      <c r="E769" s="9"/>
      <c r="F769" s="9"/>
      <c r="G769" s="10">
        <f>Econ!L769</f>
        <v>198176</v>
      </c>
      <c r="H769" s="11" t="str">
        <f>Econ!M769</f>
        <v/>
      </c>
      <c r="I769" s="11">
        <f>Econ!N769</f>
        <v>3530</v>
      </c>
      <c r="J769" s="12">
        <f>Econ!O769</f>
        <v>3645</v>
      </c>
      <c r="K769" s="13">
        <f>Econ!P769</f>
        <v>49544</v>
      </c>
      <c r="L769" s="14">
        <f>Econ!Q769</f>
        <v>0</v>
      </c>
      <c r="M769" s="14">
        <f>Econ!R769</f>
        <v>882.5</v>
      </c>
      <c r="N769" s="13">
        <f>Econ!S769</f>
        <v>911.25</v>
      </c>
      <c r="O769" s="13">
        <f>Econ!T769</f>
        <v>18</v>
      </c>
      <c r="P769" s="7" t="str">
        <f>Econ!A769</f>
        <v>Knight</v>
      </c>
      <c r="Q769" s="10">
        <f>Econ!C769</f>
        <v>1209709.215</v>
      </c>
      <c r="R769" s="10">
        <f>Econ!E769</f>
        <v>1228.686815</v>
      </c>
      <c r="S769" s="10">
        <f>Econ!G769</f>
        <v>155534.042</v>
      </c>
      <c r="T769" s="10">
        <f>Econ!I769</f>
        <v>0</v>
      </c>
    </row>
    <row r="770">
      <c r="A770" s="7" t="str">
        <f>Econ!A770&amp;if(Econ!B770&lt;10,"_0"&amp;Econ!B770,"_"&amp;Econ!B770)</f>
        <v>Knight_169</v>
      </c>
      <c r="B770" s="7" t="str">
        <f>"T"&amp;Econ!B770&amp;" "&amp;Econ!A770</f>
        <v>T169 Knight</v>
      </c>
      <c r="C770" s="8">
        <f>Econ!B770</f>
        <v>169</v>
      </c>
      <c r="D770" s="7"/>
      <c r="E770" s="9"/>
      <c r="F770" s="9"/>
      <c r="G770" s="10">
        <f>Econ!L770</f>
        <v>199031</v>
      </c>
      <c r="H770" s="11" t="str">
        <f>Econ!M770</f>
        <v/>
      </c>
      <c r="I770" s="11">
        <f>Econ!N770</f>
        <v>3565</v>
      </c>
      <c r="J770" s="12">
        <f>Econ!O770</f>
        <v>3680</v>
      </c>
      <c r="K770" s="13">
        <f>Econ!P770</f>
        <v>49757.75</v>
      </c>
      <c r="L770" s="14">
        <f>Econ!Q770</f>
        <v>0</v>
      </c>
      <c r="M770" s="14">
        <f>Econ!R770</f>
        <v>891.25</v>
      </c>
      <c r="N770" s="13">
        <f>Econ!S770</f>
        <v>920</v>
      </c>
      <c r="O770" s="13">
        <f>Econ!T770</f>
        <v>18</v>
      </c>
      <c r="P770" s="7" t="str">
        <f>Econ!A770</f>
        <v>Knight</v>
      </c>
      <c r="Q770" s="10">
        <f>Econ!C770</f>
        <v>1270194.676</v>
      </c>
      <c r="R770" s="10">
        <f>Econ!E770</f>
        <v>1253.260552</v>
      </c>
      <c r="S770" s="10">
        <f>Econ!G770</f>
        <v>163310.7441</v>
      </c>
      <c r="T770" s="10">
        <f>Econ!I770</f>
        <v>0</v>
      </c>
    </row>
    <row r="771">
      <c r="A771" s="7" t="str">
        <f>Econ!A771&amp;if(Econ!B771&lt;10,"_0"&amp;Econ!B771,"_"&amp;Econ!B771)</f>
        <v>Knight_170</v>
      </c>
      <c r="B771" s="7" t="str">
        <f>"T"&amp;Econ!B771&amp;" "&amp;Econ!A771</f>
        <v>T170 Knight</v>
      </c>
      <c r="C771" s="8">
        <f>Econ!B771</f>
        <v>170</v>
      </c>
      <c r="D771" s="7"/>
      <c r="E771" s="9"/>
      <c r="F771" s="9"/>
      <c r="G771" s="10">
        <f>Econ!L771</f>
        <v>199889</v>
      </c>
      <c r="H771" s="11" t="str">
        <f>Econ!M771</f>
        <v/>
      </c>
      <c r="I771" s="11">
        <f>Econ!N771</f>
        <v>3600</v>
      </c>
      <c r="J771" s="12">
        <f>Econ!O771</f>
        <v>3715</v>
      </c>
      <c r="K771" s="13">
        <f>Econ!P771</f>
        <v>49972.25</v>
      </c>
      <c r="L771" s="14">
        <f>Econ!Q771</f>
        <v>0</v>
      </c>
      <c r="M771" s="14">
        <f>Econ!R771</f>
        <v>900</v>
      </c>
      <c r="N771" s="13">
        <f>Econ!S771</f>
        <v>928.75</v>
      </c>
      <c r="O771" s="13">
        <f>Econ!T771</f>
        <v>18</v>
      </c>
      <c r="P771" s="7" t="str">
        <f>Econ!A771</f>
        <v>Knight</v>
      </c>
      <c r="Q771" s="10">
        <f>Econ!C771</f>
        <v>1333704.41</v>
      </c>
      <c r="R771" s="10">
        <f>Econ!E771</f>
        <v>1278.325763</v>
      </c>
      <c r="S771" s="10">
        <f>Econ!G771</f>
        <v>171476.2813</v>
      </c>
      <c r="T771" s="10">
        <f>Econ!I771</f>
        <v>0</v>
      </c>
    </row>
    <row r="772">
      <c r="A772" s="7" t="str">
        <f>Econ!A772&amp;if(Econ!B772&lt;10,"_0"&amp;Econ!B772,"_"&amp;Econ!B772)</f>
        <v>Knight_171</v>
      </c>
      <c r="B772" s="7" t="str">
        <f>"T"&amp;Econ!B772&amp;" "&amp;Econ!A772</f>
        <v>T171 Knight</v>
      </c>
      <c r="C772" s="8">
        <f>Econ!B772</f>
        <v>171</v>
      </c>
      <c r="D772" s="7"/>
      <c r="E772" s="9"/>
      <c r="F772" s="9"/>
      <c r="G772" s="10">
        <f>Econ!L772</f>
        <v>200751</v>
      </c>
      <c r="H772" s="11" t="str">
        <f>Econ!M772</f>
        <v/>
      </c>
      <c r="I772" s="11">
        <f>Econ!N772</f>
        <v>3635</v>
      </c>
      <c r="J772" s="12">
        <f>Econ!O772</f>
        <v>3750</v>
      </c>
      <c r="K772" s="13">
        <f>Econ!P772</f>
        <v>50187.75</v>
      </c>
      <c r="L772" s="14">
        <f>Econ!Q772</f>
        <v>0</v>
      </c>
      <c r="M772" s="14">
        <f>Econ!R772</f>
        <v>908.75</v>
      </c>
      <c r="N772" s="13">
        <f>Econ!S772</f>
        <v>937.5</v>
      </c>
      <c r="O772" s="13">
        <f>Econ!T772</f>
        <v>18</v>
      </c>
      <c r="P772" s="7" t="str">
        <f>Econ!A772</f>
        <v>Knight</v>
      </c>
      <c r="Q772" s="10">
        <f>Econ!C772</f>
        <v>1400389.63</v>
      </c>
      <c r="R772" s="10">
        <f>Econ!E772</f>
        <v>1303.892278</v>
      </c>
      <c r="S772" s="10">
        <f>Econ!G772</f>
        <v>180050.0953</v>
      </c>
      <c r="T772" s="10">
        <f>Econ!I772</f>
        <v>0</v>
      </c>
    </row>
    <row r="773">
      <c r="A773" s="7" t="str">
        <f>Econ!A773&amp;if(Econ!B773&lt;10,"_0"&amp;Econ!B773,"_"&amp;Econ!B773)</f>
        <v>Knight_172</v>
      </c>
      <c r="B773" s="7" t="str">
        <f>"T"&amp;Econ!B773&amp;" "&amp;Econ!A773</f>
        <v>T172 Knight</v>
      </c>
      <c r="C773" s="8">
        <f>Econ!B773</f>
        <v>172</v>
      </c>
      <c r="D773" s="7"/>
      <c r="E773" s="9"/>
      <c r="F773" s="9"/>
      <c r="G773" s="10">
        <f>Econ!L773</f>
        <v>201616</v>
      </c>
      <c r="H773" s="11" t="str">
        <f>Econ!M773</f>
        <v/>
      </c>
      <c r="I773" s="11">
        <f>Econ!N773</f>
        <v>3671</v>
      </c>
      <c r="J773" s="12">
        <f>Econ!O773</f>
        <v>3786</v>
      </c>
      <c r="K773" s="13">
        <f>Econ!P773</f>
        <v>50404</v>
      </c>
      <c r="L773" s="14">
        <f>Econ!Q773</f>
        <v>0</v>
      </c>
      <c r="M773" s="14">
        <f>Econ!R773</f>
        <v>917.75</v>
      </c>
      <c r="N773" s="13">
        <f>Econ!S773</f>
        <v>946.5</v>
      </c>
      <c r="O773" s="13">
        <f>Econ!T773</f>
        <v>18</v>
      </c>
      <c r="P773" s="7" t="str">
        <f>Econ!A773</f>
        <v>Knight</v>
      </c>
      <c r="Q773" s="10">
        <f>Econ!C773</f>
        <v>1470409.112</v>
      </c>
      <c r="R773" s="10">
        <f>Econ!E773</f>
        <v>1329.970123</v>
      </c>
      <c r="S773" s="10">
        <f>Econ!G773</f>
        <v>189052.6001</v>
      </c>
      <c r="T773" s="10">
        <f>Econ!I773</f>
        <v>0</v>
      </c>
    </row>
    <row r="774">
      <c r="A774" s="7" t="str">
        <f>Econ!A774&amp;if(Econ!B774&lt;10,"_0"&amp;Econ!B774,"_"&amp;Econ!B774)</f>
        <v>Knight_173</v>
      </c>
      <c r="B774" s="7" t="str">
        <f>"T"&amp;Econ!B774&amp;" "&amp;Econ!A774</f>
        <v>T173 Knight</v>
      </c>
      <c r="C774" s="8">
        <f>Econ!B774</f>
        <v>173</v>
      </c>
      <c r="D774" s="7"/>
      <c r="E774" s="9"/>
      <c r="F774" s="9"/>
      <c r="G774" s="10">
        <f>Econ!L774</f>
        <v>202485</v>
      </c>
      <c r="H774" s="11" t="str">
        <f>Econ!M774</f>
        <v/>
      </c>
      <c r="I774" s="11">
        <f>Econ!N774</f>
        <v>3707</v>
      </c>
      <c r="J774" s="12">
        <f>Econ!O774</f>
        <v>3822</v>
      </c>
      <c r="K774" s="13">
        <f>Econ!P774</f>
        <v>50621.25</v>
      </c>
      <c r="L774" s="14">
        <f>Econ!Q774</f>
        <v>0</v>
      </c>
      <c r="M774" s="14">
        <f>Econ!R774</f>
        <v>926.75</v>
      </c>
      <c r="N774" s="13">
        <f>Econ!S774</f>
        <v>955.5</v>
      </c>
      <c r="O774" s="13">
        <f>Econ!T774</f>
        <v>18</v>
      </c>
      <c r="P774" s="7" t="str">
        <f>Econ!A774</f>
        <v>Knight</v>
      </c>
      <c r="Q774" s="10">
        <f>Econ!C774</f>
        <v>1543929.568</v>
      </c>
      <c r="R774" s="10">
        <f>Econ!E774</f>
        <v>1356.569526</v>
      </c>
      <c r="S774" s="10">
        <f>Econ!G774</f>
        <v>198505.2301</v>
      </c>
      <c r="T774" s="10">
        <f>Econ!I774</f>
        <v>0</v>
      </c>
    </row>
    <row r="775">
      <c r="A775" s="7" t="str">
        <f>Econ!A775&amp;if(Econ!B775&lt;10,"_0"&amp;Econ!B775,"_"&amp;Econ!B775)</f>
        <v>Knight_174</v>
      </c>
      <c r="B775" s="7" t="str">
        <f>"T"&amp;Econ!B775&amp;" "&amp;Econ!A775</f>
        <v>T174 Knight</v>
      </c>
      <c r="C775" s="8">
        <f>Econ!B775</f>
        <v>174</v>
      </c>
      <c r="D775" s="7"/>
      <c r="E775" s="9"/>
      <c r="F775" s="9"/>
      <c r="G775" s="10">
        <f>Econ!L775</f>
        <v>203357</v>
      </c>
      <c r="H775" s="11" t="str">
        <f>Econ!M775</f>
        <v/>
      </c>
      <c r="I775" s="11">
        <f>Econ!N775</f>
        <v>3743</v>
      </c>
      <c r="J775" s="12">
        <f>Econ!O775</f>
        <v>3858</v>
      </c>
      <c r="K775" s="13">
        <f>Econ!P775</f>
        <v>50839.25</v>
      </c>
      <c r="L775" s="14">
        <f>Econ!Q775</f>
        <v>0</v>
      </c>
      <c r="M775" s="14">
        <f>Econ!R775</f>
        <v>935.75</v>
      </c>
      <c r="N775" s="13">
        <f>Econ!S775</f>
        <v>964.5</v>
      </c>
      <c r="O775" s="13">
        <f>Econ!T775</f>
        <v>18</v>
      </c>
      <c r="P775" s="7" t="str">
        <f>Econ!A775</f>
        <v>Knight</v>
      </c>
      <c r="Q775" s="10">
        <f>Econ!C775</f>
        <v>1621126.046</v>
      </c>
      <c r="R775" s="10">
        <f>Econ!E775</f>
        <v>1383.700916</v>
      </c>
      <c r="S775" s="10">
        <f>Econ!G775</f>
        <v>208430.4916</v>
      </c>
      <c r="T775" s="10">
        <f>Econ!I775</f>
        <v>0</v>
      </c>
    </row>
    <row r="776">
      <c r="A776" s="7" t="str">
        <f>Econ!A776&amp;if(Econ!B776&lt;10,"_0"&amp;Econ!B776,"_"&amp;Econ!B776)</f>
        <v>Knight_175</v>
      </c>
      <c r="B776" s="7" t="str">
        <f>"T"&amp;Econ!B776&amp;" "&amp;Econ!A776</f>
        <v>T175 Knight</v>
      </c>
      <c r="C776" s="8">
        <f>Econ!B776</f>
        <v>175</v>
      </c>
      <c r="D776" s="7"/>
      <c r="E776" s="9"/>
      <c r="F776" s="9"/>
      <c r="G776" s="10">
        <f>Econ!L776</f>
        <v>204233</v>
      </c>
      <c r="H776" s="11" t="str">
        <f>Econ!M776</f>
        <v/>
      </c>
      <c r="I776" s="11">
        <f>Econ!N776</f>
        <v>3779</v>
      </c>
      <c r="J776" s="12">
        <f>Econ!O776</f>
        <v>3894</v>
      </c>
      <c r="K776" s="13">
        <f>Econ!P776</f>
        <v>51058.25</v>
      </c>
      <c r="L776" s="14">
        <f>Econ!Q776</f>
        <v>0</v>
      </c>
      <c r="M776" s="14">
        <f>Econ!R776</f>
        <v>944.75</v>
      </c>
      <c r="N776" s="13">
        <f>Econ!S776</f>
        <v>973.5</v>
      </c>
      <c r="O776" s="13">
        <f>Econ!T776</f>
        <v>19</v>
      </c>
      <c r="P776" s="7" t="str">
        <f>Econ!A776</f>
        <v>Knight</v>
      </c>
      <c r="Q776" s="10">
        <f>Econ!C776</f>
        <v>1702182.348</v>
      </c>
      <c r="R776" s="10">
        <f>Econ!E776</f>
        <v>1411.374935</v>
      </c>
      <c r="S776" s="10">
        <f>Econ!G776</f>
        <v>218852.0162</v>
      </c>
      <c r="T776" s="10">
        <f>Econ!I776</f>
        <v>0</v>
      </c>
    </row>
    <row r="777">
      <c r="A777" s="7" t="str">
        <f>Econ!A777&amp;if(Econ!B777&lt;10,"_0"&amp;Econ!B777,"_"&amp;Econ!B777)</f>
        <v>Knight_176</v>
      </c>
      <c r="B777" s="7" t="str">
        <f>"T"&amp;Econ!B777&amp;" "&amp;Econ!A777</f>
        <v>T176 Knight</v>
      </c>
      <c r="C777" s="8">
        <f>Econ!B777</f>
        <v>176</v>
      </c>
      <c r="D777" s="7"/>
      <c r="E777" s="9"/>
      <c r="F777" s="9"/>
      <c r="G777" s="10">
        <f>Econ!L777</f>
        <v>205112</v>
      </c>
      <c r="H777" s="11" t="str">
        <f>Econ!M777</f>
        <v/>
      </c>
      <c r="I777" s="11">
        <f>Econ!N777</f>
        <v>3815</v>
      </c>
      <c r="J777" s="12">
        <f>Econ!O777</f>
        <v>3930</v>
      </c>
      <c r="K777" s="13">
        <f>Econ!P777</f>
        <v>51278</v>
      </c>
      <c r="L777" s="14">
        <f>Econ!Q777</f>
        <v>0</v>
      </c>
      <c r="M777" s="14">
        <f>Econ!R777</f>
        <v>953.75</v>
      </c>
      <c r="N777" s="13">
        <f>Econ!S777</f>
        <v>982.5</v>
      </c>
      <c r="O777" s="13">
        <f>Econ!T777</f>
        <v>19</v>
      </c>
      <c r="P777" s="7" t="str">
        <f>Econ!A777</f>
        <v>Knight</v>
      </c>
      <c r="Q777" s="10">
        <f>Econ!C777</f>
        <v>1787291.466</v>
      </c>
      <c r="R777" s="10">
        <f>Econ!E777</f>
        <v>1439.602433</v>
      </c>
      <c r="S777" s="10">
        <f>Econ!G777</f>
        <v>229794.617</v>
      </c>
      <c r="T777" s="10">
        <f>Econ!I777</f>
        <v>0</v>
      </c>
    </row>
    <row r="778">
      <c r="A778" s="7" t="str">
        <f>Econ!A778&amp;if(Econ!B778&lt;10,"_0"&amp;Econ!B778,"_"&amp;Econ!B778)</f>
        <v>Knight_177</v>
      </c>
      <c r="B778" s="7" t="str">
        <f>"T"&amp;Econ!B778&amp;" "&amp;Econ!A778</f>
        <v>T177 Knight</v>
      </c>
      <c r="C778" s="8">
        <f>Econ!B778</f>
        <v>177</v>
      </c>
      <c r="D778" s="7"/>
      <c r="E778" s="9"/>
      <c r="F778" s="9"/>
      <c r="G778" s="10">
        <f>Econ!L778</f>
        <v>205995</v>
      </c>
      <c r="H778" s="11" t="str">
        <f>Econ!M778</f>
        <v/>
      </c>
      <c r="I778" s="11">
        <f>Econ!N778</f>
        <v>3851</v>
      </c>
      <c r="J778" s="12">
        <f>Econ!O778</f>
        <v>3966</v>
      </c>
      <c r="K778" s="13">
        <f>Econ!P778</f>
        <v>51498.75</v>
      </c>
      <c r="L778" s="14">
        <f>Econ!Q778</f>
        <v>0</v>
      </c>
      <c r="M778" s="14">
        <f>Econ!R778</f>
        <v>962.75</v>
      </c>
      <c r="N778" s="13">
        <f>Econ!S778</f>
        <v>991.5</v>
      </c>
      <c r="O778" s="13">
        <f>Econ!T778</f>
        <v>19</v>
      </c>
      <c r="P778" s="7" t="str">
        <f>Econ!A778</f>
        <v>Knight</v>
      </c>
      <c r="Q778" s="10">
        <f>Econ!C778</f>
        <v>1876656.039</v>
      </c>
      <c r="R778" s="10">
        <f>Econ!E778</f>
        <v>1468.394482</v>
      </c>
      <c r="S778" s="10">
        <f>Econ!G778</f>
        <v>241284.3479</v>
      </c>
      <c r="T778" s="10">
        <f>Econ!I778</f>
        <v>0</v>
      </c>
    </row>
    <row r="779">
      <c r="A779" s="7" t="str">
        <f>Econ!A779&amp;if(Econ!B779&lt;10,"_0"&amp;Econ!B779,"_"&amp;Econ!B779)</f>
        <v>Knight_178</v>
      </c>
      <c r="B779" s="7" t="str">
        <f>"T"&amp;Econ!B779&amp;" "&amp;Econ!A779</f>
        <v>T178 Knight</v>
      </c>
      <c r="C779" s="8">
        <f>Econ!B779</f>
        <v>178</v>
      </c>
      <c r="D779" s="7"/>
      <c r="E779" s="9"/>
      <c r="F779" s="9"/>
      <c r="G779" s="10">
        <f>Econ!L779</f>
        <v>206881</v>
      </c>
      <c r="H779" s="11" t="str">
        <f>Econ!M779</f>
        <v/>
      </c>
      <c r="I779" s="11">
        <f>Econ!N779</f>
        <v>3887</v>
      </c>
      <c r="J779" s="12">
        <f>Econ!O779</f>
        <v>4002</v>
      </c>
      <c r="K779" s="13">
        <f>Econ!P779</f>
        <v>51720.25</v>
      </c>
      <c r="L779" s="14">
        <f>Econ!Q779</f>
        <v>0</v>
      </c>
      <c r="M779" s="14">
        <f>Econ!R779</f>
        <v>971.75</v>
      </c>
      <c r="N779" s="13">
        <f>Econ!S779</f>
        <v>1000.5</v>
      </c>
      <c r="O779" s="13">
        <f>Econ!T779</f>
        <v>19</v>
      </c>
      <c r="P779" s="7" t="str">
        <f>Econ!A779</f>
        <v>Knight</v>
      </c>
      <c r="Q779" s="10">
        <f>Econ!C779</f>
        <v>1970488.841</v>
      </c>
      <c r="R779" s="10">
        <f>Econ!E779</f>
        <v>1497.762372</v>
      </c>
      <c r="S779" s="10">
        <f>Econ!G779</f>
        <v>253348.5652</v>
      </c>
      <c r="T779" s="10">
        <f>Econ!I779</f>
        <v>0</v>
      </c>
    </row>
    <row r="780">
      <c r="A780" s="7" t="str">
        <f>Econ!A780&amp;if(Econ!B780&lt;10,"_0"&amp;Econ!B780,"_"&amp;Econ!B780)</f>
        <v>Knight_179</v>
      </c>
      <c r="B780" s="7" t="str">
        <f>"T"&amp;Econ!B780&amp;" "&amp;Econ!A780</f>
        <v>T179 Knight</v>
      </c>
      <c r="C780" s="8">
        <f>Econ!B780</f>
        <v>179</v>
      </c>
      <c r="D780" s="7"/>
      <c r="E780" s="9"/>
      <c r="F780" s="9"/>
      <c r="G780" s="10">
        <f>Econ!L780</f>
        <v>207771</v>
      </c>
      <c r="H780" s="11" t="str">
        <f>Econ!M780</f>
        <v/>
      </c>
      <c r="I780" s="11">
        <f>Econ!N780</f>
        <v>3924</v>
      </c>
      <c r="J780" s="12">
        <f>Econ!O780</f>
        <v>4039</v>
      </c>
      <c r="K780" s="13">
        <f>Econ!P780</f>
        <v>51942.75</v>
      </c>
      <c r="L780" s="14">
        <f>Econ!Q780</f>
        <v>0</v>
      </c>
      <c r="M780" s="14">
        <f>Econ!R780</f>
        <v>981</v>
      </c>
      <c r="N780" s="13">
        <f>Econ!S780</f>
        <v>1009.75</v>
      </c>
      <c r="O780" s="13">
        <f>Econ!T780</f>
        <v>19</v>
      </c>
      <c r="P780" s="7" t="str">
        <f>Econ!A780</f>
        <v>Knight</v>
      </c>
      <c r="Q780" s="10">
        <f>Econ!C780</f>
        <v>2069013.283</v>
      </c>
      <c r="R780" s="10">
        <f>Econ!E780</f>
        <v>1527.717619</v>
      </c>
      <c r="S780" s="10">
        <f>Econ!G780</f>
        <v>266015.9935</v>
      </c>
      <c r="T780" s="10">
        <f>Econ!I780</f>
        <v>0</v>
      </c>
    </row>
    <row r="781">
      <c r="A781" s="7" t="str">
        <f>Econ!A781&amp;if(Econ!B781&lt;10,"_0"&amp;Econ!B781,"_"&amp;Econ!B781)</f>
        <v>Knight_180</v>
      </c>
      <c r="B781" s="7" t="str">
        <f>"T"&amp;Econ!B781&amp;" "&amp;Econ!A781</f>
        <v>T180 Knight</v>
      </c>
      <c r="C781" s="8">
        <f>Econ!B781</f>
        <v>180</v>
      </c>
      <c r="D781" s="7"/>
      <c r="E781" s="9"/>
      <c r="F781" s="9"/>
      <c r="G781" s="10">
        <f>Econ!L781</f>
        <v>208664</v>
      </c>
      <c r="H781" s="11" t="str">
        <f>Econ!M781</f>
        <v/>
      </c>
      <c r="I781" s="11">
        <f>Econ!N781</f>
        <v>3961</v>
      </c>
      <c r="J781" s="12">
        <f>Econ!O781</f>
        <v>4076</v>
      </c>
      <c r="K781" s="13">
        <f>Econ!P781</f>
        <v>52166</v>
      </c>
      <c r="L781" s="14">
        <f>Econ!Q781</f>
        <v>0</v>
      </c>
      <c r="M781" s="14">
        <f>Econ!R781</f>
        <v>990.25</v>
      </c>
      <c r="N781" s="13">
        <f>Econ!S781</f>
        <v>1019</v>
      </c>
      <c r="O781" s="13">
        <f>Econ!T781</f>
        <v>19</v>
      </c>
      <c r="P781" s="7" t="str">
        <f>Econ!A781</f>
        <v>Knight</v>
      </c>
      <c r="Q781" s="10">
        <f>Econ!C781</f>
        <v>2172463.947</v>
      </c>
      <c r="R781" s="10">
        <f>Econ!E781</f>
        <v>1558.271972</v>
      </c>
      <c r="S781" s="10">
        <f>Econ!G781</f>
        <v>279316.7932</v>
      </c>
      <c r="T781" s="10">
        <f>Econ!I781</f>
        <v>0</v>
      </c>
    </row>
    <row r="782">
      <c r="A782" s="7" t="str">
        <f>Econ!A782&amp;if(Econ!B782&lt;10,"_0"&amp;Econ!B782,"_"&amp;Econ!B782)</f>
        <v>Knight_181</v>
      </c>
      <c r="B782" s="7" t="str">
        <f>"T"&amp;Econ!B782&amp;" "&amp;Econ!A782</f>
        <v>T181 Knight</v>
      </c>
      <c r="C782" s="8">
        <f>Econ!B782</f>
        <v>181</v>
      </c>
      <c r="D782" s="7"/>
      <c r="E782" s="9"/>
      <c r="F782" s="9"/>
      <c r="G782" s="10">
        <f>Econ!L782</f>
        <v>209561</v>
      </c>
      <c r="H782" s="11" t="str">
        <f>Econ!M782</f>
        <v/>
      </c>
      <c r="I782" s="11">
        <f>Econ!N782</f>
        <v>3998</v>
      </c>
      <c r="J782" s="12">
        <f>Econ!O782</f>
        <v>4113</v>
      </c>
      <c r="K782" s="13">
        <f>Econ!P782</f>
        <v>52390.25</v>
      </c>
      <c r="L782" s="14">
        <f>Econ!Q782</f>
        <v>0</v>
      </c>
      <c r="M782" s="14">
        <f>Econ!R782</f>
        <v>999.5</v>
      </c>
      <c r="N782" s="13">
        <f>Econ!S782</f>
        <v>1028.25</v>
      </c>
      <c r="O782" s="13">
        <f>Econ!T782</f>
        <v>19</v>
      </c>
      <c r="P782" s="7" t="str">
        <f>Econ!A782</f>
        <v>Knight</v>
      </c>
      <c r="Q782" s="10">
        <f>Econ!C782</f>
        <v>2281087.144</v>
      </c>
      <c r="R782" s="10">
        <f>Econ!E782</f>
        <v>1589.437411</v>
      </c>
      <c r="S782" s="10">
        <f>Econ!G782</f>
        <v>293282.6328</v>
      </c>
      <c r="T782" s="10">
        <f>Econ!I782</f>
        <v>0</v>
      </c>
    </row>
    <row r="783">
      <c r="A783" s="7" t="str">
        <f>Econ!A783&amp;if(Econ!B783&lt;10,"_0"&amp;Econ!B783,"_"&amp;Econ!B783)</f>
        <v>Knight_182</v>
      </c>
      <c r="B783" s="7" t="str">
        <f>"T"&amp;Econ!B783&amp;" "&amp;Econ!A783</f>
        <v>T182 Knight</v>
      </c>
      <c r="C783" s="8">
        <f>Econ!B783</f>
        <v>182</v>
      </c>
      <c r="D783" s="7"/>
      <c r="E783" s="9"/>
      <c r="F783" s="9"/>
      <c r="G783" s="10">
        <f>Econ!L783</f>
        <v>210461</v>
      </c>
      <c r="H783" s="11" t="str">
        <f>Econ!M783</f>
        <v/>
      </c>
      <c r="I783" s="11">
        <f>Econ!N783</f>
        <v>4035</v>
      </c>
      <c r="J783" s="12">
        <f>Econ!O783</f>
        <v>4150</v>
      </c>
      <c r="K783" s="13">
        <f>Econ!P783</f>
        <v>52615.25</v>
      </c>
      <c r="L783" s="14">
        <f>Econ!Q783</f>
        <v>0</v>
      </c>
      <c r="M783" s="14">
        <f>Econ!R783</f>
        <v>1008.75</v>
      </c>
      <c r="N783" s="13">
        <f>Econ!S783</f>
        <v>1037.5</v>
      </c>
      <c r="O783" s="13">
        <f>Econ!T783</f>
        <v>19</v>
      </c>
      <c r="P783" s="7" t="str">
        <f>Econ!A783</f>
        <v>Knight</v>
      </c>
      <c r="Q783" s="10">
        <f>Econ!C783</f>
        <v>2395141.502</v>
      </c>
      <c r="R783" s="10">
        <f>Econ!E783</f>
        <v>1621.226159</v>
      </c>
      <c r="S783" s="10">
        <f>Econ!G783</f>
        <v>307946.7645</v>
      </c>
      <c r="T783" s="10">
        <f>Econ!I783</f>
        <v>0</v>
      </c>
    </row>
    <row r="784">
      <c r="A784" s="7" t="str">
        <f>Econ!A784&amp;if(Econ!B784&lt;10,"_0"&amp;Econ!B784,"_"&amp;Econ!B784)</f>
        <v>Knight_183</v>
      </c>
      <c r="B784" s="7" t="str">
        <f>"T"&amp;Econ!B784&amp;" "&amp;Econ!A784</f>
        <v>T183 Knight</v>
      </c>
      <c r="C784" s="8">
        <f>Econ!B784</f>
        <v>183</v>
      </c>
      <c r="D784" s="7"/>
      <c r="E784" s="9"/>
      <c r="F784" s="9"/>
      <c r="G784" s="10">
        <f>Econ!L784</f>
        <v>211365</v>
      </c>
      <c r="H784" s="11" t="str">
        <f>Econ!M784</f>
        <v/>
      </c>
      <c r="I784" s="11">
        <f>Econ!N784</f>
        <v>4072</v>
      </c>
      <c r="J784" s="12">
        <f>Econ!O784</f>
        <v>4187</v>
      </c>
      <c r="K784" s="13">
        <f>Econ!P784</f>
        <v>52841.25</v>
      </c>
      <c r="L784" s="14">
        <f>Econ!Q784</f>
        <v>0</v>
      </c>
      <c r="M784" s="14">
        <f>Econ!R784</f>
        <v>1018</v>
      </c>
      <c r="N784" s="13">
        <f>Econ!S784</f>
        <v>1046.75</v>
      </c>
      <c r="O784" s="13">
        <f>Econ!T784</f>
        <v>19</v>
      </c>
      <c r="P784" s="7" t="str">
        <f>Econ!A784</f>
        <v>Knight</v>
      </c>
      <c r="Q784" s="10">
        <f>Econ!C784</f>
        <v>2514898.577</v>
      </c>
      <c r="R784" s="10">
        <f>Econ!E784</f>
        <v>1653.650682</v>
      </c>
      <c r="S784" s="10">
        <f>Econ!G784</f>
        <v>323344.1027</v>
      </c>
      <c r="T784" s="10">
        <f>Econ!I784</f>
        <v>0</v>
      </c>
    </row>
    <row r="785">
      <c r="A785" s="7" t="str">
        <f>Econ!A785&amp;if(Econ!B785&lt;10,"_0"&amp;Econ!B785,"_"&amp;Econ!B785)</f>
        <v>Knight_184</v>
      </c>
      <c r="B785" s="7" t="str">
        <f>"T"&amp;Econ!B785&amp;" "&amp;Econ!A785</f>
        <v>T184 Knight</v>
      </c>
      <c r="C785" s="8">
        <f>Econ!B785</f>
        <v>184</v>
      </c>
      <c r="D785" s="7"/>
      <c r="E785" s="9"/>
      <c r="F785" s="9"/>
      <c r="G785" s="10">
        <f>Econ!L785</f>
        <v>212272</v>
      </c>
      <c r="H785" s="11" t="str">
        <f>Econ!M785</f>
        <v/>
      </c>
      <c r="I785" s="11">
        <f>Econ!N785</f>
        <v>4109</v>
      </c>
      <c r="J785" s="12">
        <f>Econ!O785</f>
        <v>4224</v>
      </c>
      <c r="K785" s="13">
        <f>Econ!P785</f>
        <v>53068</v>
      </c>
      <c r="L785" s="14">
        <f>Econ!Q785</f>
        <v>0</v>
      </c>
      <c r="M785" s="14">
        <f>Econ!R785</f>
        <v>1027.25</v>
      </c>
      <c r="N785" s="13">
        <f>Econ!S785</f>
        <v>1056</v>
      </c>
      <c r="O785" s="13">
        <f>Econ!T785</f>
        <v>19</v>
      </c>
      <c r="P785" s="7" t="str">
        <f>Econ!A785</f>
        <v>Knight</v>
      </c>
      <c r="Q785" s="10">
        <f>Econ!C785</f>
        <v>2640643.505</v>
      </c>
      <c r="R785" s="10">
        <f>Econ!E785</f>
        <v>1686.723696</v>
      </c>
      <c r="S785" s="10">
        <f>Econ!G785</f>
        <v>339511.3078</v>
      </c>
      <c r="T785" s="10">
        <f>Econ!I785</f>
        <v>0</v>
      </c>
    </row>
    <row r="786">
      <c r="A786" s="7" t="str">
        <f>Econ!A786&amp;if(Econ!B786&lt;10,"_0"&amp;Econ!B786,"_"&amp;Econ!B786)</f>
        <v>Knight_185</v>
      </c>
      <c r="B786" s="7" t="str">
        <f>"T"&amp;Econ!B786&amp;" "&amp;Econ!A786</f>
        <v>T185 Knight</v>
      </c>
      <c r="C786" s="8">
        <f>Econ!B786</f>
        <v>185</v>
      </c>
      <c r="D786" s="7"/>
      <c r="E786" s="9"/>
      <c r="F786" s="9"/>
      <c r="G786" s="10">
        <f>Econ!L786</f>
        <v>213183</v>
      </c>
      <c r="H786" s="11" t="str">
        <f>Econ!M786</f>
        <v/>
      </c>
      <c r="I786" s="11">
        <f>Econ!N786</f>
        <v>4146</v>
      </c>
      <c r="J786" s="12">
        <f>Econ!O786</f>
        <v>4261</v>
      </c>
      <c r="K786" s="13">
        <f>Econ!P786</f>
        <v>53295.75</v>
      </c>
      <c r="L786" s="14">
        <f>Econ!Q786</f>
        <v>0</v>
      </c>
      <c r="M786" s="14">
        <f>Econ!R786</f>
        <v>1036.5</v>
      </c>
      <c r="N786" s="13">
        <f>Econ!S786</f>
        <v>1065.25</v>
      </c>
      <c r="O786" s="13">
        <f>Econ!T786</f>
        <v>20</v>
      </c>
      <c r="P786" s="7" t="str">
        <f>Econ!A786</f>
        <v>Knight</v>
      </c>
      <c r="Q786" s="10">
        <f>Econ!C786</f>
        <v>2772675.681</v>
      </c>
      <c r="R786" s="10">
        <f>Econ!E786</f>
        <v>1720.45817</v>
      </c>
      <c r="S786" s="10">
        <f>Econ!G786</f>
        <v>356486.8732</v>
      </c>
      <c r="T786" s="10">
        <f>Econ!I786</f>
        <v>0</v>
      </c>
    </row>
    <row r="787">
      <c r="A787" s="7" t="str">
        <f>Econ!A787&amp;if(Econ!B787&lt;10,"_0"&amp;Econ!B787,"_"&amp;Econ!B787)</f>
        <v>Knight_186</v>
      </c>
      <c r="B787" s="7" t="str">
        <f>"T"&amp;Econ!B787&amp;" "&amp;Econ!A787</f>
        <v>T186 Knight</v>
      </c>
      <c r="C787" s="8">
        <f>Econ!B787</f>
        <v>186</v>
      </c>
      <c r="D787" s="7"/>
      <c r="E787" s="9"/>
      <c r="F787" s="9"/>
      <c r="G787" s="10">
        <f>Econ!L787</f>
        <v>214097</v>
      </c>
      <c r="H787" s="11" t="str">
        <f>Econ!M787</f>
        <v/>
      </c>
      <c r="I787" s="11">
        <f>Econ!N787</f>
        <v>4184</v>
      </c>
      <c r="J787" s="12">
        <f>Econ!O787</f>
        <v>4299</v>
      </c>
      <c r="K787" s="13">
        <f>Econ!P787</f>
        <v>53524.25</v>
      </c>
      <c r="L787" s="14">
        <f>Econ!Q787</f>
        <v>0</v>
      </c>
      <c r="M787" s="14">
        <f>Econ!R787</f>
        <v>1046</v>
      </c>
      <c r="N787" s="13">
        <f>Econ!S787</f>
        <v>1074.75</v>
      </c>
      <c r="O787" s="13">
        <f>Econ!T787</f>
        <v>20</v>
      </c>
      <c r="P787" s="7" t="str">
        <f>Econ!A787</f>
        <v>Knight</v>
      </c>
      <c r="Q787" s="10">
        <f>Econ!C787</f>
        <v>2911309.465</v>
      </c>
      <c r="R787" s="10">
        <f>Econ!E787</f>
        <v>1754.867333</v>
      </c>
      <c r="S787" s="10">
        <f>Econ!G787</f>
        <v>374311.2169</v>
      </c>
      <c r="T787" s="10">
        <f>Econ!I787</f>
        <v>0</v>
      </c>
    </row>
    <row r="788">
      <c r="A788" s="7" t="str">
        <f>Econ!A788&amp;if(Econ!B788&lt;10,"_0"&amp;Econ!B788,"_"&amp;Econ!B788)</f>
        <v>Knight_187</v>
      </c>
      <c r="B788" s="7" t="str">
        <f>"T"&amp;Econ!B788&amp;" "&amp;Econ!A788</f>
        <v>T187 Knight</v>
      </c>
      <c r="C788" s="8">
        <f>Econ!B788</f>
        <v>187</v>
      </c>
      <c r="D788" s="7"/>
      <c r="E788" s="9"/>
      <c r="F788" s="9"/>
      <c r="G788" s="10">
        <f>Econ!L788</f>
        <v>215015</v>
      </c>
      <c r="H788" s="11" t="str">
        <f>Econ!M788</f>
        <v/>
      </c>
      <c r="I788" s="11">
        <f>Econ!N788</f>
        <v>4222</v>
      </c>
      <c r="J788" s="12">
        <f>Econ!O788</f>
        <v>4337</v>
      </c>
      <c r="K788" s="13">
        <f>Econ!P788</f>
        <v>53753.75</v>
      </c>
      <c r="L788" s="14">
        <f>Econ!Q788</f>
        <v>0</v>
      </c>
      <c r="M788" s="14">
        <f>Econ!R788</f>
        <v>1055.5</v>
      </c>
      <c r="N788" s="13">
        <f>Econ!S788</f>
        <v>1084.25</v>
      </c>
      <c r="O788" s="13">
        <f>Econ!T788</f>
        <v>20</v>
      </c>
      <c r="P788" s="7" t="str">
        <f>Econ!A788</f>
        <v>Knight</v>
      </c>
      <c r="Q788" s="10">
        <f>Econ!C788</f>
        <v>3056874.938</v>
      </c>
      <c r="R788" s="10">
        <f>Econ!E788</f>
        <v>1789.96468</v>
      </c>
      <c r="S788" s="10">
        <f>Econ!G788</f>
        <v>393026.7777</v>
      </c>
      <c r="T788" s="10">
        <f>Econ!I788</f>
        <v>0</v>
      </c>
    </row>
    <row r="789">
      <c r="A789" s="7" t="str">
        <f>Econ!A789&amp;if(Econ!B789&lt;10,"_0"&amp;Econ!B789,"_"&amp;Econ!B789)</f>
        <v>Knight_188</v>
      </c>
      <c r="B789" s="7" t="str">
        <f>"T"&amp;Econ!B789&amp;" "&amp;Econ!A789</f>
        <v>T188 Knight</v>
      </c>
      <c r="C789" s="8">
        <f>Econ!B789</f>
        <v>188</v>
      </c>
      <c r="D789" s="7"/>
      <c r="E789" s="9"/>
      <c r="F789" s="9"/>
      <c r="G789" s="10">
        <f>Econ!L789</f>
        <v>215936</v>
      </c>
      <c r="H789" s="11" t="str">
        <f>Econ!M789</f>
        <v/>
      </c>
      <c r="I789" s="11">
        <f>Econ!N789</f>
        <v>4260</v>
      </c>
      <c r="J789" s="12">
        <f>Econ!O789</f>
        <v>4375</v>
      </c>
      <c r="K789" s="13">
        <f>Econ!P789</f>
        <v>53984</v>
      </c>
      <c r="L789" s="14">
        <f>Econ!Q789</f>
        <v>0</v>
      </c>
      <c r="M789" s="14">
        <f>Econ!R789</f>
        <v>1065</v>
      </c>
      <c r="N789" s="13">
        <f>Econ!S789</f>
        <v>1093.75</v>
      </c>
      <c r="O789" s="13">
        <f>Econ!T789</f>
        <v>20</v>
      </c>
      <c r="P789" s="7" t="str">
        <f>Econ!A789</f>
        <v>Knight</v>
      </c>
      <c r="Q789" s="10">
        <f>Econ!C789</f>
        <v>3209718.685</v>
      </c>
      <c r="R789" s="10">
        <f>Econ!E789</f>
        <v>1825.763974</v>
      </c>
      <c r="S789" s="10">
        <f>Econ!G789</f>
        <v>412678.1166</v>
      </c>
      <c r="T789" s="10">
        <f>Econ!I789</f>
        <v>0</v>
      </c>
    </row>
    <row r="790">
      <c r="A790" s="7" t="str">
        <f>Econ!A790&amp;if(Econ!B790&lt;10,"_0"&amp;Econ!B790,"_"&amp;Econ!B790)</f>
        <v>Knight_189</v>
      </c>
      <c r="B790" s="7" t="str">
        <f>"T"&amp;Econ!B790&amp;" "&amp;Econ!A790</f>
        <v>T189 Knight</v>
      </c>
      <c r="C790" s="8">
        <f>Econ!B790</f>
        <v>189</v>
      </c>
      <c r="D790" s="7"/>
      <c r="E790" s="9"/>
      <c r="F790" s="9"/>
      <c r="G790" s="10">
        <f>Econ!L790</f>
        <v>216861</v>
      </c>
      <c r="H790" s="11" t="str">
        <f>Econ!M790</f>
        <v/>
      </c>
      <c r="I790" s="11">
        <f>Econ!N790</f>
        <v>4298</v>
      </c>
      <c r="J790" s="12">
        <f>Econ!O790</f>
        <v>4413</v>
      </c>
      <c r="K790" s="13">
        <f>Econ!P790</f>
        <v>54215.25</v>
      </c>
      <c r="L790" s="14">
        <f>Econ!Q790</f>
        <v>0</v>
      </c>
      <c r="M790" s="14">
        <f>Econ!R790</f>
        <v>1074.5</v>
      </c>
      <c r="N790" s="13">
        <f>Econ!S790</f>
        <v>1103.25</v>
      </c>
      <c r="O790" s="13">
        <f>Econ!T790</f>
        <v>20</v>
      </c>
      <c r="P790" s="7" t="str">
        <f>Econ!A790</f>
        <v>Knight</v>
      </c>
      <c r="Q790" s="10">
        <f>Econ!C790</f>
        <v>3370204.619</v>
      </c>
      <c r="R790" s="10">
        <f>Econ!E790</f>
        <v>1862.279253</v>
      </c>
      <c r="S790" s="10">
        <f>Econ!G790</f>
        <v>433312.0225</v>
      </c>
      <c r="T790" s="10">
        <f>Econ!I790</f>
        <v>0</v>
      </c>
    </row>
    <row r="791">
      <c r="A791" s="7" t="str">
        <f>Econ!A791&amp;if(Econ!B791&lt;10,"_0"&amp;Econ!B791,"_"&amp;Econ!B791)</f>
        <v>Knight_190</v>
      </c>
      <c r="B791" s="7" t="str">
        <f>"T"&amp;Econ!B791&amp;" "&amp;Econ!A791</f>
        <v>T190 Knight</v>
      </c>
      <c r="C791" s="8">
        <f>Econ!B791</f>
        <v>190</v>
      </c>
      <c r="D791" s="7"/>
      <c r="E791" s="9"/>
      <c r="F791" s="9"/>
      <c r="G791" s="10">
        <f>Econ!L791</f>
        <v>217789</v>
      </c>
      <c r="H791" s="11" t="str">
        <f>Econ!M791</f>
        <v/>
      </c>
      <c r="I791" s="11">
        <f>Econ!N791</f>
        <v>4336</v>
      </c>
      <c r="J791" s="12">
        <f>Econ!O791</f>
        <v>4451</v>
      </c>
      <c r="K791" s="13">
        <f>Econ!P791</f>
        <v>54447.25</v>
      </c>
      <c r="L791" s="14">
        <f>Econ!Q791</f>
        <v>0</v>
      </c>
      <c r="M791" s="14">
        <f>Econ!R791</f>
        <v>1084</v>
      </c>
      <c r="N791" s="13">
        <f>Econ!S791</f>
        <v>1112.75</v>
      </c>
      <c r="O791" s="13">
        <f>Econ!T791</f>
        <v>20</v>
      </c>
      <c r="P791" s="7" t="str">
        <f>Econ!A791</f>
        <v>Knight</v>
      </c>
      <c r="Q791" s="10">
        <f>Econ!C791</f>
        <v>3538714.85</v>
      </c>
      <c r="R791" s="10">
        <f>Econ!E791</f>
        <v>1899.524838</v>
      </c>
      <c r="S791" s="10">
        <f>Econ!G791</f>
        <v>454977.6236</v>
      </c>
      <c r="T791" s="10">
        <f>Econ!I791</f>
        <v>0</v>
      </c>
    </row>
    <row r="792">
      <c r="A792" s="7" t="str">
        <f>Econ!A792&amp;if(Econ!B792&lt;10,"_0"&amp;Econ!B792,"_"&amp;Econ!B792)</f>
        <v>Knight_191</v>
      </c>
      <c r="B792" s="7" t="str">
        <f>"T"&amp;Econ!B792&amp;" "&amp;Econ!A792</f>
        <v>T191 Knight</v>
      </c>
      <c r="C792" s="8">
        <f>Econ!B792</f>
        <v>191</v>
      </c>
      <c r="D792" s="7"/>
      <c r="E792" s="9"/>
      <c r="F792" s="9"/>
      <c r="G792" s="10">
        <f>Econ!L792</f>
        <v>218720</v>
      </c>
      <c r="H792" s="11" t="str">
        <f>Econ!M792</f>
        <v/>
      </c>
      <c r="I792" s="11">
        <f>Econ!N792</f>
        <v>4374</v>
      </c>
      <c r="J792" s="12">
        <f>Econ!O792</f>
        <v>4489</v>
      </c>
      <c r="K792" s="13">
        <f>Econ!P792</f>
        <v>54680</v>
      </c>
      <c r="L792" s="14">
        <f>Econ!Q792</f>
        <v>0</v>
      </c>
      <c r="M792" s="14">
        <f>Econ!R792</f>
        <v>1093.5</v>
      </c>
      <c r="N792" s="13">
        <f>Econ!S792</f>
        <v>1122.25</v>
      </c>
      <c r="O792" s="13">
        <f>Econ!T792</f>
        <v>20</v>
      </c>
      <c r="P792" s="7" t="str">
        <f>Econ!A792</f>
        <v>Knight</v>
      </c>
      <c r="Q792" s="10">
        <f>Econ!C792</f>
        <v>3715650.593</v>
      </c>
      <c r="R792" s="10">
        <f>Econ!E792</f>
        <v>1937.515335</v>
      </c>
      <c r="S792" s="10">
        <f>Econ!G792</f>
        <v>477726.5048</v>
      </c>
      <c r="T792" s="10">
        <f>Econ!I792</f>
        <v>0</v>
      </c>
    </row>
    <row r="793">
      <c r="A793" s="7" t="str">
        <f>Econ!A793&amp;if(Econ!B793&lt;10,"_0"&amp;Econ!B793,"_"&amp;Econ!B793)</f>
        <v>Knight_192</v>
      </c>
      <c r="B793" s="7" t="str">
        <f>"T"&amp;Econ!B793&amp;" "&amp;Econ!A793</f>
        <v>T192 Knight</v>
      </c>
      <c r="C793" s="8">
        <f>Econ!B793</f>
        <v>192</v>
      </c>
      <c r="D793" s="7"/>
      <c r="E793" s="9"/>
      <c r="F793" s="9"/>
      <c r="G793" s="10">
        <f>Econ!L793</f>
        <v>219655</v>
      </c>
      <c r="H793" s="11" t="str">
        <f>Econ!M793</f>
        <v/>
      </c>
      <c r="I793" s="11">
        <f>Econ!N793</f>
        <v>4412</v>
      </c>
      <c r="J793" s="12">
        <f>Econ!O793</f>
        <v>4527</v>
      </c>
      <c r="K793" s="13">
        <f>Econ!P793</f>
        <v>54913.75</v>
      </c>
      <c r="L793" s="14">
        <f>Econ!Q793</f>
        <v>0</v>
      </c>
      <c r="M793" s="14">
        <f>Econ!R793</f>
        <v>1103</v>
      </c>
      <c r="N793" s="13">
        <f>Econ!S793</f>
        <v>1131.75</v>
      </c>
      <c r="O793" s="13">
        <f>Econ!T793</f>
        <v>20</v>
      </c>
      <c r="P793" s="7" t="str">
        <f>Econ!A793</f>
        <v>Knight</v>
      </c>
      <c r="Q793" s="10">
        <f>Econ!C793</f>
        <v>3901433.122</v>
      </c>
      <c r="R793" s="10">
        <f>Econ!E793</f>
        <v>1976.265642</v>
      </c>
      <c r="S793" s="10">
        <f>Econ!G793</f>
        <v>501612.83</v>
      </c>
      <c r="T793" s="10">
        <f>Econ!I793</f>
        <v>0</v>
      </c>
    </row>
    <row r="794">
      <c r="A794" s="7" t="str">
        <f>Econ!A794&amp;if(Econ!B794&lt;10,"_0"&amp;Econ!B794,"_"&amp;Econ!B794)</f>
        <v>Knight_193</v>
      </c>
      <c r="B794" s="7" t="str">
        <f>"T"&amp;Econ!B794&amp;" "&amp;Econ!A794</f>
        <v>T193 Knight</v>
      </c>
      <c r="C794" s="8">
        <f>Econ!B794</f>
        <v>193</v>
      </c>
      <c r="D794" s="7"/>
      <c r="E794" s="9"/>
      <c r="F794" s="9"/>
      <c r="G794" s="10">
        <f>Econ!L794</f>
        <v>220593</v>
      </c>
      <c r="H794" s="11" t="str">
        <f>Econ!M794</f>
        <v/>
      </c>
      <c r="I794" s="11">
        <f>Econ!N794</f>
        <v>4450</v>
      </c>
      <c r="J794" s="12">
        <f>Econ!O794</f>
        <v>4565</v>
      </c>
      <c r="K794" s="13">
        <f>Econ!P794</f>
        <v>55148.25</v>
      </c>
      <c r="L794" s="14">
        <f>Econ!Q794</f>
        <v>0</v>
      </c>
      <c r="M794" s="14">
        <f>Econ!R794</f>
        <v>1112.5</v>
      </c>
      <c r="N794" s="13">
        <f>Econ!S794</f>
        <v>1141.25</v>
      </c>
      <c r="O794" s="13">
        <f>Econ!T794</f>
        <v>20</v>
      </c>
      <c r="P794" s="7" t="str">
        <f>Econ!A794</f>
        <v>Knight</v>
      </c>
      <c r="Q794" s="10">
        <f>Econ!C794</f>
        <v>4096504.778</v>
      </c>
      <c r="R794" s="10">
        <f>Econ!E794</f>
        <v>2015.790955</v>
      </c>
      <c r="S794" s="10">
        <f>Econ!G794</f>
        <v>526693.4715</v>
      </c>
      <c r="T794" s="10">
        <f>Econ!I794</f>
        <v>0</v>
      </c>
    </row>
    <row r="795">
      <c r="A795" s="7" t="str">
        <f>Econ!A795&amp;if(Econ!B795&lt;10,"_0"&amp;Econ!B795,"_"&amp;Econ!B795)</f>
        <v>Knight_194</v>
      </c>
      <c r="B795" s="7" t="str">
        <f>"T"&amp;Econ!B795&amp;" "&amp;Econ!A795</f>
        <v>T194 Knight</v>
      </c>
      <c r="C795" s="8">
        <f>Econ!B795</f>
        <v>194</v>
      </c>
      <c r="D795" s="7"/>
      <c r="E795" s="9"/>
      <c r="F795" s="9"/>
      <c r="G795" s="10">
        <f>Econ!L795</f>
        <v>221535</v>
      </c>
      <c r="H795" s="11" t="str">
        <f>Econ!M795</f>
        <v/>
      </c>
      <c r="I795" s="11">
        <f>Econ!N795</f>
        <v>4489</v>
      </c>
      <c r="J795" s="12">
        <f>Econ!O795</f>
        <v>4604</v>
      </c>
      <c r="K795" s="13">
        <f>Econ!P795</f>
        <v>55383.75</v>
      </c>
      <c r="L795" s="14">
        <f>Econ!Q795</f>
        <v>0</v>
      </c>
      <c r="M795" s="14">
        <f>Econ!R795</f>
        <v>1122.25</v>
      </c>
      <c r="N795" s="13">
        <f>Econ!S795</f>
        <v>1151</v>
      </c>
      <c r="O795" s="13">
        <f>Econ!T795</f>
        <v>20</v>
      </c>
      <c r="P795" s="7" t="str">
        <f>Econ!A795</f>
        <v>Knight</v>
      </c>
      <c r="Q795" s="10">
        <f>Econ!C795</f>
        <v>4301330.017</v>
      </c>
      <c r="R795" s="10">
        <f>Econ!E795</f>
        <v>2056.106774</v>
      </c>
      <c r="S795" s="10">
        <f>Econ!G795</f>
        <v>553028.1451</v>
      </c>
      <c r="T795" s="10">
        <f>Econ!I795</f>
        <v>0</v>
      </c>
    </row>
    <row r="796">
      <c r="A796" s="7" t="str">
        <f>Econ!A796&amp;if(Econ!B796&lt;10,"_0"&amp;Econ!B796,"_"&amp;Econ!B796)</f>
        <v>Knight_195</v>
      </c>
      <c r="B796" s="7" t="str">
        <f>"T"&amp;Econ!B796&amp;" "&amp;Econ!A796</f>
        <v>T195 Knight</v>
      </c>
      <c r="C796" s="8">
        <f>Econ!B796</f>
        <v>195</v>
      </c>
      <c r="D796" s="7"/>
      <c r="E796" s="9"/>
      <c r="F796" s="9"/>
      <c r="G796" s="10">
        <f>Econ!L796</f>
        <v>222480</v>
      </c>
      <c r="H796" s="11" t="str">
        <f>Econ!M796</f>
        <v/>
      </c>
      <c r="I796" s="11">
        <f>Econ!N796</f>
        <v>4528</v>
      </c>
      <c r="J796" s="12">
        <f>Econ!O796</f>
        <v>4643</v>
      </c>
      <c r="K796" s="13">
        <f>Econ!P796</f>
        <v>55620</v>
      </c>
      <c r="L796" s="14">
        <f>Econ!Q796</f>
        <v>0</v>
      </c>
      <c r="M796" s="14">
        <f>Econ!R796</f>
        <v>1132</v>
      </c>
      <c r="N796" s="13">
        <f>Econ!S796</f>
        <v>1160.75</v>
      </c>
      <c r="O796" s="13">
        <f>Econ!T796</f>
        <v>21</v>
      </c>
      <c r="P796" s="7" t="str">
        <f>Econ!A796</f>
        <v>Knight</v>
      </c>
      <c r="Q796" s="10">
        <f>Econ!C796</f>
        <v>4516396.518</v>
      </c>
      <c r="R796" s="10">
        <f>Econ!E796</f>
        <v>2097.228909</v>
      </c>
      <c r="S796" s="10">
        <f>Econ!G796</f>
        <v>580679.5523</v>
      </c>
      <c r="T796" s="10">
        <f>Econ!I796</f>
        <v>0</v>
      </c>
    </row>
    <row r="797">
      <c r="A797" s="7" t="str">
        <f>Econ!A797&amp;if(Econ!B797&lt;10,"_0"&amp;Econ!B797,"_"&amp;Econ!B797)</f>
        <v>Knight_196</v>
      </c>
      <c r="B797" s="7" t="str">
        <f>"T"&amp;Econ!B797&amp;" "&amp;Econ!A797</f>
        <v>T196 Knight</v>
      </c>
      <c r="C797" s="8">
        <f>Econ!B797</f>
        <v>196</v>
      </c>
      <c r="D797" s="7"/>
      <c r="E797" s="9"/>
      <c r="F797" s="9"/>
      <c r="G797" s="10">
        <f>Econ!L797</f>
        <v>223428</v>
      </c>
      <c r="H797" s="11" t="str">
        <f>Econ!M797</f>
        <v/>
      </c>
      <c r="I797" s="11">
        <f>Econ!N797</f>
        <v>4567</v>
      </c>
      <c r="J797" s="12">
        <f>Econ!O797</f>
        <v>4682</v>
      </c>
      <c r="K797" s="13">
        <f>Econ!P797</f>
        <v>55857</v>
      </c>
      <c r="L797" s="14">
        <f>Econ!Q797</f>
        <v>0</v>
      </c>
      <c r="M797" s="14">
        <f>Econ!R797</f>
        <v>1141.75</v>
      </c>
      <c r="N797" s="13">
        <f>Econ!S797</f>
        <v>1170.5</v>
      </c>
      <c r="O797" s="13">
        <f>Econ!T797</f>
        <v>21</v>
      </c>
      <c r="P797" s="7" t="str">
        <f>Econ!A797</f>
        <v>Knight</v>
      </c>
      <c r="Q797" s="10">
        <f>Econ!C797</f>
        <v>4742216.344</v>
      </c>
      <c r="R797" s="10">
        <f>Econ!E797</f>
        <v>2139.173487</v>
      </c>
      <c r="S797" s="10">
        <f>Econ!G797</f>
        <v>609713.53</v>
      </c>
      <c r="T797" s="10">
        <f>Econ!I797</f>
        <v>0</v>
      </c>
    </row>
    <row r="798">
      <c r="A798" s="7" t="str">
        <f>Econ!A798&amp;if(Econ!B798&lt;10,"_0"&amp;Econ!B798,"_"&amp;Econ!B798)</f>
        <v>Knight_197</v>
      </c>
      <c r="B798" s="7" t="str">
        <f>"T"&amp;Econ!B798&amp;" "&amp;Econ!A798</f>
        <v>T197 Knight</v>
      </c>
      <c r="C798" s="8">
        <f>Econ!B798</f>
        <v>197</v>
      </c>
      <c r="D798" s="7"/>
      <c r="E798" s="9"/>
      <c r="F798" s="9"/>
      <c r="G798" s="10">
        <f>Econ!L798</f>
        <v>224380</v>
      </c>
      <c r="H798" s="11" t="str">
        <f>Econ!M798</f>
        <v/>
      </c>
      <c r="I798" s="11">
        <f>Econ!N798</f>
        <v>4606</v>
      </c>
      <c r="J798" s="12">
        <f>Econ!O798</f>
        <v>4721</v>
      </c>
      <c r="K798" s="13">
        <f>Econ!P798</f>
        <v>56095</v>
      </c>
      <c r="L798" s="14">
        <f>Econ!Q798</f>
        <v>0</v>
      </c>
      <c r="M798" s="14">
        <f>Econ!R798</f>
        <v>1151.5</v>
      </c>
      <c r="N798" s="13">
        <f>Econ!S798</f>
        <v>1180.25</v>
      </c>
      <c r="O798" s="13">
        <f>Econ!T798</f>
        <v>21</v>
      </c>
      <c r="P798" s="7" t="str">
        <f>Econ!A798</f>
        <v>Knight</v>
      </c>
      <c r="Q798" s="10">
        <f>Econ!C798</f>
        <v>4979327.161</v>
      </c>
      <c r="R798" s="10">
        <f>Econ!E798</f>
        <v>2181.956957</v>
      </c>
      <c r="S798" s="10">
        <f>Econ!G798</f>
        <v>640199.2064</v>
      </c>
      <c r="T798" s="10">
        <f>Econ!I798</f>
        <v>0</v>
      </c>
    </row>
    <row r="799">
      <c r="A799" s="7" t="str">
        <f>Econ!A799&amp;if(Econ!B799&lt;10,"_0"&amp;Econ!B799,"_"&amp;Econ!B799)</f>
        <v>Knight_198</v>
      </c>
      <c r="B799" s="7" t="str">
        <f>"T"&amp;Econ!B799&amp;" "&amp;Econ!A799</f>
        <v>T198 Knight</v>
      </c>
      <c r="C799" s="8">
        <f>Econ!B799</f>
        <v>198</v>
      </c>
      <c r="D799" s="7"/>
      <c r="E799" s="9"/>
      <c r="F799" s="9"/>
      <c r="G799" s="10">
        <f>Econ!L799</f>
        <v>225335</v>
      </c>
      <c r="H799" s="11" t="str">
        <f>Econ!M799</f>
        <v/>
      </c>
      <c r="I799" s="11">
        <f>Econ!N799</f>
        <v>4645</v>
      </c>
      <c r="J799" s="12">
        <f>Econ!O799</f>
        <v>4760</v>
      </c>
      <c r="K799" s="13">
        <f>Econ!P799</f>
        <v>56333.75</v>
      </c>
      <c r="L799" s="14">
        <f>Econ!Q799</f>
        <v>0</v>
      </c>
      <c r="M799" s="14">
        <f>Econ!R799</f>
        <v>1161.25</v>
      </c>
      <c r="N799" s="13">
        <f>Econ!S799</f>
        <v>1190</v>
      </c>
      <c r="O799" s="13">
        <f>Econ!T799</f>
        <v>21</v>
      </c>
      <c r="P799" s="7" t="str">
        <f>Econ!A799</f>
        <v>Knight</v>
      </c>
      <c r="Q799" s="10">
        <f>Econ!C799</f>
        <v>5228293.519</v>
      </c>
      <c r="R799" s="10">
        <f>Econ!E799</f>
        <v>2225.596096</v>
      </c>
      <c r="S799" s="10">
        <f>Econ!G799</f>
        <v>672209.1668</v>
      </c>
      <c r="T799" s="10">
        <f>Econ!I799</f>
        <v>0</v>
      </c>
    </row>
    <row r="800">
      <c r="A800" s="7" t="str">
        <f>Econ!A800&amp;if(Econ!B800&lt;10,"_0"&amp;Econ!B800,"_"&amp;Econ!B800)</f>
        <v>Knight_199</v>
      </c>
      <c r="B800" s="7" t="str">
        <f>"T"&amp;Econ!B800&amp;" "&amp;Econ!A800</f>
        <v>T199 Knight</v>
      </c>
      <c r="C800" s="8">
        <f>Econ!B800</f>
        <v>199</v>
      </c>
      <c r="D800" s="7"/>
      <c r="E800" s="9"/>
      <c r="F800" s="9"/>
      <c r="G800" s="10">
        <f>Econ!L800</f>
        <v>226294</v>
      </c>
      <c r="H800" s="11" t="str">
        <f>Econ!M800</f>
        <v/>
      </c>
      <c r="I800" s="11">
        <f>Econ!N800</f>
        <v>4684</v>
      </c>
      <c r="J800" s="12">
        <f>Econ!O800</f>
        <v>4799</v>
      </c>
      <c r="K800" s="13">
        <f>Econ!P800</f>
        <v>56573.5</v>
      </c>
      <c r="L800" s="14">
        <f>Econ!Q800</f>
        <v>0</v>
      </c>
      <c r="M800" s="14">
        <f>Econ!R800</f>
        <v>1171</v>
      </c>
      <c r="N800" s="13">
        <f>Econ!S800</f>
        <v>1199.75</v>
      </c>
      <c r="O800" s="13">
        <f>Econ!T800</f>
        <v>21</v>
      </c>
      <c r="P800" s="7" t="str">
        <f>Econ!A800</f>
        <v>Knight</v>
      </c>
      <c r="Q800" s="10">
        <f>Econ!C800</f>
        <v>5489708.195</v>
      </c>
      <c r="R800" s="10">
        <f>Econ!E800</f>
        <v>2270.108018</v>
      </c>
      <c r="S800" s="10">
        <f>Econ!G800</f>
        <v>705819.6251</v>
      </c>
      <c r="T800" s="10">
        <f>Econ!I800</f>
        <v>0</v>
      </c>
    </row>
    <row r="801">
      <c r="A801" s="7" t="str">
        <f>Econ!A801&amp;if(Econ!B801&lt;10,"_0"&amp;Econ!B801,"_"&amp;Econ!B801)</f>
        <v>Knight_200</v>
      </c>
      <c r="B801" s="7" t="str">
        <f>"T"&amp;Econ!B801&amp;" "&amp;Econ!A801</f>
        <v>T200 Knight</v>
      </c>
      <c r="C801" s="8">
        <f>Econ!B801</f>
        <v>200</v>
      </c>
      <c r="D801" s="7"/>
      <c r="E801" s="9"/>
      <c r="F801" s="9"/>
      <c r="G801" s="10">
        <f>Econ!L801</f>
        <v>227256</v>
      </c>
      <c r="H801" s="11">
        <f>Econ!M801</f>
        <v>47230</v>
      </c>
      <c r="I801" s="11">
        <f>Econ!N801</f>
        <v>4723</v>
      </c>
      <c r="J801" s="12">
        <f>Econ!O801</f>
        <v>4838</v>
      </c>
      <c r="K801" s="13">
        <f>Econ!P801</f>
        <v>56814</v>
      </c>
      <c r="L801" s="14">
        <f>Econ!Q801</f>
        <v>11807.5</v>
      </c>
      <c r="M801" s="14">
        <f>Econ!R801</f>
        <v>1180.75</v>
      </c>
      <c r="N801" s="13">
        <f>Econ!S801</f>
        <v>1209.5</v>
      </c>
      <c r="O801" s="13">
        <f>Econ!T801</f>
        <v>21</v>
      </c>
      <c r="P801" s="7" t="str">
        <f>Econ!A801</f>
        <v>Knight</v>
      </c>
      <c r="Q801" s="10">
        <f>Econ!C801</f>
        <v>5764193.605</v>
      </c>
      <c r="R801" s="10">
        <f>Econ!E801</f>
        <v>2315.510178</v>
      </c>
      <c r="S801" s="10">
        <f>Econ!G801</f>
        <v>741110.6064</v>
      </c>
      <c r="T801" s="10">
        <f>Econ!I801</f>
        <v>0</v>
      </c>
    </row>
    <row r="802">
      <c r="A802" s="7" t="str">
        <f>Econ!A802&amp;if(Econ!B802&lt;10,"_0"&amp;Econ!B802,"_"&amp;Econ!B802)</f>
        <v>Knight_201</v>
      </c>
      <c r="B802" s="7" t="str">
        <f>"T"&amp;Econ!B802&amp;" "&amp;Econ!A802</f>
        <v>T201 Knight</v>
      </c>
      <c r="C802" s="8">
        <f>Econ!B802</f>
        <v>201</v>
      </c>
      <c r="D802" s="7"/>
      <c r="E802" s="9"/>
      <c r="F802" s="9"/>
      <c r="G802" s="10">
        <f>Econ!L802</f>
        <v>228221</v>
      </c>
      <c r="H802" s="11">
        <f>Econ!M802</f>
        <v>47308</v>
      </c>
      <c r="I802" s="11">
        <f>Econ!N802</f>
        <v>4763</v>
      </c>
      <c r="J802" s="12">
        <f>Econ!O802</f>
        <v>4878</v>
      </c>
      <c r="K802" s="13">
        <f>Econ!P802</f>
        <v>57055.25</v>
      </c>
      <c r="L802" s="14">
        <f>Econ!Q802</f>
        <v>11827</v>
      </c>
      <c r="M802" s="14">
        <f>Econ!R802</f>
        <v>1190.75</v>
      </c>
      <c r="N802" s="13">
        <f>Econ!S802</f>
        <v>1219.5</v>
      </c>
      <c r="O802" s="13">
        <f>Econ!T802</f>
        <v>21</v>
      </c>
      <c r="P802" s="7" t="str">
        <f>Econ!A802</f>
        <v>Knight</v>
      </c>
      <c r="Q802" s="10">
        <f>Econ!C802</f>
        <v>6052403.285</v>
      </c>
      <c r="R802" s="10">
        <f>Econ!E802</f>
        <v>2361.820382</v>
      </c>
      <c r="S802" s="10">
        <f>Econ!G802</f>
        <v>778166.1367</v>
      </c>
      <c r="T802" s="10">
        <f>Econ!I802</f>
        <v>0</v>
      </c>
    </row>
    <row r="803">
      <c r="A803" s="7" t="str">
        <f>Econ!A803&amp;if(Econ!B803&lt;10,"_0"&amp;Econ!B803,"_"&amp;Econ!B803)</f>
        <v>Knight_202</v>
      </c>
      <c r="B803" s="7" t="str">
        <f>"T"&amp;Econ!B803&amp;" "&amp;Econ!A803</f>
        <v>T202 Knight</v>
      </c>
      <c r="C803" s="8">
        <f>Econ!B803</f>
        <v>202</v>
      </c>
      <c r="D803" s="7"/>
      <c r="E803" s="9"/>
      <c r="F803" s="9"/>
      <c r="G803" s="10">
        <f>Econ!L803</f>
        <v>229190</v>
      </c>
      <c r="H803" s="11">
        <f>Econ!M803</f>
        <v>47386</v>
      </c>
      <c r="I803" s="11">
        <f>Econ!N803</f>
        <v>4803</v>
      </c>
      <c r="J803" s="12">
        <f>Econ!O803</f>
        <v>4918</v>
      </c>
      <c r="K803" s="13">
        <f>Econ!P803</f>
        <v>57297.5</v>
      </c>
      <c r="L803" s="14">
        <f>Econ!Q803</f>
        <v>11846.5</v>
      </c>
      <c r="M803" s="14">
        <f>Econ!R803</f>
        <v>1200.75</v>
      </c>
      <c r="N803" s="13">
        <f>Econ!S803</f>
        <v>1229.5</v>
      </c>
      <c r="O803" s="13">
        <f>Econ!T803</f>
        <v>21</v>
      </c>
      <c r="P803" s="7" t="str">
        <f>Econ!A803</f>
        <v>Knight</v>
      </c>
      <c r="Q803" s="10">
        <f>Econ!C803</f>
        <v>6355023.45</v>
      </c>
      <c r="R803" s="10">
        <f>Econ!E803</f>
        <v>2409.05679</v>
      </c>
      <c r="S803" s="10">
        <f>Econ!G803</f>
        <v>817074.4435</v>
      </c>
      <c r="T803" s="10">
        <f>Econ!I803</f>
        <v>0</v>
      </c>
    </row>
    <row r="804">
      <c r="A804" s="7" t="str">
        <f>Econ!A804&amp;if(Econ!B804&lt;10,"_0"&amp;Econ!B804,"_"&amp;Econ!B804)</f>
        <v>Knight_203</v>
      </c>
      <c r="B804" s="7" t="str">
        <f>"T"&amp;Econ!B804&amp;" "&amp;Econ!A804</f>
        <v>T203 Knight</v>
      </c>
      <c r="C804" s="8">
        <f>Econ!B804</f>
        <v>203</v>
      </c>
      <c r="D804" s="7"/>
      <c r="E804" s="9"/>
      <c r="F804" s="9"/>
      <c r="G804" s="10">
        <f>Econ!L804</f>
        <v>230162</v>
      </c>
      <c r="H804" s="11">
        <f>Econ!M804</f>
        <v>47465</v>
      </c>
      <c r="I804" s="11">
        <f>Econ!N804</f>
        <v>4843</v>
      </c>
      <c r="J804" s="12">
        <f>Econ!O804</f>
        <v>4958</v>
      </c>
      <c r="K804" s="13">
        <f>Econ!P804</f>
        <v>57540.5</v>
      </c>
      <c r="L804" s="14">
        <f>Econ!Q804</f>
        <v>11866.25</v>
      </c>
      <c r="M804" s="14">
        <f>Econ!R804</f>
        <v>1210.75</v>
      </c>
      <c r="N804" s="13">
        <f>Econ!S804</f>
        <v>1239.5</v>
      </c>
      <c r="O804" s="13">
        <f>Econ!T804</f>
        <v>21</v>
      </c>
      <c r="P804" s="7" t="str">
        <f>Econ!A804</f>
        <v>Knight</v>
      </c>
      <c r="Q804" s="10">
        <f>Econ!C804</f>
        <v>6672774.622</v>
      </c>
      <c r="R804" s="10">
        <f>Econ!E804</f>
        <v>2457.237925</v>
      </c>
      <c r="S804" s="10">
        <f>Econ!G804</f>
        <v>857928.1657</v>
      </c>
      <c r="T804" s="10">
        <f>Econ!I804</f>
        <v>0</v>
      </c>
    </row>
    <row r="805">
      <c r="A805" s="7" t="str">
        <f>Econ!A805&amp;if(Econ!B805&lt;10,"_0"&amp;Econ!B805,"_"&amp;Econ!B805)</f>
        <v>Knight_204</v>
      </c>
      <c r="B805" s="7" t="str">
        <f>"T"&amp;Econ!B805&amp;" "&amp;Econ!A805</f>
        <v>T204 Knight</v>
      </c>
      <c r="C805" s="8">
        <f>Econ!B805</f>
        <v>204</v>
      </c>
      <c r="D805" s="7"/>
      <c r="E805" s="9"/>
      <c r="F805" s="9"/>
      <c r="G805" s="10">
        <f>Econ!L805</f>
        <v>231138</v>
      </c>
      <c r="H805" s="11">
        <f>Econ!M805</f>
        <v>47544</v>
      </c>
      <c r="I805" s="11">
        <f>Econ!N805</f>
        <v>4883</v>
      </c>
      <c r="J805" s="12">
        <f>Econ!O805</f>
        <v>4998</v>
      </c>
      <c r="K805" s="13">
        <f>Econ!P805</f>
        <v>57784.5</v>
      </c>
      <c r="L805" s="14">
        <f>Econ!Q805</f>
        <v>11886</v>
      </c>
      <c r="M805" s="14">
        <f>Econ!R805</f>
        <v>1220.75</v>
      </c>
      <c r="N805" s="13">
        <f>Econ!S805</f>
        <v>1249.5</v>
      </c>
      <c r="O805" s="13">
        <f>Econ!T805</f>
        <v>21</v>
      </c>
      <c r="P805" s="7" t="str">
        <f>Econ!A805</f>
        <v>Knight</v>
      </c>
      <c r="Q805" s="10">
        <f>Econ!C805</f>
        <v>7006413.353</v>
      </c>
      <c r="R805" s="10">
        <f>Econ!E805</f>
        <v>2506.382684</v>
      </c>
      <c r="S805" s="10">
        <f>Econ!G805</f>
        <v>900824.574</v>
      </c>
      <c r="T805" s="10">
        <f>Econ!I805</f>
        <v>0</v>
      </c>
    </row>
    <row r="806">
      <c r="A806" s="7" t="str">
        <f>Econ!A806&amp;if(Econ!B806&lt;10,"_0"&amp;Econ!B806,"_"&amp;Econ!B806)</f>
        <v>Knight_205</v>
      </c>
      <c r="B806" s="7" t="str">
        <f>"T"&amp;Econ!B806&amp;" "&amp;Econ!A806</f>
        <v>T205 Knight</v>
      </c>
      <c r="C806" s="8">
        <f>Econ!B806</f>
        <v>205</v>
      </c>
      <c r="D806" s="7"/>
      <c r="E806" s="9"/>
      <c r="F806" s="9"/>
      <c r="G806" s="10">
        <f>Econ!L806</f>
        <v>232117</v>
      </c>
      <c r="H806" s="11">
        <f>Econ!M806</f>
        <v>47623</v>
      </c>
      <c r="I806" s="11">
        <f>Econ!N806</f>
        <v>4923</v>
      </c>
      <c r="J806" s="12">
        <f>Econ!O806</f>
        <v>5038</v>
      </c>
      <c r="K806" s="13">
        <f>Econ!P806</f>
        <v>58029.25</v>
      </c>
      <c r="L806" s="14">
        <f>Econ!Q806</f>
        <v>11905.75</v>
      </c>
      <c r="M806" s="14">
        <f>Econ!R806</f>
        <v>1230.75</v>
      </c>
      <c r="N806" s="13">
        <f>Econ!S806</f>
        <v>1259.5</v>
      </c>
      <c r="O806" s="13">
        <f>Econ!T806</f>
        <v>22</v>
      </c>
      <c r="P806" s="7" t="str">
        <f>Econ!A806</f>
        <v>Knight</v>
      </c>
      <c r="Q806" s="10">
        <f>Econ!C806</f>
        <v>7356734.021</v>
      </c>
      <c r="R806" s="10">
        <f>Econ!E806</f>
        <v>2556.510338</v>
      </c>
      <c r="S806" s="10">
        <f>Econ!G806</f>
        <v>945865.8027</v>
      </c>
      <c r="T806" s="10">
        <f>Econ!I806</f>
        <v>0</v>
      </c>
    </row>
    <row r="807">
      <c r="A807" s="7" t="str">
        <f>Econ!A807&amp;if(Econ!B807&lt;10,"_0"&amp;Econ!B807,"_"&amp;Econ!B807)</f>
        <v>Knight_206</v>
      </c>
      <c r="B807" s="7" t="str">
        <f>"T"&amp;Econ!B807&amp;" "&amp;Econ!A807</f>
        <v>T206 Knight</v>
      </c>
      <c r="C807" s="8">
        <f>Econ!B807</f>
        <v>206</v>
      </c>
      <c r="D807" s="7"/>
      <c r="E807" s="9"/>
      <c r="F807" s="9"/>
      <c r="G807" s="10">
        <f>Econ!L807</f>
        <v>233099</v>
      </c>
      <c r="H807" s="11">
        <f>Econ!M807</f>
        <v>47702</v>
      </c>
      <c r="I807" s="11">
        <f>Econ!N807</f>
        <v>4963</v>
      </c>
      <c r="J807" s="12">
        <f>Econ!O807</f>
        <v>5078</v>
      </c>
      <c r="K807" s="13">
        <f>Econ!P807</f>
        <v>58274.75</v>
      </c>
      <c r="L807" s="14">
        <f>Econ!Q807</f>
        <v>11925.5</v>
      </c>
      <c r="M807" s="14">
        <f>Econ!R807</f>
        <v>1240.75</v>
      </c>
      <c r="N807" s="13">
        <f>Econ!S807</f>
        <v>1269.5</v>
      </c>
      <c r="O807" s="13">
        <f>Econ!T807</f>
        <v>22</v>
      </c>
      <c r="P807" s="7" t="str">
        <f>Econ!A807</f>
        <v>Knight</v>
      </c>
      <c r="Q807" s="10">
        <f>Econ!C807</f>
        <v>7724570.722</v>
      </c>
      <c r="R807" s="10">
        <f>Econ!E807</f>
        <v>2607.640544</v>
      </c>
      <c r="S807" s="10">
        <f>Econ!G807</f>
        <v>993159.0928</v>
      </c>
      <c r="T807" s="10">
        <f>Econ!I807</f>
        <v>0</v>
      </c>
    </row>
    <row r="808">
      <c r="A808" s="7" t="str">
        <f>Econ!A808&amp;if(Econ!B808&lt;10,"_0"&amp;Econ!B808,"_"&amp;Econ!B808)</f>
        <v>Knight_207</v>
      </c>
      <c r="B808" s="7" t="str">
        <f>"T"&amp;Econ!B808&amp;" "&amp;Econ!A808</f>
        <v>T207 Knight</v>
      </c>
      <c r="C808" s="8">
        <f>Econ!B808</f>
        <v>207</v>
      </c>
      <c r="D808" s="7"/>
      <c r="E808" s="9"/>
      <c r="F808" s="9"/>
      <c r="G808" s="10">
        <f>Econ!L808</f>
        <v>234085</v>
      </c>
      <c r="H808" s="11">
        <f>Econ!M808</f>
        <v>47782</v>
      </c>
      <c r="I808" s="11">
        <f>Econ!N808</f>
        <v>5003</v>
      </c>
      <c r="J808" s="12">
        <f>Econ!O808</f>
        <v>5118</v>
      </c>
      <c r="K808" s="13">
        <f>Econ!P808</f>
        <v>58521.25</v>
      </c>
      <c r="L808" s="14">
        <f>Econ!Q808</f>
        <v>11945.5</v>
      </c>
      <c r="M808" s="14">
        <f>Econ!R808</f>
        <v>1250.75</v>
      </c>
      <c r="N808" s="13">
        <f>Econ!S808</f>
        <v>1279.5</v>
      </c>
      <c r="O808" s="13">
        <f>Econ!T808</f>
        <v>22</v>
      </c>
      <c r="P808" s="7" t="str">
        <f>Econ!A808</f>
        <v>Knight</v>
      </c>
      <c r="Q808" s="10">
        <f>Econ!C808</f>
        <v>8110799.258</v>
      </c>
      <c r="R808" s="10">
        <f>Econ!E808</f>
        <v>2659.793355</v>
      </c>
      <c r="S808" s="10">
        <f>Econ!G808</f>
        <v>1042817.047</v>
      </c>
      <c r="T808" s="10">
        <f>Econ!I808</f>
        <v>0</v>
      </c>
    </row>
    <row r="809">
      <c r="A809" s="7" t="str">
        <f>Econ!A809&amp;if(Econ!B809&lt;10,"_0"&amp;Econ!B809,"_"&amp;Econ!B809)</f>
        <v>Knight_208</v>
      </c>
      <c r="B809" s="7" t="str">
        <f>"T"&amp;Econ!B809&amp;" "&amp;Econ!A809</f>
        <v>T208 Knight</v>
      </c>
      <c r="C809" s="8">
        <f>Econ!B809</f>
        <v>208</v>
      </c>
      <c r="D809" s="7"/>
      <c r="E809" s="9"/>
      <c r="F809" s="9"/>
      <c r="G809" s="10">
        <f>Econ!L809</f>
        <v>235074</v>
      </c>
      <c r="H809" s="11">
        <f>Econ!M809</f>
        <v>47862</v>
      </c>
      <c r="I809" s="11">
        <f>Econ!N809</f>
        <v>5044</v>
      </c>
      <c r="J809" s="12">
        <f>Econ!O809</f>
        <v>5159</v>
      </c>
      <c r="K809" s="13">
        <f>Econ!P809</f>
        <v>58768.5</v>
      </c>
      <c r="L809" s="14">
        <f>Econ!Q809</f>
        <v>11965.5</v>
      </c>
      <c r="M809" s="14">
        <f>Econ!R809</f>
        <v>1261</v>
      </c>
      <c r="N809" s="13">
        <f>Econ!S809</f>
        <v>1289.75</v>
      </c>
      <c r="O809" s="13">
        <f>Econ!T809</f>
        <v>22</v>
      </c>
      <c r="P809" s="7" t="str">
        <f>Econ!A809</f>
        <v>Knight</v>
      </c>
      <c r="Q809" s="10">
        <f>Econ!C809</f>
        <v>8516339.221</v>
      </c>
      <c r="R809" s="10">
        <f>Econ!E809</f>
        <v>2712.989222</v>
      </c>
      <c r="S809" s="10">
        <f>Econ!G809</f>
        <v>1094957.9</v>
      </c>
      <c r="T809" s="10">
        <f>Econ!I809</f>
        <v>0</v>
      </c>
    </row>
    <row r="810">
      <c r="A810" s="7" t="str">
        <f>Econ!A810&amp;if(Econ!B810&lt;10,"_0"&amp;Econ!B810,"_"&amp;Econ!B810)</f>
        <v>Knight_209</v>
      </c>
      <c r="B810" s="7" t="str">
        <f>"T"&amp;Econ!B810&amp;" "&amp;Econ!A810</f>
        <v>T209 Knight</v>
      </c>
      <c r="C810" s="8">
        <f>Econ!B810</f>
        <v>209</v>
      </c>
      <c r="D810" s="7"/>
      <c r="E810" s="9"/>
      <c r="F810" s="9"/>
      <c r="G810" s="10">
        <f>Econ!L810</f>
        <v>236066</v>
      </c>
      <c r="H810" s="11">
        <f>Econ!M810</f>
        <v>47942</v>
      </c>
      <c r="I810" s="11">
        <f>Econ!N810</f>
        <v>5085</v>
      </c>
      <c r="J810" s="12">
        <f>Econ!O810</f>
        <v>5200</v>
      </c>
      <c r="K810" s="13">
        <f>Econ!P810</f>
        <v>59016.5</v>
      </c>
      <c r="L810" s="14">
        <f>Econ!Q810</f>
        <v>11985.5</v>
      </c>
      <c r="M810" s="14">
        <f>Econ!R810</f>
        <v>1271.25</v>
      </c>
      <c r="N810" s="13">
        <f>Econ!S810</f>
        <v>1300</v>
      </c>
      <c r="O810" s="13">
        <f>Econ!T810</f>
        <v>22</v>
      </c>
      <c r="P810" s="7" t="str">
        <f>Econ!A810</f>
        <v>Knight</v>
      </c>
      <c r="Q810" s="10">
        <f>Econ!C810</f>
        <v>8942156.182</v>
      </c>
      <c r="R810" s="10">
        <f>Econ!E810</f>
        <v>2767.249007</v>
      </c>
      <c r="S810" s="10">
        <f>Econ!G810</f>
        <v>1149705.795</v>
      </c>
      <c r="T810" s="10">
        <f>Econ!I810</f>
        <v>0</v>
      </c>
    </row>
    <row r="811">
      <c r="A811" s="7" t="str">
        <f>Econ!A811&amp;if(Econ!B811&lt;10,"_0"&amp;Econ!B811,"_"&amp;Econ!B811)</f>
        <v>Knight_210</v>
      </c>
      <c r="B811" s="7" t="str">
        <f>"T"&amp;Econ!B811&amp;" "&amp;Econ!A811</f>
        <v>T210 Knight</v>
      </c>
      <c r="C811" s="8">
        <f>Econ!B811</f>
        <v>210</v>
      </c>
      <c r="D811" s="7"/>
      <c r="E811" s="9"/>
      <c r="F811" s="9"/>
      <c r="G811" s="10">
        <f>Econ!L811</f>
        <v>237062</v>
      </c>
      <c r="H811" s="11">
        <f>Econ!M811</f>
        <v>48023</v>
      </c>
      <c r="I811" s="11">
        <f>Econ!N811</f>
        <v>5126</v>
      </c>
      <c r="J811" s="12">
        <f>Econ!O811</f>
        <v>5241</v>
      </c>
      <c r="K811" s="13">
        <f>Econ!P811</f>
        <v>59265.5</v>
      </c>
      <c r="L811" s="14">
        <f>Econ!Q811</f>
        <v>12005.75</v>
      </c>
      <c r="M811" s="14">
        <f>Econ!R811</f>
        <v>1281.5</v>
      </c>
      <c r="N811" s="13">
        <f>Econ!S811</f>
        <v>1310.25</v>
      </c>
      <c r="O811" s="13">
        <f>Econ!T811</f>
        <v>22</v>
      </c>
      <c r="P811" s="7" t="str">
        <f>Econ!A811</f>
        <v>Knight</v>
      </c>
      <c r="Q811" s="10">
        <f>Econ!C811</f>
        <v>9389263.991</v>
      </c>
      <c r="R811" s="10">
        <f>Econ!E811</f>
        <v>2822.593987</v>
      </c>
      <c r="S811" s="10">
        <f>Econ!G811</f>
        <v>1207191.085</v>
      </c>
      <c r="T811" s="10">
        <f>Econ!I811</f>
        <v>0</v>
      </c>
    </row>
    <row r="812">
      <c r="A812" s="7" t="str">
        <f>Econ!A812&amp;if(Econ!B812&lt;10,"_0"&amp;Econ!B812,"_"&amp;Econ!B812)</f>
        <v>Knight_211</v>
      </c>
      <c r="B812" s="7" t="str">
        <f>"T"&amp;Econ!B812&amp;" "&amp;Econ!A812</f>
        <v>T211 Knight</v>
      </c>
      <c r="C812" s="8">
        <f>Econ!B812</f>
        <v>211</v>
      </c>
      <c r="D812" s="7"/>
      <c r="E812" s="9"/>
      <c r="F812" s="9"/>
      <c r="G812" s="10">
        <f>Econ!L812</f>
        <v>238061</v>
      </c>
      <c r="H812" s="11">
        <f>Econ!M812</f>
        <v>48104</v>
      </c>
      <c r="I812" s="11">
        <f>Econ!N812</f>
        <v>5167</v>
      </c>
      <c r="J812" s="12">
        <f>Econ!O812</f>
        <v>5282</v>
      </c>
      <c r="K812" s="13">
        <f>Econ!P812</f>
        <v>59515.25</v>
      </c>
      <c r="L812" s="14">
        <f>Econ!Q812</f>
        <v>12026</v>
      </c>
      <c r="M812" s="14">
        <f>Econ!R812</f>
        <v>1291.75</v>
      </c>
      <c r="N812" s="13">
        <f>Econ!S812</f>
        <v>1320.5</v>
      </c>
      <c r="O812" s="13">
        <f>Econ!T812</f>
        <v>22</v>
      </c>
      <c r="P812" s="7" t="str">
        <f>Econ!A812</f>
        <v>Knight</v>
      </c>
      <c r="Q812" s="10">
        <f>Econ!C812</f>
        <v>9858727.191</v>
      </c>
      <c r="R812" s="10">
        <f>Econ!E812</f>
        <v>2879.045867</v>
      </c>
      <c r="S812" s="10">
        <f>Econ!G812</f>
        <v>1267550.639</v>
      </c>
      <c r="T812" s="10">
        <f>Econ!I812</f>
        <v>0</v>
      </c>
    </row>
    <row r="813">
      <c r="A813" s="7" t="str">
        <f>Econ!A813&amp;if(Econ!B813&lt;10,"_0"&amp;Econ!B813,"_"&amp;Econ!B813)</f>
        <v>Knight_212</v>
      </c>
      <c r="B813" s="7" t="str">
        <f>"T"&amp;Econ!B813&amp;" "&amp;Econ!A813</f>
        <v>T212 Knight</v>
      </c>
      <c r="C813" s="8">
        <f>Econ!B813</f>
        <v>212</v>
      </c>
      <c r="D813" s="7"/>
      <c r="E813" s="9"/>
      <c r="F813" s="9"/>
      <c r="G813" s="10">
        <f>Econ!L813</f>
        <v>239063</v>
      </c>
      <c r="H813" s="11">
        <f>Econ!M813</f>
        <v>48185</v>
      </c>
      <c r="I813" s="11">
        <f>Econ!N813</f>
        <v>5208</v>
      </c>
      <c r="J813" s="12">
        <f>Econ!O813</f>
        <v>5323</v>
      </c>
      <c r="K813" s="13">
        <f>Econ!P813</f>
        <v>59765.75</v>
      </c>
      <c r="L813" s="14">
        <f>Econ!Q813</f>
        <v>12046.25</v>
      </c>
      <c r="M813" s="14">
        <f>Econ!R813</f>
        <v>1302</v>
      </c>
      <c r="N813" s="13">
        <f>Econ!S813</f>
        <v>1330.75</v>
      </c>
      <c r="O813" s="13">
        <f>Econ!T813</f>
        <v>22</v>
      </c>
      <c r="P813" s="7" t="str">
        <f>Econ!A813</f>
        <v>Knight</v>
      </c>
      <c r="Q813" s="10">
        <f>Econ!C813</f>
        <v>10351663.55</v>
      </c>
      <c r="R813" s="10">
        <f>Econ!E813</f>
        <v>2936.626784</v>
      </c>
      <c r="S813" s="10">
        <f>Econ!G813</f>
        <v>1330928.171</v>
      </c>
      <c r="T813" s="10">
        <f>Econ!I813</f>
        <v>0</v>
      </c>
    </row>
    <row r="814">
      <c r="A814" s="7" t="str">
        <f>Econ!A814&amp;if(Econ!B814&lt;10,"_0"&amp;Econ!B814,"_"&amp;Econ!B814)</f>
        <v>Knight_213</v>
      </c>
      <c r="B814" s="7" t="str">
        <f>"T"&amp;Econ!B814&amp;" "&amp;Econ!A814</f>
        <v>T213 Knight</v>
      </c>
      <c r="C814" s="8">
        <f>Econ!B814</f>
        <v>213</v>
      </c>
      <c r="D814" s="7"/>
      <c r="E814" s="9"/>
      <c r="F814" s="9"/>
      <c r="G814" s="10">
        <f>Econ!L814</f>
        <v>240069</v>
      </c>
      <c r="H814" s="11">
        <f>Econ!M814</f>
        <v>48266</v>
      </c>
      <c r="I814" s="11">
        <f>Econ!N814</f>
        <v>5249</v>
      </c>
      <c r="J814" s="12">
        <f>Econ!O814</f>
        <v>5364</v>
      </c>
      <c r="K814" s="13">
        <f>Econ!P814</f>
        <v>60017.25</v>
      </c>
      <c r="L814" s="14">
        <f>Econ!Q814</f>
        <v>12066.5</v>
      </c>
      <c r="M814" s="14">
        <f>Econ!R814</f>
        <v>1312.25</v>
      </c>
      <c r="N814" s="13">
        <f>Econ!S814</f>
        <v>1341</v>
      </c>
      <c r="O814" s="13">
        <f>Econ!T814</f>
        <v>22</v>
      </c>
      <c r="P814" s="7" t="str">
        <f>Econ!A814</f>
        <v>Knight</v>
      </c>
      <c r="Q814" s="10">
        <f>Econ!C814</f>
        <v>10869246.73</v>
      </c>
      <c r="R814" s="10">
        <f>Econ!E814</f>
        <v>2995.35932</v>
      </c>
      <c r="S814" s="10">
        <f>Econ!G814</f>
        <v>1397474.579</v>
      </c>
      <c r="T814" s="10">
        <f>Econ!I814</f>
        <v>0</v>
      </c>
    </row>
    <row r="815">
      <c r="A815" s="7" t="str">
        <f>Econ!A815&amp;if(Econ!B815&lt;10,"_0"&amp;Econ!B815,"_"&amp;Econ!B815)</f>
        <v>Knight_214</v>
      </c>
      <c r="B815" s="7" t="str">
        <f>"T"&amp;Econ!B815&amp;" "&amp;Econ!A815</f>
        <v>T214 Knight</v>
      </c>
      <c r="C815" s="8">
        <f>Econ!B815</f>
        <v>214</v>
      </c>
      <c r="D815" s="7"/>
      <c r="E815" s="9"/>
      <c r="F815" s="9"/>
      <c r="G815" s="10">
        <f>Econ!L815</f>
        <v>241078</v>
      </c>
      <c r="H815" s="11">
        <f>Econ!M815</f>
        <v>48348</v>
      </c>
      <c r="I815" s="11">
        <f>Econ!N815</f>
        <v>5290</v>
      </c>
      <c r="J815" s="12">
        <f>Econ!O815</f>
        <v>5405</v>
      </c>
      <c r="K815" s="13">
        <f>Econ!P815</f>
        <v>60269.5</v>
      </c>
      <c r="L815" s="14">
        <f>Econ!Q815</f>
        <v>12087</v>
      </c>
      <c r="M815" s="14">
        <f>Econ!R815</f>
        <v>1322.5</v>
      </c>
      <c r="N815" s="13">
        <f>Econ!S815</f>
        <v>1351.25</v>
      </c>
      <c r="O815" s="13">
        <f>Econ!T815</f>
        <v>22</v>
      </c>
      <c r="P815" s="7" t="str">
        <f>Econ!A815</f>
        <v>Knight</v>
      </c>
      <c r="Q815" s="10">
        <f>Econ!C815</f>
        <v>11412709.06</v>
      </c>
      <c r="R815" s="10">
        <f>Econ!E815</f>
        <v>3055.266506</v>
      </c>
      <c r="S815" s="10">
        <f>Econ!G815</f>
        <v>1467348.308</v>
      </c>
      <c r="T815" s="10">
        <f>Econ!I815</f>
        <v>0</v>
      </c>
    </row>
    <row r="816">
      <c r="A816" s="7" t="str">
        <f>Econ!A816&amp;if(Econ!B816&lt;10,"_0"&amp;Econ!B816,"_"&amp;Econ!B816)</f>
        <v>Knight_215</v>
      </c>
      <c r="B816" s="7" t="str">
        <f>"T"&amp;Econ!B816&amp;" "&amp;Econ!A816</f>
        <v>T215 Knight</v>
      </c>
      <c r="C816" s="8">
        <f>Econ!B816</f>
        <v>215</v>
      </c>
      <c r="D816" s="7"/>
      <c r="E816" s="9"/>
      <c r="F816" s="9"/>
      <c r="G816" s="10">
        <f>Econ!L816</f>
        <v>242090</v>
      </c>
      <c r="H816" s="11">
        <f>Econ!M816</f>
        <v>48430</v>
      </c>
      <c r="I816" s="11">
        <f>Econ!N816</f>
        <v>5331</v>
      </c>
      <c r="J816" s="12">
        <f>Econ!O816</f>
        <v>5446</v>
      </c>
      <c r="K816" s="13">
        <f>Econ!P816</f>
        <v>60522.5</v>
      </c>
      <c r="L816" s="14">
        <f>Econ!Q816</f>
        <v>12107.5</v>
      </c>
      <c r="M816" s="14">
        <f>Econ!R816</f>
        <v>1332.75</v>
      </c>
      <c r="N816" s="13">
        <f>Econ!S816</f>
        <v>1361.5</v>
      </c>
      <c r="O816" s="13">
        <f>Econ!T816</f>
        <v>23</v>
      </c>
      <c r="P816" s="7" t="str">
        <f>Econ!A816</f>
        <v>Knight</v>
      </c>
      <c r="Q816" s="10">
        <f>Econ!C816</f>
        <v>11983344.52</v>
      </c>
      <c r="R816" s="10">
        <f>Econ!E816</f>
        <v>3116.371836</v>
      </c>
      <c r="S816" s="10">
        <f>Econ!G816</f>
        <v>1540715.724</v>
      </c>
      <c r="T816" s="10">
        <f>Econ!I816</f>
        <v>0</v>
      </c>
    </row>
    <row r="817">
      <c r="A817" s="7" t="str">
        <f>Econ!A817&amp;if(Econ!B817&lt;10,"_0"&amp;Econ!B817,"_"&amp;Econ!B817)</f>
        <v>Knight_216</v>
      </c>
      <c r="B817" s="7" t="str">
        <f>"T"&amp;Econ!B817&amp;" "&amp;Econ!A817</f>
        <v>T216 Knight</v>
      </c>
      <c r="C817" s="8">
        <f>Econ!B817</f>
        <v>216</v>
      </c>
      <c r="D817" s="7"/>
      <c r="E817" s="9"/>
      <c r="F817" s="9"/>
      <c r="G817" s="10">
        <f>Econ!L817</f>
        <v>243105</v>
      </c>
      <c r="H817" s="11">
        <f>Econ!M817</f>
        <v>48512</v>
      </c>
      <c r="I817" s="11">
        <f>Econ!N817</f>
        <v>5373</v>
      </c>
      <c r="J817" s="12">
        <f>Econ!O817</f>
        <v>5488</v>
      </c>
      <c r="K817" s="13">
        <f>Econ!P817</f>
        <v>60776.25</v>
      </c>
      <c r="L817" s="14">
        <f>Econ!Q817</f>
        <v>12128</v>
      </c>
      <c r="M817" s="14">
        <f>Econ!R817</f>
        <v>1343.25</v>
      </c>
      <c r="N817" s="13">
        <f>Econ!S817</f>
        <v>1372</v>
      </c>
      <c r="O817" s="13">
        <f>Econ!T817</f>
        <v>23</v>
      </c>
      <c r="P817" s="7" t="str">
        <f>Econ!A817</f>
        <v>Knight</v>
      </c>
      <c r="Q817" s="10">
        <f>Econ!C817</f>
        <v>12582511.74</v>
      </c>
      <c r="R817" s="10">
        <f>Econ!E817</f>
        <v>3178.699273</v>
      </c>
      <c r="S817" s="10">
        <f>Econ!G817</f>
        <v>1617751.51</v>
      </c>
      <c r="T817" s="10">
        <f>Econ!I817</f>
        <v>0</v>
      </c>
    </row>
    <row r="818">
      <c r="A818" s="7" t="str">
        <f>Econ!A818&amp;if(Econ!B818&lt;10,"_0"&amp;Econ!B818,"_"&amp;Econ!B818)</f>
        <v>Knight_217</v>
      </c>
      <c r="B818" s="7" t="str">
        <f>"T"&amp;Econ!B818&amp;" "&amp;Econ!A818</f>
        <v>T217 Knight</v>
      </c>
      <c r="C818" s="8">
        <f>Econ!B818</f>
        <v>217</v>
      </c>
      <c r="D818" s="7"/>
      <c r="E818" s="9"/>
      <c r="F818" s="9"/>
      <c r="G818" s="10">
        <f>Econ!L818</f>
        <v>244124</v>
      </c>
      <c r="H818" s="11">
        <f>Econ!M818</f>
        <v>48594</v>
      </c>
      <c r="I818" s="11">
        <f>Econ!N818</f>
        <v>5415</v>
      </c>
      <c r="J818" s="12">
        <f>Econ!O818</f>
        <v>5530</v>
      </c>
      <c r="K818" s="13">
        <f>Econ!P818</f>
        <v>61031</v>
      </c>
      <c r="L818" s="14">
        <f>Econ!Q818</f>
        <v>12148.5</v>
      </c>
      <c r="M818" s="14">
        <f>Econ!R818</f>
        <v>1353.75</v>
      </c>
      <c r="N818" s="13">
        <f>Econ!S818</f>
        <v>1382.5</v>
      </c>
      <c r="O818" s="13">
        <f>Econ!T818</f>
        <v>23</v>
      </c>
      <c r="P818" s="7" t="str">
        <f>Econ!A818</f>
        <v>Knight</v>
      </c>
      <c r="Q818" s="10">
        <f>Econ!C818</f>
        <v>13211637.33</v>
      </c>
      <c r="R818" s="10">
        <f>Econ!E818</f>
        <v>3242.273258</v>
      </c>
      <c r="S818" s="10">
        <f>Econ!G818</f>
        <v>1698639.085</v>
      </c>
      <c r="T818" s="10">
        <f>Econ!I818</f>
        <v>0</v>
      </c>
    </row>
    <row r="819">
      <c r="A819" s="7" t="str">
        <f>Econ!A819&amp;if(Econ!B819&lt;10,"_0"&amp;Econ!B819,"_"&amp;Econ!B819)</f>
        <v>Knight_218</v>
      </c>
      <c r="B819" s="7" t="str">
        <f>"T"&amp;Econ!B819&amp;" "&amp;Econ!A819</f>
        <v>T218 Knight</v>
      </c>
      <c r="C819" s="8">
        <f>Econ!B819</f>
        <v>218</v>
      </c>
      <c r="D819" s="7"/>
      <c r="E819" s="9"/>
      <c r="F819" s="9"/>
      <c r="G819" s="10">
        <f>Econ!L819</f>
        <v>245146</v>
      </c>
      <c r="H819" s="11">
        <f>Econ!M819</f>
        <v>48677</v>
      </c>
      <c r="I819" s="11">
        <f>Econ!N819</f>
        <v>5457</v>
      </c>
      <c r="J819" s="12">
        <f>Econ!O819</f>
        <v>5572</v>
      </c>
      <c r="K819" s="13">
        <f>Econ!P819</f>
        <v>61286.5</v>
      </c>
      <c r="L819" s="14">
        <f>Econ!Q819</f>
        <v>12169.25</v>
      </c>
      <c r="M819" s="14">
        <f>Econ!R819</f>
        <v>1364.25</v>
      </c>
      <c r="N819" s="13">
        <f>Econ!S819</f>
        <v>1393</v>
      </c>
      <c r="O819" s="13">
        <f>Econ!T819</f>
        <v>23</v>
      </c>
      <c r="P819" s="7" t="str">
        <f>Econ!A819</f>
        <v>Knight</v>
      </c>
      <c r="Q819" s="10">
        <f>Econ!C819</f>
        <v>13872219.2</v>
      </c>
      <c r="R819" s="10">
        <f>Econ!E819</f>
        <v>3307.118724</v>
      </c>
      <c r="S819" s="10">
        <f>Econ!G819</f>
        <v>1783571.04</v>
      </c>
      <c r="T819" s="10">
        <f>Econ!I819</f>
        <v>0</v>
      </c>
    </row>
    <row r="820">
      <c r="A820" s="7" t="str">
        <f>Econ!A820&amp;if(Econ!B820&lt;10,"_0"&amp;Econ!B820,"_"&amp;Econ!B820)</f>
        <v>Knight_219</v>
      </c>
      <c r="B820" s="7" t="str">
        <f>"T"&amp;Econ!B820&amp;" "&amp;Econ!A820</f>
        <v>T219 Knight</v>
      </c>
      <c r="C820" s="8">
        <f>Econ!B820</f>
        <v>219</v>
      </c>
      <c r="D820" s="7"/>
      <c r="E820" s="9"/>
      <c r="F820" s="9"/>
      <c r="G820" s="10">
        <f>Econ!L820</f>
        <v>246171</v>
      </c>
      <c r="H820" s="11">
        <f>Econ!M820</f>
        <v>48760</v>
      </c>
      <c r="I820" s="11">
        <f>Econ!N820</f>
        <v>5499</v>
      </c>
      <c r="J820" s="12">
        <f>Econ!O820</f>
        <v>5614</v>
      </c>
      <c r="K820" s="13">
        <f>Econ!P820</f>
        <v>61542.75</v>
      </c>
      <c r="L820" s="14">
        <f>Econ!Q820</f>
        <v>12190</v>
      </c>
      <c r="M820" s="14">
        <f>Econ!R820</f>
        <v>1374.75</v>
      </c>
      <c r="N820" s="13">
        <f>Econ!S820</f>
        <v>1403.5</v>
      </c>
      <c r="O820" s="13">
        <f>Econ!T820</f>
        <v>23</v>
      </c>
      <c r="P820" s="7" t="str">
        <f>Econ!A820</f>
        <v>Knight</v>
      </c>
      <c r="Q820" s="10">
        <f>Econ!C820</f>
        <v>14565830.16</v>
      </c>
      <c r="R820" s="10">
        <f>Econ!E820</f>
        <v>3373.261098</v>
      </c>
      <c r="S820" s="10">
        <f>Econ!G820</f>
        <v>1872749.592</v>
      </c>
      <c r="T820" s="10">
        <f>Econ!I820</f>
        <v>0</v>
      </c>
    </row>
    <row r="821">
      <c r="A821" s="7" t="str">
        <f>Econ!A821&amp;if(Econ!B821&lt;10,"_0"&amp;Econ!B821,"_"&amp;Econ!B821)</f>
        <v>Knight_220</v>
      </c>
      <c r="B821" s="7" t="str">
        <f>"T"&amp;Econ!B821&amp;" "&amp;Econ!A821</f>
        <v>T220 Knight</v>
      </c>
      <c r="C821" s="8">
        <f>Econ!B821</f>
        <v>220</v>
      </c>
      <c r="D821" s="7"/>
      <c r="E821" s="9"/>
      <c r="F821" s="9"/>
      <c r="G821" s="10">
        <f>Econ!L821</f>
        <v>247200</v>
      </c>
      <c r="H821" s="11">
        <f>Econ!M821</f>
        <v>48843</v>
      </c>
      <c r="I821" s="11">
        <f>Econ!N821</f>
        <v>5541</v>
      </c>
      <c r="J821" s="12">
        <f>Econ!O821</f>
        <v>5656</v>
      </c>
      <c r="K821" s="13">
        <f>Econ!P821</f>
        <v>61800</v>
      </c>
      <c r="L821" s="14">
        <f>Econ!Q821</f>
        <v>12210.75</v>
      </c>
      <c r="M821" s="14">
        <f>Econ!R821</f>
        <v>1385.25</v>
      </c>
      <c r="N821" s="13">
        <f>Econ!S821</f>
        <v>1414</v>
      </c>
      <c r="O821" s="13">
        <f>Econ!T821</f>
        <v>23</v>
      </c>
      <c r="P821" s="7" t="str">
        <f>Econ!A821</f>
        <v>Knight</v>
      </c>
      <c r="Q821" s="10">
        <f>Econ!C821</f>
        <v>15294121.66</v>
      </c>
      <c r="R821" s="10">
        <f>Econ!E821</f>
        <v>3440.72632</v>
      </c>
      <c r="S821" s="10">
        <f>Econ!G821</f>
        <v>1966387.071</v>
      </c>
      <c r="T821" s="10">
        <f>Econ!I821</f>
        <v>0</v>
      </c>
    </row>
    <row r="822">
      <c r="A822" s="7" t="str">
        <f>Econ!A822&amp;if(Econ!B822&lt;10,"_0"&amp;Econ!B822,"_"&amp;Econ!B822)</f>
        <v>Knight_221</v>
      </c>
      <c r="B822" s="7" t="str">
        <f>"T"&amp;Econ!B822&amp;" "&amp;Econ!A822</f>
        <v>T221 Knight</v>
      </c>
      <c r="C822" s="8">
        <f>Econ!B822</f>
        <v>221</v>
      </c>
      <c r="D822" s="7"/>
      <c r="E822" s="9"/>
      <c r="F822" s="9"/>
      <c r="G822" s="10">
        <f>Econ!L822</f>
        <v>248232</v>
      </c>
      <c r="H822" s="11">
        <f>Econ!M822</f>
        <v>48926</v>
      </c>
      <c r="I822" s="11">
        <f>Econ!N822</f>
        <v>5583</v>
      </c>
      <c r="J822" s="12">
        <f>Econ!O822</f>
        <v>5698</v>
      </c>
      <c r="K822" s="13">
        <f>Econ!P822</f>
        <v>62058</v>
      </c>
      <c r="L822" s="14">
        <f>Econ!Q822</f>
        <v>12231.5</v>
      </c>
      <c r="M822" s="14">
        <f>Econ!R822</f>
        <v>1395.75</v>
      </c>
      <c r="N822" s="13">
        <f>Econ!S822</f>
        <v>1424.5</v>
      </c>
      <c r="O822" s="13">
        <f>Econ!T822</f>
        <v>23</v>
      </c>
      <c r="P822" s="7" t="str">
        <f>Econ!A822</f>
        <v>Knight</v>
      </c>
      <c r="Q822" s="10">
        <f>Econ!C822</f>
        <v>16058827.75</v>
      </c>
      <c r="R822" s="10">
        <f>Econ!E822</f>
        <v>3509.540846</v>
      </c>
      <c r="S822" s="10">
        <f>Econ!G822</f>
        <v>2064706.425</v>
      </c>
      <c r="T822" s="10">
        <f>Econ!I822</f>
        <v>0</v>
      </c>
    </row>
    <row r="823">
      <c r="A823" s="7" t="str">
        <f>Econ!A823&amp;if(Econ!B823&lt;10,"_0"&amp;Econ!B823,"_"&amp;Econ!B823)</f>
        <v>Knight_222</v>
      </c>
      <c r="B823" s="7" t="str">
        <f>"T"&amp;Econ!B823&amp;" "&amp;Econ!A823</f>
        <v>T222 Knight</v>
      </c>
      <c r="C823" s="8">
        <f>Econ!B823</f>
        <v>222</v>
      </c>
      <c r="D823" s="7"/>
      <c r="E823" s="9"/>
      <c r="F823" s="9"/>
      <c r="G823" s="10">
        <f>Econ!L823</f>
        <v>249267</v>
      </c>
      <c r="H823" s="11">
        <f>Econ!M823</f>
        <v>49010</v>
      </c>
      <c r="I823" s="11">
        <f>Econ!N823</f>
        <v>5625</v>
      </c>
      <c r="J823" s="12">
        <f>Econ!O823</f>
        <v>5740</v>
      </c>
      <c r="K823" s="13">
        <f>Econ!P823</f>
        <v>62316.75</v>
      </c>
      <c r="L823" s="14">
        <f>Econ!Q823</f>
        <v>12252.5</v>
      </c>
      <c r="M823" s="14">
        <f>Econ!R823</f>
        <v>1406.25</v>
      </c>
      <c r="N823" s="13">
        <f>Econ!S823</f>
        <v>1435</v>
      </c>
      <c r="O823" s="13">
        <f>Econ!T823</f>
        <v>23</v>
      </c>
      <c r="P823" s="7" t="str">
        <f>Econ!A823</f>
        <v>Knight</v>
      </c>
      <c r="Q823" s="10">
        <f>Econ!C823</f>
        <v>16861769.13</v>
      </c>
      <c r="R823" s="10">
        <f>Econ!E823</f>
        <v>3579.731663</v>
      </c>
      <c r="S823" s="10">
        <f>Econ!G823</f>
        <v>2167941.746</v>
      </c>
      <c r="T823" s="10">
        <f>Econ!I823</f>
        <v>0</v>
      </c>
    </row>
    <row r="824">
      <c r="A824" s="7" t="str">
        <f>Econ!A824&amp;if(Econ!B824&lt;10,"_0"&amp;Econ!B824,"_"&amp;Econ!B824)</f>
        <v>Knight_223</v>
      </c>
      <c r="B824" s="7" t="str">
        <f>"T"&amp;Econ!B824&amp;" "&amp;Econ!A824</f>
        <v>T223 Knight</v>
      </c>
      <c r="C824" s="8">
        <f>Econ!B824</f>
        <v>223</v>
      </c>
      <c r="D824" s="7"/>
      <c r="E824" s="9"/>
      <c r="F824" s="9"/>
      <c r="G824" s="10">
        <f>Econ!L824</f>
        <v>250306</v>
      </c>
      <c r="H824" s="11">
        <f>Econ!M824</f>
        <v>49094</v>
      </c>
      <c r="I824" s="11">
        <f>Econ!N824</f>
        <v>5668</v>
      </c>
      <c r="J824" s="12">
        <f>Econ!O824</f>
        <v>5783</v>
      </c>
      <c r="K824" s="13">
        <f>Econ!P824</f>
        <v>62576.5</v>
      </c>
      <c r="L824" s="14">
        <f>Econ!Q824</f>
        <v>12273.5</v>
      </c>
      <c r="M824" s="14">
        <f>Econ!R824</f>
        <v>1417</v>
      </c>
      <c r="N824" s="13">
        <f>Econ!S824</f>
        <v>1445.75</v>
      </c>
      <c r="O824" s="13">
        <f>Econ!T824</f>
        <v>23</v>
      </c>
      <c r="P824" s="7" t="str">
        <f>Econ!A824</f>
        <v>Knight</v>
      </c>
      <c r="Q824" s="10">
        <f>Econ!C824</f>
        <v>17704857.59</v>
      </c>
      <c r="R824" s="10">
        <f>Econ!E824</f>
        <v>3651.326297</v>
      </c>
      <c r="S824" s="10">
        <f>Econ!G824</f>
        <v>2276338.833</v>
      </c>
      <c r="T824" s="10">
        <f>Econ!I824</f>
        <v>0</v>
      </c>
    </row>
    <row r="825">
      <c r="A825" s="7" t="str">
        <f>Econ!A825&amp;if(Econ!B825&lt;10,"_0"&amp;Econ!B825,"_"&amp;Econ!B825)</f>
        <v>Knight_224</v>
      </c>
      <c r="B825" s="7" t="str">
        <f>"T"&amp;Econ!B825&amp;" "&amp;Econ!A825</f>
        <v>T224 Knight</v>
      </c>
      <c r="C825" s="8">
        <f>Econ!B825</f>
        <v>224</v>
      </c>
      <c r="D825" s="7"/>
      <c r="E825" s="9"/>
      <c r="F825" s="9"/>
      <c r="G825" s="10">
        <f>Econ!L825</f>
        <v>251348</v>
      </c>
      <c r="H825" s="11">
        <f>Econ!M825</f>
        <v>49178</v>
      </c>
      <c r="I825" s="11">
        <f>Econ!N825</f>
        <v>5711</v>
      </c>
      <c r="J825" s="12">
        <f>Econ!O825</f>
        <v>5826</v>
      </c>
      <c r="K825" s="13">
        <f>Econ!P825</f>
        <v>62837</v>
      </c>
      <c r="L825" s="14">
        <f>Econ!Q825</f>
        <v>12294.5</v>
      </c>
      <c r="M825" s="14">
        <f>Econ!R825</f>
        <v>1427.75</v>
      </c>
      <c r="N825" s="13">
        <f>Econ!S825</f>
        <v>1456.5</v>
      </c>
      <c r="O825" s="13">
        <f>Econ!T825</f>
        <v>23</v>
      </c>
      <c r="P825" s="7" t="str">
        <f>Econ!A825</f>
        <v>Knight</v>
      </c>
      <c r="Q825" s="10">
        <f>Econ!C825</f>
        <v>18590100.47</v>
      </c>
      <c r="R825" s="10">
        <f>Econ!E825</f>
        <v>3724.352823</v>
      </c>
      <c r="S825" s="10">
        <f>Econ!G825</f>
        <v>2390155.775</v>
      </c>
      <c r="T825" s="10">
        <f>Econ!I825</f>
        <v>0</v>
      </c>
    </row>
    <row r="826">
      <c r="A826" s="7" t="str">
        <f>Econ!A826&amp;if(Econ!B826&lt;10,"_0"&amp;Econ!B826,"_"&amp;Econ!B826)</f>
        <v>Knight_225</v>
      </c>
      <c r="B826" s="7" t="str">
        <f>"T"&amp;Econ!B826&amp;" "&amp;Econ!A826</f>
        <v>T225 Knight</v>
      </c>
      <c r="C826" s="8">
        <f>Econ!B826</f>
        <v>225</v>
      </c>
      <c r="D826" s="7"/>
      <c r="E826" s="9"/>
      <c r="F826" s="9"/>
      <c r="G826" s="10">
        <f>Econ!L826</f>
        <v>252393</v>
      </c>
      <c r="H826" s="11">
        <f>Econ!M826</f>
        <v>49263</v>
      </c>
      <c r="I826" s="11">
        <f>Econ!N826</f>
        <v>5754</v>
      </c>
      <c r="J826" s="12">
        <f>Econ!O826</f>
        <v>5869</v>
      </c>
      <c r="K826" s="13">
        <f>Econ!P826</f>
        <v>63098.25</v>
      </c>
      <c r="L826" s="14">
        <f>Econ!Q826</f>
        <v>12315.75</v>
      </c>
      <c r="M826" s="14">
        <f>Econ!R826</f>
        <v>1438.5</v>
      </c>
      <c r="N826" s="13">
        <f>Econ!S826</f>
        <v>1467.25</v>
      </c>
      <c r="O826" s="13">
        <f>Econ!T826</f>
        <v>24</v>
      </c>
      <c r="P826" s="7" t="str">
        <f>Econ!A826</f>
        <v>Knight</v>
      </c>
      <c r="Q826" s="10">
        <f>Econ!C826</f>
        <v>19519605.49</v>
      </c>
      <c r="R826" s="10">
        <f>Econ!E826</f>
        <v>3798.839879</v>
      </c>
      <c r="S826" s="10">
        <f>Econ!G826</f>
        <v>2509663.564</v>
      </c>
      <c r="T826" s="10">
        <f>Econ!I826</f>
        <v>0</v>
      </c>
    </row>
    <row r="827">
      <c r="A827" s="7" t="str">
        <f>Econ!A827&amp;if(Econ!B827&lt;10,"_0"&amp;Econ!B827,"_"&amp;Econ!B827)</f>
        <v>Knight_226</v>
      </c>
      <c r="B827" s="7" t="str">
        <f>"T"&amp;Econ!B827&amp;" "&amp;Econ!A827</f>
        <v>T226 Knight</v>
      </c>
      <c r="C827" s="8">
        <f>Econ!B827</f>
        <v>226</v>
      </c>
      <c r="D827" s="7"/>
      <c r="E827" s="9"/>
      <c r="F827" s="9"/>
      <c r="G827" s="10">
        <f>Econ!L827</f>
        <v>253441</v>
      </c>
      <c r="H827" s="11">
        <f>Econ!M827</f>
        <v>49348</v>
      </c>
      <c r="I827" s="11">
        <f>Econ!N827</f>
        <v>5797</v>
      </c>
      <c r="J827" s="12">
        <f>Econ!O827</f>
        <v>5912</v>
      </c>
      <c r="K827" s="13">
        <f>Econ!P827</f>
        <v>63360.25</v>
      </c>
      <c r="L827" s="14">
        <f>Econ!Q827</f>
        <v>12337</v>
      </c>
      <c r="M827" s="14">
        <f>Econ!R827</f>
        <v>1449.25</v>
      </c>
      <c r="N827" s="13">
        <f>Econ!S827</f>
        <v>1478</v>
      </c>
      <c r="O827" s="13">
        <f>Econ!T827</f>
        <v>24</v>
      </c>
      <c r="P827" s="7" t="str">
        <f>Econ!A827</f>
        <v>Knight</v>
      </c>
      <c r="Q827" s="10">
        <f>Econ!C827</f>
        <v>20495585.77</v>
      </c>
      <c r="R827" s="10">
        <f>Econ!E827</f>
        <v>3874.816677</v>
      </c>
      <c r="S827" s="10">
        <f>Econ!G827</f>
        <v>2635146.742</v>
      </c>
      <c r="T827" s="10">
        <f>Econ!I827</f>
        <v>0</v>
      </c>
    </row>
    <row r="828">
      <c r="A828" s="7" t="str">
        <f>Econ!A828&amp;if(Econ!B828&lt;10,"_0"&amp;Econ!B828,"_"&amp;Econ!B828)</f>
        <v>Knight_227</v>
      </c>
      <c r="B828" s="7" t="str">
        <f>"T"&amp;Econ!B828&amp;" "&amp;Econ!A828</f>
        <v>T227 Knight</v>
      </c>
      <c r="C828" s="8">
        <f>Econ!B828</f>
        <v>227</v>
      </c>
      <c r="D828" s="7"/>
      <c r="E828" s="9"/>
      <c r="F828" s="9"/>
      <c r="G828" s="10">
        <f>Econ!L828</f>
        <v>254493</v>
      </c>
      <c r="H828" s="11">
        <f>Econ!M828</f>
        <v>49433</v>
      </c>
      <c r="I828" s="11">
        <f>Econ!N828</f>
        <v>5840</v>
      </c>
      <c r="J828" s="12">
        <f>Econ!O828</f>
        <v>5955</v>
      </c>
      <c r="K828" s="13">
        <f>Econ!P828</f>
        <v>63623.25</v>
      </c>
      <c r="L828" s="14">
        <f>Econ!Q828</f>
        <v>12358.25</v>
      </c>
      <c r="M828" s="14">
        <f>Econ!R828</f>
        <v>1460</v>
      </c>
      <c r="N828" s="13">
        <f>Econ!S828</f>
        <v>1488.75</v>
      </c>
      <c r="O828" s="13">
        <f>Econ!T828</f>
        <v>24</v>
      </c>
      <c r="P828" s="7" t="str">
        <f>Econ!A828</f>
        <v>Knight</v>
      </c>
      <c r="Q828" s="10">
        <f>Econ!C828</f>
        <v>21520365.06</v>
      </c>
      <c r="R828" s="10">
        <f>Econ!E828</f>
        <v>3952.31301</v>
      </c>
      <c r="S828" s="10">
        <f>Econ!G828</f>
        <v>2766904.079</v>
      </c>
      <c r="T828" s="10">
        <f>Econ!I828</f>
        <v>0</v>
      </c>
    </row>
    <row r="829">
      <c r="A829" s="7" t="str">
        <f>Econ!A829&amp;if(Econ!B829&lt;10,"_0"&amp;Econ!B829,"_"&amp;Econ!B829)</f>
        <v>Knight_228</v>
      </c>
      <c r="B829" s="7" t="str">
        <f>"T"&amp;Econ!B829&amp;" "&amp;Econ!A829</f>
        <v>T228 Knight</v>
      </c>
      <c r="C829" s="8">
        <f>Econ!B829</f>
        <v>228</v>
      </c>
      <c r="D829" s="7"/>
      <c r="E829" s="9"/>
      <c r="F829" s="9"/>
      <c r="G829" s="10">
        <f>Econ!L829</f>
        <v>255548</v>
      </c>
      <c r="H829" s="11">
        <f>Econ!M829</f>
        <v>49518</v>
      </c>
      <c r="I829" s="11">
        <f>Econ!N829</f>
        <v>5883</v>
      </c>
      <c r="J829" s="12">
        <f>Econ!O829</f>
        <v>5998</v>
      </c>
      <c r="K829" s="13">
        <f>Econ!P829</f>
        <v>63887</v>
      </c>
      <c r="L829" s="14">
        <f>Econ!Q829</f>
        <v>12379.5</v>
      </c>
      <c r="M829" s="14">
        <f>Econ!R829</f>
        <v>1470.75</v>
      </c>
      <c r="N829" s="13">
        <f>Econ!S829</f>
        <v>1499.5</v>
      </c>
      <c r="O829" s="13">
        <f>Econ!T829</f>
        <v>24</v>
      </c>
      <c r="P829" s="7" t="str">
        <f>Econ!A829</f>
        <v>Knight</v>
      </c>
      <c r="Q829" s="10">
        <f>Econ!C829</f>
        <v>22596383.31</v>
      </c>
      <c r="R829" s="10">
        <f>Econ!E829</f>
        <v>4031.35927</v>
      </c>
      <c r="S829" s="10">
        <f>Econ!G829</f>
        <v>2905249.283</v>
      </c>
      <c r="T829" s="10">
        <f>Econ!I829</f>
        <v>0</v>
      </c>
    </row>
    <row r="830">
      <c r="A830" s="7" t="str">
        <f>Econ!A830&amp;if(Econ!B830&lt;10,"_0"&amp;Econ!B830,"_"&amp;Econ!B830)</f>
        <v>Knight_229</v>
      </c>
      <c r="B830" s="7" t="str">
        <f>"T"&amp;Econ!B830&amp;" "&amp;Econ!A830</f>
        <v>T229 Knight</v>
      </c>
      <c r="C830" s="8">
        <f>Econ!B830</f>
        <v>229</v>
      </c>
      <c r="D830" s="7"/>
      <c r="E830" s="9"/>
      <c r="F830" s="9"/>
      <c r="G830" s="10">
        <f>Econ!L830</f>
        <v>256606</v>
      </c>
      <c r="H830" s="11">
        <f>Econ!M830</f>
        <v>49604</v>
      </c>
      <c r="I830" s="11">
        <f>Econ!N830</f>
        <v>5926</v>
      </c>
      <c r="J830" s="12">
        <f>Econ!O830</f>
        <v>6041</v>
      </c>
      <c r="K830" s="13">
        <f>Econ!P830</f>
        <v>64151.5</v>
      </c>
      <c r="L830" s="14">
        <f>Econ!Q830</f>
        <v>12401</v>
      </c>
      <c r="M830" s="14">
        <f>Econ!R830</f>
        <v>1481.5</v>
      </c>
      <c r="N830" s="13">
        <f>Econ!S830</f>
        <v>1510.25</v>
      </c>
      <c r="O830" s="13">
        <f>Econ!T830</f>
        <v>24</v>
      </c>
      <c r="P830" s="7" t="str">
        <f>Econ!A830</f>
        <v>Knight</v>
      </c>
      <c r="Q830" s="10">
        <f>Econ!C830</f>
        <v>23726202.48</v>
      </c>
      <c r="R830" s="10">
        <f>Econ!E830</f>
        <v>4111.986456</v>
      </c>
      <c r="S830" s="10">
        <f>Econ!G830</f>
        <v>3050511.747</v>
      </c>
      <c r="T830" s="10">
        <f>Econ!I830</f>
        <v>0</v>
      </c>
    </row>
    <row r="831">
      <c r="A831" s="7" t="str">
        <f>Econ!A831&amp;if(Econ!B831&lt;10,"_0"&amp;Econ!B831,"_"&amp;Econ!B831)</f>
        <v>Knight_230</v>
      </c>
      <c r="B831" s="7" t="str">
        <f>"T"&amp;Econ!B831&amp;" "&amp;Econ!A831</f>
        <v>T230 Knight</v>
      </c>
      <c r="C831" s="8">
        <f>Econ!B831</f>
        <v>230</v>
      </c>
      <c r="D831" s="7"/>
      <c r="E831" s="9"/>
      <c r="F831" s="9"/>
      <c r="G831" s="10">
        <f>Econ!L831</f>
        <v>257667</v>
      </c>
      <c r="H831" s="11">
        <f>Econ!M831</f>
        <v>49690</v>
      </c>
      <c r="I831" s="11">
        <f>Econ!N831</f>
        <v>5969</v>
      </c>
      <c r="J831" s="12">
        <f>Econ!O831</f>
        <v>6084</v>
      </c>
      <c r="K831" s="13">
        <f>Econ!P831</f>
        <v>64416.75</v>
      </c>
      <c r="L831" s="14">
        <f>Econ!Q831</f>
        <v>12422.5</v>
      </c>
      <c r="M831" s="14">
        <f>Econ!R831</f>
        <v>1492.25</v>
      </c>
      <c r="N831" s="13">
        <f>Econ!S831</f>
        <v>1521</v>
      </c>
      <c r="O831" s="13">
        <f>Econ!T831</f>
        <v>24</v>
      </c>
      <c r="P831" s="7" t="str">
        <f>Econ!A831</f>
        <v>Knight</v>
      </c>
      <c r="Q831" s="10">
        <f>Econ!C831</f>
        <v>24912512.6</v>
      </c>
      <c r="R831" s="10">
        <f>Econ!E831</f>
        <v>4194.226185</v>
      </c>
      <c r="S831" s="10">
        <f>Econ!G831</f>
        <v>3203037.334</v>
      </c>
      <c r="T831" s="10">
        <f>Econ!I831</f>
        <v>0</v>
      </c>
    </row>
    <row r="832">
      <c r="A832" s="7" t="str">
        <f>Econ!A832&amp;if(Econ!B832&lt;10,"_0"&amp;Econ!B832,"_"&amp;Econ!B832)</f>
        <v>Knight_231</v>
      </c>
      <c r="B832" s="7" t="str">
        <f>"T"&amp;Econ!B832&amp;" "&amp;Econ!A832</f>
        <v>T231 Knight</v>
      </c>
      <c r="C832" s="8">
        <f>Econ!B832</f>
        <v>231</v>
      </c>
      <c r="D832" s="7"/>
      <c r="E832" s="9"/>
      <c r="F832" s="9"/>
      <c r="G832" s="10">
        <f>Econ!L832</f>
        <v>258732</v>
      </c>
      <c r="H832" s="11">
        <f>Econ!M832</f>
        <v>49776</v>
      </c>
      <c r="I832" s="11">
        <f>Econ!N832</f>
        <v>6013</v>
      </c>
      <c r="J832" s="12">
        <f>Econ!O832</f>
        <v>6128</v>
      </c>
      <c r="K832" s="13">
        <f>Econ!P832</f>
        <v>64683</v>
      </c>
      <c r="L832" s="14">
        <f>Econ!Q832</f>
        <v>12444</v>
      </c>
      <c r="M832" s="14">
        <f>Econ!R832</f>
        <v>1503.25</v>
      </c>
      <c r="N832" s="13">
        <f>Econ!S832</f>
        <v>1532</v>
      </c>
      <c r="O832" s="13">
        <f>Econ!T832</f>
        <v>24</v>
      </c>
      <c r="P832" s="7" t="str">
        <f>Econ!A832</f>
        <v>Knight</v>
      </c>
      <c r="Q832" s="10">
        <f>Econ!C832</f>
        <v>26158138.23</v>
      </c>
      <c r="R832" s="10">
        <f>Econ!E832</f>
        <v>4278.110709</v>
      </c>
      <c r="S832" s="10">
        <f>Econ!G832</f>
        <v>3363189.201</v>
      </c>
      <c r="T832" s="10">
        <f>Econ!I832</f>
        <v>0</v>
      </c>
    </row>
    <row r="833">
      <c r="A833" s="7" t="str">
        <f>Econ!A833&amp;if(Econ!B833&lt;10,"_0"&amp;Econ!B833,"_"&amp;Econ!B833)</f>
        <v>Knight_232</v>
      </c>
      <c r="B833" s="7" t="str">
        <f>"T"&amp;Econ!B833&amp;" "&amp;Econ!A833</f>
        <v>T232 Knight</v>
      </c>
      <c r="C833" s="8">
        <f>Econ!B833</f>
        <v>232</v>
      </c>
      <c r="D833" s="7"/>
      <c r="E833" s="9"/>
      <c r="F833" s="9"/>
      <c r="G833" s="10">
        <f>Econ!L833</f>
        <v>259800</v>
      </c>
      <c r="H833" s="11">
        <f>Econ!M833</f>
        <v>49862</v>
      </c>
      <c r="I833" s="11">
        <f>Econ!N833</f>
        <v>6057</v>
      </c>
      <c r="J833" s="12">
        <f>Econ!O833</f>
        <v>6172</v>
      </c>
      <c r="K833" s="13">
        <f>Econ!P833</f>
        <v>64950</v>
      </c>
      <c r="L833" s="14">
        <f>Econ!Q833</f>
        <v>12465.5</v>
      </c>
      <c r="M833" s="14">
        <f>Econ!R833</f>
        <v>1514.25</v>
      </c>
      <c r="N833" s="13">
        <f>Econ!S833</f>
        <v>1543</v>
      </c>
      <c r="O833" s="13">
        <f>Econ!T833</f>
        <v>24</v>
      </c>
      <c r="P833" s="7" t="str">
        <f>Econ!A833</f>
        <v>Knight</v>
      </c>
      <c r="Q833" s="10">
        <f>Econ!C833</f>
        <v>27466045.14</v>
      </c>
      <c r="R833" s="10">
        <f>Econ!E833</f>
        <v>4363.672923</v>
      </c>
      <c r="S833" s="10">
        <f>Econ!G833</f>
        <v>3531348.661</v>
      </c>
      <c r="T833" s="10">
        <f>Econ!I833</f>
        <v>0</v>
      </c>
    </row>
    <row r="834">
      <c r="A834" s="7" t="str">
        <f>Econ!A834&amp;if(Econ!B834&lt;10,"_0"&amp;Econ!B834,"_"&amp;Econ!B834)</f>
        <v>Knight_233</v>
      </c>
      <c r="B834" s="7" t="str">
        <f>"T"&amp;Econ!B834&amp;" "&amp;Econ!A834</f>
        <v>T233 Knight</v>
      </c>
      <c r="C834" s="8">
        <f>Econ!B834</f>
        <v>233</v>
      </c>
      <c r="D834" s="7"/>
      <c r="E834" s="9"/>
      <c r="F834" s="9"/>
      <c r="G834" s="10">
        <f>Econ!L834</f>
        <v>260871</v>
      </c>
      <c r="H834" s="11">
        <f>Econ!M834</f>
        <v>49949</v>
      </c>
      <c r="I834" s="11">
        <f>Econ!N834</f>
        <v>6101</v>
      </c>
      <c r="J834" s="12">
        <f>Econ!O834</f>
        <v>6216</v>
      </c>
      <c r="K834" s="13">
        <f>Econ!P834</f>
        <v>65217.75</v>
      </c>
      <c r="L834" s="14">
        <f>Econ!Q834</f>
        <v>12487.25</v>
      </c>
      <c r="M834" s="14">
        <f>Econ!R834</f>
        <v>1525.25</v>
      </c>
      <c r="N834" s="13">
        <f>Econ!S834</f>
        <v>1554</v>
      </c>
      <c r="O834" s="13">
        <f>Econ!T834</f>
        <v>24</v>
      </c>
      <c r="P834" s="7" t="str">
        <f>Econ!A834</f>
        <v>Knight</v>
      </c>
      <c r="Q834" s="10">
        <f>Econ!C834</f>
        <v>28839347.4</v>
      </c>
      <c r="R834" s="10">
        <f>Econ!E834</f>
        <v>4450.946381</v>
      </c>
      <c r="S834" s="10">
        <f>Econ!G834</f>
        <v>3707916.094</v>
      </c>
      <c r="T834" s="10">
        <f>Econ!I834</f>
        <v>0</v>
      </c>
    </row>
    <row r="835">
      <c r="A835" s="7" t="str">
        <f>Econ!A835&amp;if(Econ!B835&lt;10,"_0"&amp;Econ!B835,"_"&amp;Econ!B835)</f>
        <v>Knight_234</v>
      </c>
      <c r="B835" s="7" t="str">
        <f>"T"&amp;Econ!B835&amp;" "&amp;Econ!A835</f>
        <v>T234 Knight</v>
      </c>
      <c r="C835" s="8">
        <f>Econ!B835</f>
        <v>234</v>
      </c>
      <c r="D835" s="7"/>
      <c r="E835" s="9"/>
      <c r="F835" s="9"/>
      <c r="G835" s="10">
        <f>Econ!L835</f>
        <v>261945</v>
      </c>
      <c r="H835" s="11">
        <f>Econ!M835</f>
        <v>50036</v>
      </c>
      <c r="I835" s="11">
        <f>Econ!N835</f>
        <v>6145</v>
      </c>
      <c r="J835" s="12">
        <f>Econ!O835</f>
        <v>6260</v>
      </c>
      <c r="K835" s="13">
        <f>Econ!P835</f>
        <v>65486.25</v>
      </c>
      <c r="L835" s="14">
        <f>Econ!Q835</f>
        <v>12509</v>
      </c>
      <c r="M835" s="14">
        <f>Econ!R835</f>
        <v>1536.25</v>
      </c>
      <c r="N835" s="13">
        <f>Econ!S835</f>
        <v>1565</v>
      </c>
      <c r="O835" s="13">
        <f>Econ!T835</f>
        <v>24</v>
      </c>
      <c r="P835" s="7" t="str">
        <f>Econ!A835</f>
        <v>Knight</v>
      </c>
      <c r="Q835" s="10">
        <f>Econ!C835</f>
        <v>30281314.77</v>
      </c>
      <c r="R835" s="10">
        <f>Econ!E835</f>
        <v>4539.965309</v>
      </c>
      <c r="S835" s="10">
        <f>Econ!G835</f>
        <v>3893311.899</v>
      </c>
      <c r="T835" s="10">
        <f>Econ!I835</f>
        <v>0</v>
      </c>
    </row>
    <row r="836">
      <c r="A836" s="7" t="str">
        <f>Econ!A836&amp;if(Econ!B836&lt;10,"_0"&amp;Econ!B836,"_"&amp;Econ!B836)</f>
        <v>Knight_235</v>
      </c>
      <c r="B836" s="7" t="str">
        <f>"T"&amp;Econ!B836&amp;" "&amp;Econ!A836</f>
        <v>T235 Knight</v>
      </c>
      <c r="C836" s="8">
        <f>Econ!B836</f>
        <v>235</v>
      </c>
      <c r="D836" s="7"/>
      <c r="E836" s="9"/>
      <c r="F836" s="9"/>
      <c r="G836" s="10">
        <f>Econ!L836</f>
        <v>263022</v>
      </c>
      <c r="H836" s="11">
        <f>Econ!M836</f>
        <v>50123</v>
      </c>
      <c r="I836" s="11">
        <f>Econ!N836</f>
        <v>6189</v>
      </c>
      <c r="J836" s="12">
        <f>Econ!O836</f>
        <v>6304</v>
      </c>
      <c r="K836" s="13">
        <f>Econ!P836</f>
        <v>65755.5</v>
      </c>
      <c r="L836" s="14">
        <f>Econ!Q836</f>
        <v>12530.75</v>
      </c>
      <c r="M836" s="14">
        <f>Econ!R836</f>
        <v>1547.25</v>
      </c>
      <c r="N836" s="13">
        <f>Econ!S836</f>
        <v>1576</v>
      </c>
      <c r="O836" s="13">
        <f>Econ!T836</f>
        <v>25</v>
      </c>
      <c r="P836" s="7" t="str">
        <f>Econ!A836</f>
        <v>Knight</v>
      </c>
      <c r="Q836" s="10">
        <f>Econ!C836</f>
        <v>31795380.51</v>
      </c>
      <c r="R836" s="10">
        <f>Econ!E836</f>
        <v>4630.764615</v>
      </c>
      <c r="S836" s="10">
        <f>Econ!G836</f>
        <v>4087977.494</v>
      </c>
      <c r="T836" s="10">
        <f>Econ!I836</f>
        <v>0</v>
      </c>
    </row>
    <row r="837">
      <c r="A837" s="7" t="str">
        <f>Econ!A837&amp;if(Econ!B837&lt;10,"_0"&amp;Econ!B837,"_"&amp;Econ!B837)</f>
        <v>Knight_236</v>
      </c>
      <c r="B837" s="7" t="str">
        <f>"T"&amp;Econ!B837&amp;" "&amp;Econ!A837</f>
        <v>T236 Knight</v>
      </c>
      <c r="C837" s="8">
        <f>Econ!B837</f>
        <v>236</v>
      </c>
      <c r="D837" s="7"/>
      <c r="E837" s="9"/>
      <c r="F837" s="9"/>
      <c r="G837" s="10">
        <f>Econ!L837</f>
        <v>264103</v>
      </c>
      <c r="H837" s="11">
        <f>Econ!M837</f>
        <v>50210</v>
      </c>
      <c r="I837" s="11">
        <f>Econ!N837</f>
        <v>6233</v>
      </c>
      <c r="J837" s="12">
        <f>Econ!O837</f>
        <v>6348</v>
      </c>
      <c r="K837" s="13">
        <f>Econ!P837</f>
        <v>66025.75</v>
      </c>
      <c r="L837" s="14">
        <f>Econ!Q837</f>
        <v>12552.5</v>
      </c>
      <c r="M837" s="14">
        <f>Econ!R837</f>
        <v>1558.25</v>
      </c>
      <c r="N837" s="13">
        <f>Econ!S837</f>
        <v>1587</v>
      </c>
      <c r="O837" s="13">
        <f>Econ!T837</f>
        <v>25</v>
      </c>
      <c r="P837" s="7" t="str">
        <f>Econ!A837</f>
        <v>Knight</v>
      </c>
      <c r="Q837" s="10">
        <f>Econ!C837</f>
        <v>33385149.53</v>
      </c>
      <c r="R837" s="10">
        <f>Econ!E837</f>
        <v>4723.379907</v>
      </c>
      <c r="S837" s="10">
        <f>Econ!G837</f>
        <v>4292376.368</v>
      </c>
      <c r="T837" s="10">
        <f>Econ!I837</f>
        <v>0</v>
      </c>
    </row>
    <row r="838">
      <c r="A838" s="7" t="str">
        <f>Econ!A838&amp;if(Econ!B838&lt;10,"_0"&amp;Econ!B838,"_"&amp;Econ!B838)</f>
        <v>Knight_237</v>
      </c>
      <c r="B838" s="7" t="str">
        <f>"T"&amp;Econ!B838&amp;" "&amp;Econ!A838</f>
        <v>T237 Knight</v>
      </c>
      <c r="C838" s="8">
        <f>Econ!B838</f>
        <v>237</v>
      </c>
      <c r="D838" s="7"/>
      <c r="E838" s="9"/>
      <c r="F838" s="9"/>
      <c r="G838" s="10">
        <f>Econ!L838</f>
        <v>265187</v>
      </c>
      <c r="H838" s="11">
        <f>Econ!M838</f>
        <v>50298</v>
      </c>
      <c r="I838" s="11">
        <f>Econ!N838</f>
        <v>6277</v>
      </c>
      <c r="J838" s="12">
        <f>Econ!O838</f>
        <v>6392</v>
      </c>
      <c r="K838" s="13">
        <f>Econ!P838</f>
        <v>66296.75</v>
      </c>
      <c r="L838" s="14">
        <f>Econ!Q838</f>
        <v>12574.5</v>
      </c>
      <c r="M838" s="14">
        <f>Econ!R838</f>
        <v>1569.25</v>
      </c>
      <c r="N838" s="13">
        <f>Econ!S838</f>
        <v>1598</v>
      </c>
      <c r="O838" s="13">
        <f>Econ!T838</f>
        <v>25</v>
      </c>
      <c r="P838" s="7" t="str">
        <f>Econ!A838</f>
        <v>Knight</v>
      </c>
      <c r="Q838" s="10">
        <f>Econ!C838</f>
        <v>35054407.01</v>
      </c>
      <c r="R838" s="10">
        <f>Econ!E838</f>
        <v>4817.847505</v>
      </c>
      <c r="S838" s="10">
        <f>Econ!G838</f>
        <v>4506995.187</v>
      </c>
      <c r="T838" s="10">
        <f>Econ!I838</f>
        <v>0</v>
      </c>
    </row>
    <row r="839">
      <c r="A839" s="7" t="str">
        <f>Econ!A839&amp;if(Econ!B839&lt;10,"_0"&amp;Econ!B839,"_"&amp;Econ!B839)</f>
        <v>Knight_238</v>
      </c>
      <c r="B839" s="7" t="str">
        <f>"T"&amp;Econ!B839&amp;" "&amp;Econ!A839</f>
        <v>T238 Knight</v>
      </c>
      <c r="C839" s="8">
        <f>Econ!B839</f>
        <v>238</v>
      </c>
      <c r="D839" s="7"/>
      <c r="E839" s="9"/>
      <c r="F839" s="9"/>
      <c r="G839" s="10">
        <f>Econ!L839</f>
        <v>266274</v>
      </c>
      <c r="H839" s="11">
        <f>Econ!M839</f>
        <v>50386</v>
      </c>
      <c r="I839" s="11">
        <f>Econ!N839</f>
        <v>6321</v>
      </c>
      <c r="J839" s="12">
        <f>Econ!O839</f>
        <v>6436</v>
      </c>
      <c r="K839" s="13">
        <f>Econ!P839</f>
        <v>66568.5</v>
      </c>
      <c r="L839" s="14">
        <f>Econ!Q839</f>
        <v>12596.5</v>
      </c>
      <c r="M839" s="14">
        <f>Econ!R839</f>
        <v>1580.25</v>
      </c>
      <c r="N839" s="13">
        <f>Econ!S839</f>
        <v>1609</v>
      </c>
      <c r="O839" s="13">
        <f>Econ!T839</f>
        <v>25</v>
      </c>
      <c r="P839" s="7" t="str">
        <f>Econ!A839</f>
        <v>Knight</v>
      </c>
      <c r="Q839" s="10">
        <f>Econ!C839</f>
        <v>36807127.36</v>
      </c>
      <c r="R839" s="10">
        <f>Econ!E839</f>
        <v>4914.204456</v>
      </c>
      <c r="S839" s="10">
        <f>Econ!G839</f>
        <v>4732344.946</v>
      </c>
      <c r="T839" s="10">
        <f>Econ!I839</f>
        <v>0</v>
      </c>
    </row>
    <row r="840">
      <c r="A840" s="7" t="str">
        <f>Econ!A840&amp;if(Econ!B840&lt;10,"_0"&amp;Econ!B840,"_"&amp;Econ!B840)</f>
        <v>Knight_239</v>
      </c>
      <c r="B840" s="7" t="str">
        <f>"T"&amp;Econ!B840&amp;" "&amp;Econ!A840</f>
        <v>T239 Knight</v>
      </c>
      <c r="C840" s="8">
        <f>Econ!B840</f>
        <v>239</v>
      </c>
      <c r="D840" s="7"/>
      <c r="E840" s="9"/>
      <c r="F840" s="9"/>
      <c r="G840" s="10">
        <f>Econ!L840</f>
        <v>267364</v>
      </c>
      <c r="H840" s="11">
        <f>Econ!M840</f>
        <v>50474</v>
      </c>
      <c r="I840" s="11">
        <f>Econ!N840</f>
        <v>6366</v>
      </c>
      <c r="J840" s="12">
        <f>Econ!O840</f>
        <v>6481</v>
      </c>
      <c r="K840" s="13">
        <f>Econ!P840</f>
        <v>66841</v>
      </c>
      <c r="L840" s="14">
        <f>Econ!Q840</f>
        <v>12618.5</v>
      </c>
      <c r="M840" s="14">
        <f>Econ!R840</f>
        <v>1591.5</v>
      </c>
      <c r="N840" s="13">
        <f>Econ!S840</f>
        <v>1620.25</v>
      </c>
      <c r="O840" s="13">
        <f>Econ!T840</f>
        <v>25</v>
      </c>
      <c r="P840" s="7" t="str">
        <f>Econ!A840</f>
        <v>Knight</v>
      </c>
      <c r="Q840" s="10">
        <f>Econ!C840</f>
        <v>38647483.73</v>
      </c>
      <c r="R840" s="10">
        <f>Econ!E840</f>
        <v>5012.488545</v>
      </c>
      <c r="S840" s="10">
        <f>Econ!G840</f>
        <v>4968962.194</v>
      </c>
      <c r="T840" s="10">
        <f>Econ!I840</f>
        <v>0</v>
      </c>
    </row>
    <row r="841">
      <c r="A841" s="7" t="str">
        <f>Econ!A841&amp;if(Econ!B841&lt;10,"_0"&amp;Econ!B841,"_"&amp;Econ!B841)</f>
        <v>Knight_240</v>
      </c>
      <c r="B841" s="7" t="str">
        <f>"T"&amp;Econ!B841&amp;" "&amp;Econ!A841</f>
        <v>T240 Knight</v>
      </c>
      <c r="C841" s="8">
        <f>Econ!B841</f>
        <v>240</v>
      </c>
      <c r="D841" s="7"/>
      <c r="E841" s="9"/>
      <c r="F841" s="9"/>
      <c r="G841" s="10">
        <f>Econ!L841</f>
        <v>268458</v>
      </c>
      <c r="H841" s="11">
        <f>Econ!M841</f>
        <v>50562</v>
      </c>
      <c r="I841" s="11">
        <f>Econ!N841</f>
        <v>6411</v>
      </c>
      <c r="J841" s="12">
        <f>Econ!O841</f>
        <v>6526</v>
      </c>
      <c r="K841" s="13">
        <f>Econ!P841</f>
        <v>67114.5</v>
      </c>
      <c r="L841" s="14">
        <f>Econ!Q841</f>
        <v>12640.5</v>
      </c>
      <c r="M841" s="14">
        <f>Econ!R841</f>
        <v>1602.75</v>
      </c>
      <c r="N841" s="13">
        <f>Econ!S841</f>
        <v>1631.5</v>
      </c>
      <c r="O841" s="13">
        <f>Econ!T841</f>
        <v>25</v>
      </c>
      <c r="P841" s="7" t="str">
        <f>Econ!A841</f>
        <v>Knight</v>
      </c>
      <c r="Q841" s="10">
        <f>Econ!C841</f>
        <v>40579857.91</v>
      </c>
      <c r="R841" s="10">
        <f>Econ!E841</f>
        <v>5112.738316</v>
      </c>
      <c r="S841" s="10">
        <f>Econ!G841</f>
        <v>5217410.303</v>
      </c>
      <c r="T841" s="10">
        <f>Econ!I841</f>
        <v>0</v>
      </c>
    </row>
    <row r="842">
      <c r="A842" s="7" t="str">
        <f>Econ!A842&amp;if(Econ!B842&lt;10,"_0"&amp;Econ!B842,"_"&amp;Econ!B842)</f>
        <v>Knight_241</v>
      </c>
      <c r="B842" s="7" t="str">
        <f>"T"&amp;Econ!B842&amp;" "&amp;Econ!A842</f>
        <v>T241 Knight</v>
      </c>
      <c r="C842" s="8">
        <f>Econ!B842</f>
        <v>241</v>
      </c>
      <c r="D842" s="7"/>
      <c r="E842" s="9"/>
      <c r="F842" s="9"/>
      <c r="G842" s="10">
        <f>Econ!L842</f>
        <v>269555</v>
      </c>
      <c r="H842" s="11">
        <f>Econ!M842</f>
        <v>50651</v>
      </c>
      <c r="I842" s="11">
        <f>Econ!N842</f>
        <v>6456</v>
      </c>
      <c r="J842" s="12">
        <f>Econ!O842</f>
        <v>6571</v>
      </c>
      <c r="K842" s="13">
        <f>Econ!P842</f>
        <v>67388.75</v>
      </c>
      <c r="L842" s="14">
        <f>Econ!Q842</f>
        <v>12662.75</v>
      </c>
      <c r="M842" s="14">
        <f>Econ!R842</f>
        <v>1614</v>
      </c>
      <c r="N842" s="13">
        <f>Econ!S842</f>
        <v>1642.75</v>
      </c>
      <c r="O842" s="13">
        <f>Econ!T842</f>
        <v>25</v>
      </c>
      <c r="P842" s="7" t="str">
        <f>Econ!A842</f>
        <v>Knight</v>
      </c>
      <c r="Q842" s="10">
        <f>Econ!C842</f>
        <v>42608850.81</v>
      </c>
      <c r="R842" s="10">
        <f>Econ!E842</f>
        <v>5214.993082</v>
      </c>
      <c r="S842" s="10">
        <f>Econ!G842</f>
        <v>5478280.818</v>
      </c>
      <c r="T842" s="10">
        <f>Econ!I842</f>
        <v>0</v>
      </c>
    </row>
    <row r="843">
      <c r="A843" s="7" t="str">
        <f>Econ!A843&amp;if(Econ!B843&lt;10,"_0"&amp;Econ!B843,"_"&amp;Econ!B843)</f>
        <v>Knight_242</v>
      </c>
      <c r="B843" s="7" t="str">
        <f>"T"&amp;Econ!B843&amp;" "&amp;Econ!A843</f>
        <v>T242 Knight</v>
      </c>
      <c r="C843" s="8">
        <f>Econ!B843</f>
        <v>242</v>
      </c>
      <c r="D843" s="7"/>
      <c r="E843" s="9"/>
      <c r="F843" s="9"/>
      <c r="G843" s="10">
        <f>Econ!L843</f>
        <v>270655</v>
      </c>
      <c r="H843" s="11">
        <f>Econ!M843</f>
        <v>50740</v>
      </c>
      <c r="I843" s="11">
        <f>Econ!N843</f>
        <v>6501</v>
      </c>
      <c r="J843" s="12">
        <f>Econ!O843</f>
        <v>6616</v>
      </c>
      <c r="K843" s="13">
        <f>Econ!P843</f>
        <v>67663.75</v>
      </c>
      <c r="L843" s="14">
        <f>Econ!Q843</f>
        <v>12685</v>
      </c>
      <c r="M843" s="14">
        <f>Econ!R843</f>
        <v>1625.25</v>
      </c>
      <c r="N843" s="13">
        <f>Econ!S843</f>
        <v>1654</v>
      </c>
      <c r="O843" s="13">
        <f>Econ!T843</f>
        <v>25</v>
      </c>
      <c r="P843" s="7" t="str">
        <f>Econ!A843</f>
        <v>Knight</v>
      </c>
      <c r="Q843" s="10">
        <f>Econ!C843</f>
        <v>44739293.35</v>
      </c>
      <c r="R843" s="10">
        <f>Econ!E843</f>
        <v>5319.292944</v>
      </c>
      <c r="S843" s="10">
        <f>Econ!G843</f>
        <v>5752194.859</v>
      </c>
      <c r="T843" s="10">
        <f>Econ!I843</f>
        <v>0</v>
      </c>
    </row>
    <row r="844">
      <c r="A844" s="7" t="str">
        <f>Econ!A844&amp;if(Econ!B844&lt;10,"_0"&amp;Econ!B844,"_"&amp;Econ!B844)</f>
        <v>Knight_243</v>
      </c>
      <c r="B844" s="7" t="str">
        <f>"T"&amp;Econ!B844&amp;" "&amp;Econ!A844</f>
        <v>T243 Knight</v>
      </c>
      <c r="C844" s="8">
        <f>Econ!B844</f>
        <v>243</v>
      </c>
      <c r="D844" s="7"/>
      <c r="E844" s="9"/>
      <c r="F844" s="9"/>
      <c r="G844" s="10">
        <f>Econ!L844</f>
        <v>271758</v>
      </c>
      <c r="H844" s="11">
        <f>Econ!M844</f>
        <v>50829</v>
      </c>
      <c r="I844" s="11">
        <f>Econ!N844</f>
        <v>6546</v>
      </c>
      <c r="J844" s="12">
        <f>Econ!O844</f>
        <v>6661</v>
      </c>
      <c r="K844" s="13">
        <f>Econ!P844</f>
        <v>67939.5</v>
      </c>
      <c r="L844" s="14">
        <f>Econ!Q844</f>
        <v>12707.25</v>
      </c>
      <c r="M844" s="14">
        <f>Econ!R844</f>
        <v>1636.5</v>
      </c>
      <c r="N844" s="13">
        <f>Econ!S844</f>
        <v>1665.25</v>
      </c>
      <c r="O844" s="13">
        <f>Econ!T844</f>
        <v>25</v>
      </c>
      <c r="P844" s="7" t="str">
        <f>Econ!A844</f>
        <v>Knight</v>
      </c>
      <c r="Q844" s="10">
        <f>Econ!C844</f>
        <v>46976258.02</v>
      </c>
      <c r="R844" s="10">
        <f>Econ!E844</f>
        <v>5425.678802</v>
      </c>
      <c r="S844" s="10">
        <f>Econ!G844</f>
        <v>6039804.602</v>
      </c>
      <c r="T844" s="10">
        <f>Econ!I844</f>
        <v>0</v>
      </c>
    </row>
    <row r="845">
      <c r="A845" s="7" t="str">
        <f>Econ!A845&amp;if(Econ!B845&lt;10,"_0"&amp;Econ!B845,"_"&amp;Econ!B845)</f>
        <v>Knight_244</v>
      </c>
      <c r="B845" s="7" t="str">
        <f>"T"&amp;Econ!B845&amp;" "&amp;Econ!A845</f>
        <v>T244 Knight</v>
      </c>
      <c r="C845" s="8">
        <f>Econ!B845</f>
        <v>244</v>
      </c>
      <c r="D845" s="7"/>
      <c r="E845" s="9"/>
      <c r="F845" s="9"/>
      <c r="G845" s="10">
        <f>Econ!L845</f>
        <v>272864</v>
      </c>
      <c r="H845" s="11">
        <f>Econ!M845</f>
        <v>50918</v>
      </c>
      <c r="I845" s="11">
        <f>Econ!N845</f>
        <v>6591</v>
      </c>
      <c r="J845" s="12">
        <f>Econ!O845</f>
        <v>6706</v>
      </c>
      <c r="K845" s="13">
        <f>Econ!P845</f>
        <v>68216</v>
      </c>
      <c r="L845" s="14">
        <f>Econ!Q845</f>
        <v>12729.5</v>
      </c>
      <c r="M845" s="14">
        <f>Econ!R845</f>
        <v>1647.75</v>
      </c>
      <c r="N845" s="13">
        <f>Econ!S845</f>
        <v>1676.5</v>
      </c>
      <c r="O845" s="13">
        <f>Econ!T845</f>
        <v>25</v>
      </c>
      <c r="P845" s="7" t="str">
        <f>Econ!A845</f>
        <v>Knight</v>
      </c>
      <c r="Q845" s="10">
        <f>Econ!C845</f>
        <v>49325070.92</v>
      </c>
      <c r="R845" s="10">
        <f>Econ!E845</f>
        <v>5534.192378</v>
      </c>
      <c r="S845" s="10">
        <f>Econ!G845</f>
        <v>6341794.832</v>
      </c>
      <c r="T845" s="10">
        <f>Econ!I845</f>
        <v>0</v>
      </c>
    </row>
    <row r="846">
      <c r="A846" s="7" t="str">
        <f>Econ!A846&amp;if(Econ!B846&lt;10,"_0"&amp;Econ!B846,"_"&amp;Econ!B846)</f>
        <v>Knight_245</v>
      </c>
      <c r="B846" s="7" t="str">
        <f>"T"&amp;Econ!B846&amp;" "&amp;Econ!A846</f>
        <v>T245 Knight</v>
      </c>
      <c r="C846" s="8">
        <f>Econ!B846</f>
        <v>245</v>
      </c>
      <c r="D846" s="7"/>
      <c r="E846" s="9"/>
      <c r="F846" s="9"/>
      <c r="G846" s="10">
        <f>Econ!L846</f>
        <v>273973</v>
      </c>
      <c r="H846" s="11">
        <f>Econ!M846</f>
        <v>51008</v>
      </c>
      <c r="I846" s="11">
        <f>Econ!N846</f>
        <v>6636</v>
      </c>
      <c r="J846" s="12">
        <f>Econ!O846</f>
        <v>6751</v>
      </c>
      <c r="K846" s="13">
        <f>Econ!P846</f>
        <v>68493.25</v>
      </c>
      <c r="L846" s="14">
        <f>Econ!Q846</f>
        <v>12752</v>
      </c>
      <c r="M846" s="14">
        <f>Econ!R846</f>
        <v>1659</v>
      </c>
      <c r="N846" s="13">
        <f>Econ!S846</f>
        <v>1687.75</v>
      </c>
      <c r="O846" s="13">
        <f>Econ!T846</f>
        <v>26</v>
      </c>
      <c r="P846" s="7" t="str">
        <f>Econ!A846</f>
        <v>Knight</v>
      </c>
      <c r="Q846" s="10">
        <f>Econ!C846</f>
        <v>51791324.46</v>
      </c>
      <c r="R846" s="10">
        <f>Econ!E846</f>
        <v>5644.876226</v>
      </c>
      <c r="S846" s="10">
        <f>Econ!G846</f>
        <v>6658884.574</v>
      </c>
      <c r="T846" s="10">
        <f>Econ!I846</f>
        <v>0</v>
      </c>
    </row>
    <row r="847">
      <c r="A847" s="7" t="str">
        <f>Econ!A847&amp;if(Econ!B847&lt;10,"_0"&amp;Econ!B847,"_"&amp;Econ!B847)</f>
        <v>Knight_246</v>
      </c>
      <c r="B847" s="7" t="str">
        <f>"T"&amp;Econ!B847&amp;" "&amp;Econ!A847</f>
        <v>T246 Knight</v>
      </c>
      <c r="C847" s="8">
        <f>Econ!B847</f>
        <v>246</v>
      </c>
      <c r="D847" s="7"/>
      <c r="E847" s="9"/>
      <c r="F847" s="9"/>
      <c r="G847" s="10">
        <f>Econ!L847</f>
        <v>275086</v>
      </c>
      <c r="H847" s="11">
        <f>Econ!M847</f>
        <v>51098</v>
      </c>
      <c r="I847" s="11">
        <f>Econ!N847</f>
        <v>6681</v>
      </c>
      <c r="J847" s="12">
        <f>Econ!O847</f>
        <v>6796</v>
      </c>
      <c r="K847" s="13">
        <f>Econ!P847</f>
        <v>68771.5</v>
      </c>
      <c r="L847" s="14">
        <f>Econ!Q847</f>
        <v>12774.5</v>
      </c>
      <c r="M847" s="14">
        <f>Econ!R847</f>
        <v>1670.25</v>
      </c>
      <c r="N847" s="13">
        <f>Econ!S847</f>
        <v>1699</v>
      </c>
      <c r="O847" s="13">
        <f>Econ!T847</f>
        <v>26</v>
      </c>
      <c r="P847" s="7" t="str">
        <f>Econ!A847</f>
        <v>Knight</v>
      </c>
      <c r="Q847" s="10">
        <f>Econ!C847</f>
        <v>54380890.69</v>
      </c>
      <c r="R847" s="10">
        <f>Econ!E847</f>
        <v>5757.773751</v>
      </c>
      <c r="S847" s="10">
        <f>Econ!G847</f>
        <v>6991828.803</v>
      </c>
      <c r="T847" s="10">
        <f>Econ!I847</f>
        <v>0</v>
      </c>
    </row>
    <row r="848">
      <c r="A848" s="7" t="str">
        <f>Econ!A848&amp;if(Econ!B848&lt;10,"_0"&amp;Econ!B848,"_"&amp;Econ!B848)</f>
        <v>Knight_247</v>
      </c>
      <c r="B848" s="7" t="str">
        <f>"T"&amp;Econ!B848&amp;" "&amp;Econ!A848</f>
        <v>T247 Knight</v>
      </c>
      <c r="C848" s="8">
        <f>Econ!B848</f>
        <v>247</v>
      </c>
      <c r="D848" s="7"/>
      <c r="E848" s="9"/>
      <c r="F848" s="9"/>
      <c r="G848" s="10">
        <f>Econ!L848</f>
        <v>276202</v>
      </c>
      <c r="H848" s="11">
        <f>Econ!M848</f>
        <v>51188</v>
      </c>
      <c r="I848" s="11">
        <f>Econ!N848</f>
        <v>6727</v>
      </c>
      <c r="J848" s="12">
        <f>Econ!O848</f>
        <v>6842</v>
      </c>
      <c r="K848" s="13">
        <f>Econ!P848</f>
        <v>69050.5</v>
      </c>
      <c r="L848" s="14">
        <f>Econ!Q848</f>
        <v>12797</v>
      </c>
      <c r="M848" s="14">
        <f>Econ!R848</f>
        <v>1681.75</v>
      </c>
      <c r="N848" s="13">
        <f>Econ!S848</f>
        <v>1710.5</v>
      </c>
      <c r="O848" s="13">
        <f>Econ!T848</f>
        <v>26</v>
      </c>
      <c r="P848" s="7" t="str">
        <f>Econ!A848</f>
        <v>Knight</v>
      </c>
      <c r="Q848" s="10">
        <f>Econ!C848</f>
        <v>57099935.22</v>
      </c>
      <c r="R848" s="10">
        <f>Econ!E848</f>
        <v>5872.929226</v>
      </c>
      <c r="S848" s="10">
        <f>Econ!G848</f>
        <v>7341420.243</v>
      </c>
      <c r="T848" s="10">
        <f>Econ!I848</f>
        <v>0</v>
      </c>
    </row>
    <row r="849">
      <c r="A849" s="7" t="str">
        <f>Econ!A849&amp;if(Econ!B849&lt;10,"_0"&amp;Econ!B849,"_"&amp;Econ!B849)</f>
        <v>Knight_248</v>
      </c>
      <c r="B849" s="7" t="str">
        <f>"T"&amp;Econ!B849&amp;" "&amp;Econ!A849</f>
        <v>T248 Knight</v>
      </c>
      <c r="C849" s="8">
        <f>Econ!B849</f>
        <v>248</v>
      </c>
      <c r="D849" s="7"/>
      <c r="E849" s="9"/>
      <c r="F849" s="9"/>
      <c r="G849" s="10">
        <f>Econ!L849</f>
        <v>277321</v>
      </c>
      <c r="H849" s="11">
        <f>Econ!M849</f>
        <v>51278</v>
      </c>
      <c r="I849" s="11">
        <f>Econ!N849</f>
        <v>6773</v>
      </c>
      <c r="J849" s="12">
        <f>Econ!O849</f>
        <v>6888</v>
      </c>
      <c r="K849" s="13">
        <f>Econ!P849</f>
        <v>69330.25</v>
      </c>
      <c r="L849" s="14">
        <f>Econ!Q849</f>
        <v>12819.5</v>
      </c>
      <c r="M849" s="14">
        <f>Econ!R849</f>
        <v>1693.25</v>
      </c>
      <c r="N849" s="13">
        <f>Econ!S849</f>
        <v>1722</v>
      </c>
      <c r="O849" s="13">
        <f>Econ!T849</f>
        <v>26</v>
      </c>
      <c r="P849" s="7" t="str">
        <f>Econ!A849</f>
        <v>Knight</v>
      </c>
      <c r="Q849" s="10">
        <f>Econ!C849</f>
        <v>59954931.98</v>
      </c>
      <c r="R849" s="10">
        <f>Econ!E849</f>
        <v>5990.38781</v>
      </c>
      <c r="S849" s="10">
        <f>Econ!G849</f>
        <v>7708491.255</v>
      </c>
      <c r="T849" s="10">
        <f>Econ!I849</f>
        <v>0</v>
      </c>
    </row>
    <row r="850">
      <c r="A850" s="7" t="str">
        <f>Econ!A850&amp;if(Econ!B850&lt;10,"_0"&amp;Econ!B850,"_"&amp;Econ!B850)</f>
        <v>Knight_249</v>
      </c>
      <c r="B850" s="7" t="str">
        <f>"T"&amp;Econ!B850&amp;" "&amp;Econ!A850</f>
        <v>T249 Knight</v>
      </c>
      <c r="C850" s="8">
        <f>Econ!B850</f>
        <v>249</v>
      </c>
      <c r="D850" s="7"/>
      <c r="E850" s="9"/>
      <c r="F850" s="9"/>
      <c r="G850" s="10">
        <f>Econ!L850</f>
        <v>278443</v>
      </c>
      <c r="H850" s="11">
        <f>Econ!M850</f>
        <v>51369</v>
      </c>
      <c r="I850" s="11">
        <f>Econ!N850</f>
        <v>6819</v>
      </c>
      <c r="J850" s="12">
        <f>Econ!O850</f>
        <v>6934</v>
      </c>
      <c r="K850" s="13">
        <f>Econ!P850</f>
        <v>69610.75</v>
      </c>
      <c r="L850" s="14">
        <f>Econ!Q850</f>
        <v>12842.25</v>
      </c>
      <c r="M850" s="14">
        <f>Econ!R850</f>
        <v>1704.75</v>
      </c>
      <c r="N850" s="13">
        <f>Econ!S850</f>
        <v>1733.5</v>
      </c>
      <c r="O850" s="13">
        <f>Econ!T850</f>
        <v>26</v>
      </c>
      <c r="P850" s="7" t="str">
        <f>Econ!A850</f>
        <v>Knight</v>
      </c>
      <c r="Q850" s="10">
        <f>Econ!C850</f>
        <v>62952678.58</v>
      </c>
      <c r="R850" s="10">
        <f>Econ!E850</f>
        <v>6110.195566</v>
      </c>
      <c r="S850" s="10">
        <f>Econ!G850</f>
        <v>8093915.818</v>
      </c>
      <c r="T850" s="10">
        <f>Econ!I850</f>
        <v>0</v>
      </c>
    </row>
    <row r="851">
      <c r="A851" s="7" t="str">
        <f>Econ!A851&amp;if(Econ!B851&lt;10,"_0"&amp;Econ!B851,"_"&amp;Econ!B851)</f>
        <v>Knight_250</v>
      </c>
      <c r="B851" s="7" t="str">
        <f>"T"&amp;Econ!B851&amp;" "&amp;Econ!A851</f>
        <v>T250 Knight</v>
      </c>
      <c r="C851" s="8">
        <f>Econ!B851</f>
        <v>250</v>
      </c>
      <c r="D851" s="7"/>
      <c r="E851" s="9"/>
      <c r="F851" s="9"/>
      <c r="G851" s="10">
        <f>Econ!L851</f>
        <v>279568</v>
      </c>
      <c r="H851" s="11">
        <f>Econ!M851</f>
        <v>51460</v>
      </c>
      <c r="I851" s="11">
        <f>Econ!N851</f>
        <v>6865</v>
      </c>
      <c r="J851" s="12">
        <f>Econ!O851</f>
        <v>6980</v>
      </c>
      <c r="K851" s="13">
        <f>Econ!P851</f>
        <v>69892</v>
      </c>
      <c r="L851" s="14">
        <f>Econ!Q851</f>
        <v>12865</v>
      </c>
      <c r="M851" s="14">
        <f>Econ!R851</f>
        <v>1716.25</v>
      </c>
      <c r="N851" s="13">
        <f>Econ!S851</f>
        <v>1745</v>
      </c>
      <c r="O851" s="13">
        <f>Econ!T851</f>
        <v>26</v>
      </c>
      <c r="P851" s="7" t="str">
        <f>Econ!A851</f>
        <v>Knight</v>
      </c>
      <c r="Q851" s="10">
        <f>Econ!C851</f>
        <v>66100312.51</v>
      </c>
      <c r="R851" s="10">
        <f>Econ!E851</f>
        <v>6232.399478</v>
      </c>
      <c r="S851" s="10">
        <f>Econ!G851</f>
        <v>8498611.609</v>
      </c>
      <c r="T851" s="10">
        <f>Econ!I851</f>
        <v>0</v>
      </c>
    </row>
    <row r="852">
      <c r="A852" s="7" t="str">
        <f>Econ!A852&amp;if(Econ!B852&lt;10,"_0"&amp;Econ!B852,"_"&amp;Econ!B852)</f>
        <v>Knight_251</v>
      </c>
      <c r="B852" s="7" t="str">
        <f>"T"&amp;Econ!B852&amp;" "&amp;Econ!A852</f>
        <v>T251 Knight</v>
      </c>
      <c r="C852" s="8">
        <f>Econ!B852</f>
        <v>251</v>
      </c>
      <c r="D852" s="7"/>
      <c r="E852" s="9"/>
      <c r="F852" s="9"/>
      <c r="G852" s="10">
        <f>Econ!L852</f>
        <v>280696</v>
      </c>
      <c r="H852" s="11">
        <f>Econ!M852</f>
        <v>51551</v>
      </c>
      <c r="I852" s="11">
        <f>Econ!N852</f>
        <v>6911</v>
      </c>
      <c r="J852" s="12">
        <f>Econ!O852</f>
        <v>7026</v>
      </c>
      <c r="K852" s="13">
        <f>Econ!P852</f>
        <v>70174</v>
      </c>
      <c r="L852" s="14">
        <f>Econ!Q852</f>
        <v>12887.75</v>
      </c>
      <c r="M852" s="14">
        <f>Econ!R852</f>
        <v>1727.75</v>
      </c>
      <c r="N852" s="13">
        <f>Econ!S852</f>
        <v>1756.5</v>
      </c>
      <c r="O852" s="13">
        <f>Econ!T852</f>
        <v>26</v>
      </c>
      <c r="P852" s="7" t="str">
        <f>Econ!A852</f>
        <v>Knight</v>
      </c>
      <c r="Q852" s="10">
        <f>Econ!C852</f>
        <v>69405328.14</v>
      </c>
      <c r="R852" s="10">
        <f>Econ!E852</f>
        <v>6357.047467</v>
      </c>
      <c r="S852" s="10">
        <f>Econ!G852</f>
        <v>8923542.189</v>
      </c>
      <c r="T852" s="10">
        <f>Econ!I852</f>
        <v>0</v>
      </c>
    </row>
    <row r="853">
      <c r="A853" s="7" t="str">
        <f>Econ!A853&amp;if(Econ!B853&lt;10,"_0"&amp;Econ!B853,"_"&amp;Econ!B853)</f>
        <v>Knight_252</v>
      </c>
      <c r="B853" s="7" t="str">
        <f>"T"&amp;Econ!B853&amp;" "&amp;Econ!A853</f>
        <v>T252 Knight</v>
      </c>
      <c r="C853" s="8">
        <f>Econ!B853</f>
        <v>252</v>
      </c>
      <c r="D853" s="7"/>
      <c r="E853" s="9"/>
      <c r="F853" s="9"/>
      <c r="G853" s="10">
        <f>Econ!L853</f>
        <v>281828</v>
      </c>
      <c r="H853" s="11">
        <f>Econ!M853</f>
        <v>51642</v>
      </c>
      <c r="I853" s="11">
        <f>Econ!N853</f>
        <v>6957</v>
      </c>
      <c r="J853" s="12">
        <f>Econ!O853</f>
        <v>7072</v>
      </c>
      <c r="K853" s="13">
        <f>Econ!P853</f>
        <v>70457</v>
      </c>
      <c r="L853" s="14">
        <f>Econ!Q853</f>
        <v>12910.5</v>
      </c>
      <c r="M853" s="14">
        <f>Econ!R853</f>
        <v>1739.25</v>
      </c>
      <c r="N853" s="13">
        <f>Econ!S853</f>
        <v>1768</v>
      </c>
      <c r="O853" s="13">
        <f>Econ!T853</f>
        <v>26</v>
      </c>
      <c r="P853" s="7" t="str">
        <f>Econ!A853</f>
        <v>Knight</v>
      </c>
      <c r="Q853" s="10">
        <f>Econ!C853</f>
        <v>72875594.54</v>
      </c>
      <c r="R853" s="10">
        <f>Econ!E853</f>
        <v>6484.188416</v>
      </c>
      <c r="S853" s="10">
        <f>Econ!G853</f>
        <v>9369719.299</v>
      </c>
      <c r="T853" s="10">
        <f>Econ!I853</f>
        <v>0</v>
      </c>
    </row>
    <row r="854">
      <c r="A854" s="7" t="str">
        <f>Econ!A854&amp;if(Econ!B854&lt;10,"_0"&amp;Econ!B854,"_"&amp;Econ!B854)</f>
        <v>Knight_253</v>
      </c>
      <c r="B854" s="7" t="str">
        <f>"T"&amp;Econ!B854&amp;" "&amp;Econ!A854</f>
        <v>T253 Knight</v>
      </c>
      <c r="C854" s="8">
        <f>Econ!B854</f>
        <v>253</v>
      </c>
      <c r="D854" s="7"/>
      <c r="E854" s="9"/>
      <c r="F854" s="9"/>
      <c r="G854" s="10">
        <f>Econ!L854</f>
        <v>282963</v>
      </c>
      <c r="H854" s="11">
        <f>Econ!M854</f>
        <v>51734</v>
      </c>
      <c r="I854" s="11">
        <f>Econ!N854</f>
        <v>7003</v>
      </c>
      <c r="J854" s="12">
        <f>Econ!O854</f>
        <v>7118</v>
      </c>
      <c r="K854" s="13">
        <f>Econ!P854</f>
        <v>70740.75</v>
      </c>
      <c r="L854" s="14">
        <f>Econ!Q854</f>
        <v>12933.5</v>
      </c>
      <c r="M854" s="14">
        <f>Econ!R854</f>
        <v>1750.75</v>
      </c>
      <c r="N854" s="13">
        <f>Econ!S854</f>
        <v>1779.5</v>
      </c>
      <c r="O854" s="13">
        <f>Econ!T854</f>
        <v>26</v>
      </c>
      <c r="P854" s="7" t="str">
        <f>Econ!A854</f>
        <v>Knight</v>
      </c>
      <c r="Q854" s="10">
        <f>Econ!C854</f>
        <v>76519374.27</v>
      </c>
      <c r="R854" s="10">
        <f>Econ!E854</f>
        <v>6613.872185</v>
      </c>
      <c r="S854" s="10">
        <f>Econ!G854</f>
        <v>9838205.263</v>
      </c>
      <c r="T854" s="10">
        <f>Econ!I854</f>
        <v>0</v>
      </c>
    </row>
    <row r="855">
      <c r="A855" s="7" t="str">
        <f>Econ!A855&amp;if(Econ!B855&lt;10,"_0"&amp;Econ!B855,"_"&amp;Econ!B855)</f>
        <v>Knight_254</v>
      </c>
      <c r="B855" s="7" t="str">
        <f>"T"&amp;Econ!B855&amp;" "&amp;Econ!A855</f>
        <v>T254 Knight</v>
      </c>
      <c r="C855" s="8">
        <f>Econ!B855</f>
        <v>254</v>
      </c>
      <c r="D855" s="7"/>
      <c r="E855" s="9"/>
      <c r="F855" s="9"/>
      <c r="G855" s="10">
        <f>Econ!L855</f>
        <v>284101</v>
      </c>
      <c r="H855" s="11">
        <f>Econ!M855</f>
        <v>51826</v>
      </c>
      <c r="I855" s="11">
        <f>Econ!N855</f>
        <v>7049</v>
      </c>
      <c r="J855" s="12">
        <f>Econ!O855</f>
        <v>7164</v>
      </c>
      <c r="K855" s="13">
        <f>Econ!P855</f>
        <v>71025.25</v>
      </c>
      <c r="L855" s="14">
        <f>Econ!Q855</f>
        <v>12956.5</v>
      </c>
      <c r="M855" s="14">
        <f>Econ!R855</f>
        <v>1762.25</v>
      </c>
      <c r="N855" s="13">
        <f>Econ!S855</f>
        <v>1791</v>
      </c>
      <c r="O855" s="13">
        <f>Econ!T855</f>
        <v>26</v>
      </c>
      <c r="P855" s="7" t="str">
        <f>Econ!A855</f>
        <v>Knight</v>
      </c>
      <c r="Q855" s="10">
        <f>Econ!C855</f>
        <v>80345342.98</v>
      </c>
      <c r="R855" s="10">
        <f>Econ!E855</f>
        <v>6746.149628</v>
      </c>
      <c r="S855" s="10">
        <f>Econ!G855</f>
        <v>10330115.53</v>
      </c>
      <c r="T855" s="10">
        <f>Econ!I855</f>
        <v>0</v>
      </c>
    </row>
    <row r="856">
      <c r="A856" s="7" t="str">
        <f>Econ!A856&amp;if(Econ!B856&lt;10,"_0"&amp;Econ!B856,"_"&amp;Econ!B856)</f>
        <v>Knight_255</v>
      </c>
      <c r="B856" s="7" t="str">
        <f>"T"&amp;Econ!B856&amp;" "&amp;Econ!A856</f>
        <v>T255 Knight</v>
      </c>
      <c r="C856" s="8">
        <f>Econ!B856</f>
        <v>255</v>
      </c>
      <c r="D856" s="7"/>
      <c r="E856" s="9"/>
      <c r="F856" s="9"/>
      <c r="G856" s="10">
        <f>Econ!L856</f>
        <v>285242</v>
      </c>
      <c r="H856" s="11">
        <f>Econ!M856</f>
        <v>51918</v>
      </c>
      <c r="I856" s="11">
        <f>Econ!N856</f>
        <v>7096</v>
      </c>
      <c r="J856" s="12">
        <f>Econ!O856</f>
        <v>7211</v>
      </c>
      <c r="K856" s="13">
        <f>Econ!P856</f>
        <v>71310.5</v>
      </c>
      <c r="L856" s="14">
        <f>Econ!Q856</f>
        <v>12979.5</v>
      </c>
      <c r="M856" s="14">
        <f>Econ!R856</f>
        <v>1774</v>
      </c>
      <c r="N856" s="13">
        <f>Econ!S856</f>
        <v>1802.75</v>
      </c>
      <c r="O856" s="13">
        <f>Econ!T856</f>
        <v>27</v>
      </c>
      <c r="P856" s="7" t="str">
        <f>Econ!A856</f>
        <v>Knight</v>
      </c>
      <c r="Q856" s="10">
        <f>Econ!C856</f>
        <v>84362610.13</v>
      </c>
      <c r="R856" s="10">
        <f>Econ!E856</f>
        <v>6881.072621</v>
      </c>
      <c r="S856" s="10">
        <f>Econ!G856</f>
        <v>10846621.3</v>
      </c>
      <c r="T856" s="10">
        <f>Econ!I856</f>
        <v>0</v>
      </c>
    </row>
    <row r="857">
      <c r="A857" s="7" t="str">
        <f>Econ!A857&amp;if(Econ!B857&lt;10,"_0"&amp;Econ!B857,"_"&amp;Econ!B857)</f>
        <v>Knight_256</v>
      </c>
      <c r="B857" s="7" t="str">
        <f>"T"&amp;Econ!B857&amp;" "&amp;Econ!A857</f>
        <v>T256 Knight</v>
      </c>
      <c r="C857" s="8">
        <f>Econ!B857</f>
        <v>256</v>
      </c>
      <c r="D857" s="7"/>
      <c r="E857" s="9"/>
      <c r="F857" s="9"/>
      <c r="G857" s="10">
        <f>Econ!L857</f>
        <v>286386</v>
      </c>
      <c r="H857" s="11">
        <f>Econ!M857</f>
        <v>52010</v>
      </c>
      <c r="I857" s="11">
        <f>Econ!N857</f>
        <v>7143</v>
      </c>
      <c r="J857" s="12">
        <f>Econ!O857</f>
        <v>7258</v>
      </c>
      <c r="K857" s="13">
        <f>Econ!P857</f>
        <v>71596.5</v>
      </c>
      <c r="L857" s="14">
        <f>Econ!Q857</f>
        <v>13002.5</v>
      </c>
      <c r="M857" s="14">
        <f>Econ!R857</f>
        <v>1785.75</v>
      </c>
      <c r="N857" s="13">
        <f>Econ!S857</f>
        <v>1814.5</v>
      </c>
      <c r="O857" s="13">
        <f>Econ!T857</f>
        <v>27</v>
      </c>
      <c r="P857" s="7" t="str">
        <f>Econ!A857</f>
        <v>Knight</v>
      </c>
      <c r="Q857" s="10">
        <f>Econ!C857</f>
        <v>88580740.64</v>
      </c>
      <c r="R857" s="10">
        <f>Econ!E857</f>
        <v>7018.694073</v>
      </c>
      <c r="S857" s="10">
        <f>Econ!G857</f>
        <v>11388952.37</v>
      </c>
      <c r="T857" s="10">
        <f>Econ!I857</f>
        <v>0</v>
      </c>
    </row>
    <row r="858">
      <c r="A858" s="7" t="str">
        <f>Econ!A858&amp;if(Econ!B858&lt;10,"_0"&amp;Econ!B858,"_"&amp;Econ!B858)</f>
        <v>Knight_257</v>
      </c>
      <c r="B858" s="7" t="str">
        <f>"T"&amp;Econ!B858&amp;" "&amp;Econ!A858</f>
        <v>T257 Knight</v>
      </c>
      <c r="C858" s="8">
        <f>Econ!B858</f>
        <v>257</v>
      </c>
      <c r="D858" s="7"/>
      <c r="E858" s="9"/>
      <c r="F858" s="9"/>
      <c r="G858" s="10">
        <f>Econ!L858</f>
        <v>287533</v>
      </c>
      <c r="H858" s="11">
        <f>Econ!M858</f>
        <v>52103</v>
      </c>
      <c r="I858" s="11">
        <f>Econ!N858</f>
        <v>7190</v>
      </c>
      <c r="J858" s="12">
        <f>Econ!O858</f>
        <v>7305</v>
      </c>
      <c r="K858" s="13">
        <f>Econ!P858</f>
        <v>71883.25</v>
      </c>
      <c r="L858" s="14">
        <f>Econ!Q858</f>
        <v>13025.75</v>
      </c>
      <c r="M858" s="14">
        <f>Econ!R858</f>
        <v>1797.5</v>
      </c>
      <c r="N858" s="13">
        <f>Econ!S858</f>
        <v>1826.25</v>
      </c>
      <c r="O858" s="13">
        <f>Econ!T858</f>
        <v>27</v>
      </c>
      <c r="P858" s="7" t="str">
        <f>Econ!A858</f>
        <v>Knight</v>
      </c>
      <c r="Q858" s="10">
        <f>Econ!C858</f>
        <v>93009777.67</v>
      </c>
      <c r="R858" s="10">
        <f>Econ!E858</f>
        <v>7159.067955</v>
      </c>
      <c r="S858" s="10">
        <f>Econ!G858</f>
        <v>11958399.99</v>
      </c>
      <c r="T858" s="10">
        <f>Econ!I858</f>
        <v>0</v>
      </c>
    </row>
    <row r="859">
      <c r="A859" s="7" t="str">
        <f>Econ!A859&amp;if(Econ!B859&lt;10,"_0"&amp;Econ!B859,"_"&amp;Econ!B859)</f>
        <v>Knight_258</v>
      </c>
      <c r="B859" s="7" t="str">
        <f>"T"&amp;Econ!B859&amp;" "&amp;Econ!A859</f>
        <v>T258 Knight</v>
      </c>
      <c r="C859" s="8">
        <f>Econ!B859</f>
        <v>258</v>
      </c>
      <c r="D859" s="7"/>
      <c r="E859" s="9"/>
      <c r="F859" s="9"/>
      <c r="G859" s="10">
        <f>Econ!L859</f>
        <v>288683</v>
      </c>
      <c r="H859" s="11">
        <f>Econ!M859</f>
        <v>52196</v>
      </c>
      <c r="I859" s="11">
        <f>Econ!N859</f>
        <v>7237</v>
      </c>
      <c r="J859" s="12">
        <f>Econ!O859</f>
        <v>7352</v>
      </c>
      <c r="K859" s="13">
        <f>Econ!P859</f>
        <v>72170.75</v>
      </c>
      <c r="L859" s="14">
        <f>Econ!Q859</f>
        <v>13049</v>
      </c>
      <c r="M859" s="14">
        <f>Econ!R859</f>
        <v>1809.25</v>
      </c>
      <c r="N859" s="13">
        <f>Econ!S859</f>
        <v>1838</v>
      </c>
      <c r="O859" s="13">
        <f>Econ!T859</f>
        <v>27</v>
      </c>
      <c r="P859" s="7" t="str">
        <f>Econ!A859</f>
        <v>Knight</v>
      </c>
      <c r="Q859" s="10">
        <f>Econ!C859</f>
        <v>97660266.56</v>
      </c>
      <c r="R859" s="10">
        <f>Econ!E859</f>
        <v>7302.249314</v>
      </c>
      <c r="S859" s="10">
        <f>Econ!G859</f>
        <v>12556319.99</v>
      </c>
      <c r="T859" s="10">
        <f>Econ!I859</f>
        <v>0</v>
      </c>
    </row>
    <row r="860">
      <c r="A860" s="7" t="str">
        <f>Econ!A860&amp;if(Econ!B860&lt;10,"_0"&amp;Econ!B860,"_"&amp;Econ!B860)</f>
        <v>Knight_259</v>
      </c>
      <c r="B860" s="7" t="str">
        <f>"T"&amp;Econ!B860&amp;" "&amp;Econ!A860</f>
        <v>T259 Knight</v>
      </c>
      <c r="C860" s="8">
        <f>Econ!B860</f>
        <v>259</v>
      </c>
      <c r="D860" s="7"/>
      <c r="E860" s="9"/>
      <c r="F860" s="9"/>
      <c r="G860" s="10">
        <f>Econ!L860</f>
        <v>289837</v>
      </c>
      <c r="H860" s="11">
        <f>Econ!M860</f>
        <v>52289</v>
      </c>
      <c r="I860" s="11">
        <f>Econ!N860</f>
        <v>7284</v>
      </c>
      <c r="J860" s="12">
        <f>Econ!O860</f>
        <v>7399</v>
      </c>
      <c r="K860" s="13">
        <f>Econ!P860</f>
        <v>72459.25</v>
      </c>
      <c r="L860" s="14">
        <f>Econ!Q860</f>
        <v>13072.25</v>
      </c>
      <c r="M860" s="14">
        <f>Econ!R860</f>
        <v>1821</v>
      </c>
      <c r="N860" s="13">
        <f>Econ!S860</f>
        <v>1849.75</v>
      </c>
      <c r="O860" s="13">
        <f>Econ!T860</f>
        <v>27</v>
      </c>
      <c r="P860" s="7" t="str">
        <f>Econ!A860</f>
        <v>Knight</v>
      </c>
      <c r="Q860" s="10">
        <f>Econ!C860</f>
        <v>102543279.9</v>
      </c>
      <c r="R860" s="10">
        <f>Econ!E860</f>
        <v>7448.2943</v>
      </c>
      <c r="S860" s="10">
        <f>Econ!G860</f>
        <v>13184135.99</v>
      </c>
      <c r="T860" s="10">
        <f>Econ!I860</f>
        <v>0</v>
      </c>
    </row>
    <row r="861">
      <c r="A861" s="7" t="str">
        <f>Econ!A861&amp;if(Econ!B861&lt;10,"_0"&amp;Econ!B861,"_"&amp;Econ!B861)</f>
        <v>Knight_260</v>
      </c>
      <c r="B861" s="7" t="str">
        <f>"T"&amp;Econ!B861&amp;" "&amp;Econ!A861</f>
        <v>T260 Knight</v>
      </c>
      <c r="C861" s="8">
        <f>Econ!B861</f>
        <v>260</v>
      </c>
      <c r="D861" s="7"/>
      <c r="E861" s="9"/>
      <c r="F861" s="9"/>
      <c r="G861" s="10">
        <f>Econ!L861</f>
        <v>290994</v>
      </c>
      <c r="H861" s="11">
        <f>Econ!M861</f>
        <v>52382</v>
      </c>
      <c r="I861" s="11">
        <f>Econ!N861</f>
        <v>7331</v>
      </c>
      <c r="J861" s="12">
        <f>Econ!O861</f>
        <v>7446</v>
      </c>
      <c r="K861" s="13">
        <f>Econ!P861</f>
        <v>72748.5</v>
      </c>
      <c r="L861" s="14">
        <f>Econ!Q861</f>
        <v>13095.5</v>
      </c>
      <c r="M861" s="14">
        <f>Econ!R861</f>
        <v>1832.75</v>
      </c>
      <c r="N861" s="13">
        <f>Econ!S861</f>
        <v>1861.5</v>
      </c>
      <c r="O861" s="13">
        <f>Econ!T861</f>
        <v>27</v>
      </c>
      <c r="P861" s="7" t="str">
        <f>Econ!A861</f>
        <v>Knight</v>
      </c>
      <c r="Q861" s="10">
        <f>Econ!C861</f>
        <v>107670443.9</v>
      </c>
      <c r="R861" s="10">
        <f>Econ!E861</f>
        <v>7597.260186</v>
      </c>
      <c r="S861" s="10">
        <f>Econ!G861</f>
        <v>13843342.78</v>
      </c>
      <c r="T861" s="10">
        <f>Econ!I861</f>
        <v>0</v>
      </c>
    </row>
    <row r="862">
      <c r="A862" s="7" t="str">
        <f>Econ!A862&amp;if(Econ!B862&lt;10,"_0"&amp;Econ!B862,"_"&amp;Econ!B862)</f>
        <v>Knight_261</v>
      </c>
      <c r="B862" s="7" t="str">
        <f>"T"&amp;Econ!B862&amp;" "&amp;Econ!A862</f>
        <v>T261 Knight</v>
      </c>
      <c r="C862" s="8">
        <f>Econ!B862</f>
        <v>261</v>
      </c>
      <c r="D862" s="7"/>
      <c r="E862" s="9"/>
      <c r="F862" s="9"/>
      <c r="G862" s="10">
        <f>Econ!L862</f>
        <v>292154</v>
      </c>
      <c r="H862" s="11">
        <f>Econ!M862</f>
        <v>52476</v>
      </c>
      <c r="I862" s="11">
        <f>Econ!N862</f>
        <v>7378</v>
      </c>
      <c r="J862" s="12">
        <f>Econ!O862</f>
        <v>7493</v>
      </c>
      <c r="K862" s="13">
        <f>Econ!P862</f>
        <v>73038.5</v>
      </c>
      <c r="L862" s="14">
        <f>Econ!Q862</f>
        <v>13119</v>
      </c>
      <c r="M862" s="14">
        <f>Econ!R862</f>
        <v>1844.5</v>
      </c>
      <c r="N862" s="13">
        <f>Econ!S862</f>
        <v>1873.25</v>
      </c>
      <c r="O862" s="13">
        <f>Econ!T862</f>
        <v>27</v>
      </c>
      <c r="P862" s="7" t="str">
        <f>Econ!A862</f>
        <v>Knight</v>
      </c>
      <c r="Q862" s="10">
        <f>Econ!C862</f>
        <v>113053966.1</v>
      </c>
      <c r="R862" s="10">
        <f>Econ!E862</f>
        <v>7749.20539</v>
      </c>
      <c r="S862" s="10">
        <f>Econ!G862</f>
        <v>14535509.92</v>
      </c>
      <c r="T862" s="10">
        <f>Econ!I862</f>
        <v>0</v>
      </c>
    </row>
    <row r="863">
      <c r="A863" s="7" t="str">
        <f>Econ!A863&amp;if(Econ!B863&lt;10,"_0"&amp;Econ!B863,"_"&amp;Econ!B863)</f>
        <v>Knight_262</v>
      </c>
      <c r="B863" s="7" t="str">
        <f>"T"&amp;Econ!B863&amp;" "&amp;Econ!A863</f>
        <v>T262 Knight</v>
      </c>
      <c r="C863" s="8">
        <f>Econ!B863</f>
        <v>262</v>
      </c>
      <c r="D863" s="7"/>
      <c r="E863" s="9"/>
      <c r="F863" s="9"/>
      <c r="G863" s="10">
        <f>Econ!L863</f>
        <v>293317</v>
      </c>
      <c r="H863" s="11">
        <f>Econ!M863</f>
        <v>52570</v>
      </c>
      <c r="I863" s="11">
        <f>Econ!N863</f>
        <v>7425</v>
      </c>
      <c r="J863" s="12">
        <f>Econ!O863</f>
        <v>7540</v>
      </c>
      <c r="K863" s="13">
        <f>Econ!P863</f>
        <v>73329.25</v>
      </c>
      <c r="L863" s="14">
        <f>Econ!Q863</f>
        <v>13142.5</v>
      </c>
      <c r="M863" s="14">
        <f>Econ!R863</f>
        <v>1856.25</v>
      </c>
      <c r="N863" s="13">
        <f>Econ!S863</f>
        <v>1885</v>
      </c>
      <c r="O863" s="13">
        <f>Econ!T863</f>
        <v>27</v>
      </c>
      <c r="P863" s="7" t="str">
        <f>Econ!A863</f>
        <v>Knight</v>
      </c>
      <c r="Q863" s="10">
        <f>Econ!C863</f>
        <v>118706664.4</v>
      </c>
      <c r="R863" s="10">
        <f>Econ!E863</f>
        <v>7904.189498</v>
      </c>
      <c r="S863" s="10">
        <f>Econ!G863</f>
        <v>15262285.42</v>
      </c>
      <c r="T863" s="10">
        <f>Econ!I863</f>
        <v>0</v>
      </c>
    </row>
    <row r="864">
      <c r="A864" s="7" t="str">
        <f>Econ!A864&amp;if(Econ!B864&lt;10,"_0"&amp;Econ!B864,"_"&amp;Econ!B864)</f>
        <v>Knight_263</v>
      </c>
      <c r="B864" s="7" t="str">
        <f>"T"&amp;Econ!B864&amp;" "&amp;Econ!A864</f>
        <v>T263 Knight</v>
      </c>
      <c r="C864" s="8">
        <f>Econ!B864</f>
        <v>263</v>
      </c>
      <c r="D864" s="7"/>
      <c r="E864" s="9"/>
      <c r="F864" s="9"/>
      <c r="G864" s="10">
        <f>Econ!L864</f>
        <v>294483</v>
      </c>
      <c r="H864" s="11">
        <f>Econ!M864</f>
        <v>52664</v>
      </c>
      <c r="I864" s="11">
        <f>Econ!N864</f>
        <v>7473</v>
      </c>
      <c r="J864" s="12">
        <f>Econ!O864</f>
        <v>7588</v>
      </c>
      <c r="K864" s="13">
        <f>Econ!P864</f>
        <v>73620.75</v>
      </c>
      <c r="L864" s="14">
        <f>Econ!Q864</f>
        <v>13166</v>
      </c>
      <c r="M864" s="14">
        <f>Econ!R864</f>
        <v>1868.25</v>
      </c>
      <c r="N864" s="13">
        <f>Econ!S864</f>
        <v>1897</v>
      </c>
      <c r="O864" s="13">
        <f>Econ!T864</f>
        <v>27</v>
      </c>
      <c r="P864" s="7" t="str">
        <f>Econ!A864</f>
        <v>Knight</v>
      </c>
      <c r="Q864" s="10">
        <f>Econ!C864</f>
        <v>124641997.6</v>
      </c>
      <c r="R864" s="10">
        <f>Econ!E864</f>
        <v>8062.273288</v>
      </c>
      <c r="S864" s="10">
        <f>Econ!G864</f>
        <v>16025399.69</v>
      </c>
      <c r="T864" s="10">
        <f>Econ!I864</f>
        <v>0</v>
      </c>
    </row>
    <row r="865">
      <c r="A865" s="7" t="str">
        <f>Econ!A865&amp;if(Econ!B865&lt;10,"_0"&amp;Econ!B865,"_"&amp;Econ!B865)</f>
        <v>Knight_264</v>
      </c>
      <c r="B865" s="7" t="str">
        <f>"T"&amp;Econ!B865&amp;" "&amp;Econ!A865</f>
        <v>T264 Knight</v>
      </c>
      <c r="C865" s="8">
        <f>Econ!B865</f>
        <v>264</v>
      </c>
      <c r="D865" s="7"/>
      <c r="E865" s="9"/>
      <c r="F865" s="9"/>
      <c r="G865" s="10">
        <f>Econ!L865</f>
        <v>295652</v>
      </c>
      <c r="H865" s="11">
        <f>Econ!M865</f>
        <v>52758</v>
      </c>
      <c r="I865" s="11">
        <f>Econ!N865</f>
        <v>7521</v>
      </c>
      <c r="J865" s="12">
        <f>Econ!O865</f>
        <v>7636</v>
      </c>
      <c r="K865" s="13">
        <f>Econ!P865</f>
        <v>73913</v>
      </c>
      <c r="L865" s="14">
        <f>Econ!Q865</f>
        <v>13189.5</v>
      </c>
      <c r="M865" s="14">
        <f>Econ!R865</f>
        <v>1880.25</v>
      </c>
      <c r="N865" s="13">
        <f>Econ!S865</f>
        <v>1909</v>
      </c>
      <c r="O865" s="13">
        <f>Econ!T865</f>
        <v>27</v>
      </c>
      <c r="P865" s="7" t="str">
        <f>Econ!A865</f>
        <v>Knight</v>
      </c>
      <c r="Q865" s="10">
        <f>Econ!C865</f>
        <v>130874097.5</v>
      </c>
      <c r="R865" s="10">
        <f>Econ!E865</f>
        <v>8223.518754</v>
      </c>
      <c r="S865" s="10">
        <f>Econ!G865</f>
        <v>16826669.68</v>
      </c>
      <c r="T865" s="10">
        <f>Econ!I865</f>
        <v>0</v>
      </c>
    </row>
    <row r="866">
      <c r="A866" s="7" t="str">
        <f>Econ!A866&amp;if(Econ!B866&lt;10,"_0"&amp;Econ!B866,"_"&amp;Econ!B866)</f>
        <v>Knight_265</v>
      </c>
      <c r="B866" s="7" t="str">
        <f>"T"&amp;Econ!B866&amp;" "&amp;Econ!A866</f>
        <v>T265 Knight</v>
      </c>
      <c r="C866" s="8">
        <f>Econ!B866</f>
        <v>265</v>
      </c>
      <c r="D866" s="7"/>
      <c r="E866" s="9"/>
      <c r="F866" s="9"/>
      <c r="G866" s="10">
        <f>Econ!L866</f>
        <v>296824</v>
      </c>
      <c r="H866" s="11">
        <f>Econ!M866</f>
        <v>52853</v>
      </c>
      <c r="I866" s="11">
        <f>Econ!N866</f>
        <v>7569</v>
      </c>
      <c r="J866" s="12">
        <f>Econ!O866</f>
        <v>7684</v>
      </c>
      <c r="K866" s="13">
        <f>Econ!P866</f>
        <v>74206</v>
      </c>
      <c r="L866" s="14">
        <f>Econ!Q866</f>
        <v>13213.25</v>
      </c>
      <c r="M866" s="14">
        <f>Econ!R866</f>
        <v>1892.25</v>
      </c>
      <c r="N866" s="13">
        <f>Econ!S866</f>
        <v>1921</v>
      </c>
      <c r="O866" s="13">
        <f>Econ!T866</f>
        <v>28</v>
      </c>
      <c r="P866" s="7" t="str">
        <f>Econ!A866</f>
        <v>Knight</v>
      </c>
      <c r="Q866" s="10">
        <f>Econ!C866</f>
        <v>137417802.3</v>
      </c>
      <c r="R866" s="10">
        <f>Econ!E866</f>
        <v>8387.989129</v>
      </c>
      <c r="S866" s="10">
        <f>Econ!G866</f>
        <v>17668003.16</v>
      </c>
      <c r="T866" s="10">
        <f>Econ!I866</f>
        <v>0</v>
      </c>
    </row>
    <row r="867">
      <c r="A867" s="7" t="str">
        <f>Econ!A867&amp;if(Econ!B867&lt;10,"_0"&amp;Econ!B867,"_"&amp;Econ!B867)</f>
        <v>Knight_266</v>
      </c>
      <c r="B867" s="7" t="str">
        <f>"T"&amp;Econ!B867&amp;" "&amp;Econ!A867</f>
        <v>T266 Knight</v>
      </c>
      <c r="C867" s="8">
        <f>Econ!B867</f>
        <v>266</v>
      </c>
      <c r="D867" s="7"/>
      <c r="E867" s="9"/>
      <c r="F867" s="9"/>
      <c r="G867" s="10">
        <f>Econ!L867</f>
        <v>297999</v>
      </c>
      <c r="H867" s="11">
        <f>Econ!M867</f>
        <v>52948</v>
      </c>
      <c r="I867" s="11">
        <f>Econ!N867</f>
        <v>7617</v>
      </c>
      <c r="J867" s="12">
        <f>Econ!O867</f>
        <v>7732</v>
      </c>
      <c r="K867" s="13">
        <f>Econ!P867</f>
        <v>74499.75</v>
      </c>
      <c r="L867" s="14">
        <f>Econ!Q867</f>
        <v>13237</v>
      </c>
      <c r="M867" s="14">
        <f>Econ!R867</f>
        <v>1904.25</v>
      </c>
      <c r="N867" s="13">
        <f>Econ!S867</f>
        <v>1933</v>
      </c>
      <c r="O867" s="13">
        <f>Econ!T867</f>
        <v>28</v>
      </c>
      <c r="P867" s="7" t="str">
        <f>Econ!A867</f>
        <v>Knight</v>
      </c>
      <c r="Q867" s="10">
        <f>Econ!C867</f>
        <v>144288692.5</v>
      </c>
      <c r="R867" s="10">
        <f>Econ!E867</f>
        <v>8555.748911</v>
      </c>
      <c r="S867" s="10">
        <f>Econ!G867</f>
        <v>18551403.32</v>
      </c>
      <c r="T867" s="10">
        <f>Econ!I867</f>
        <v>0</v>
      </c>
    </row>
    <row r="868">
      <c r="A868" s="7" t="str">
        <f>Econ!A868&amp;if(Econ!B868&lt;10,"_0"&amp;Econ!B868,"_"&amp;Econ!B868)</f>
        <v>Knight_267</v>
      </c>
      <c r="B868" s="7" t="str">
        <f>"T"&amp;Econ!B868&amp;" "&amp;Econ!A868</f>
        <v>T267 Knight</v>
      </c>
      <c r="C868" s="8">
        <f>Econ!B868</f>
        <v>267</v>
      </c>
      <c r="D868" s="7"/>
      <c r="E868" s="9"/>
      <c r="F868" s="9"/>
      <c r="G868" s="10">
        <f>Econ!L868</f>
        <v>299177</v>
      </c>
      <c r="H868" s="11">
        <f>Econ!M868</f>
        <v>53043</v>
      </c>
      <c r="I868" s="11">
        <f>Econ!N868</f>
        <v>7665</v>
      </c>
      <c r="J868" s="12">
        <f>Econ!O868</f>
        <v>7780</v>
      </c>
      <c r="K868" s="13">
        <f>Econ!P868</f>
        <v>74794.25</v>
      </c>
      <c r="L868" s="14">
        <f>Econ!Q868</f>
        <v>13260.75</v>
      </c>
      <c r="M868" s="14">
        <f>Econ!R868</f>
        <v>1916.25</v>
      </c>
      <c r="N868" s="13">
        <f>Econ!S868</f>
        <v>1945</v>
      </c>
      <c r="O868" s="13">
        <f>Econ!T868</f>
        <v>28</v>
      </c>
      <c r="P868" s="7" t="str">
        <f>Econ!A868</f>
        <v>Knight</v>
      </c>
      <c r="Q868" s="10">
        <f>Econ!C868</f>
        <v>151503127.1</v>
      </c>
      <c r="R868" s="10">
        <f>Econ!E868</f>
        <v>8726.863889</v>
      </c>
      <c r="S868" s="10">
        <f>Econ!G868</f>
        <v>19478973.48</v>
      </c>
      <c r="T868" s="10">
        <f>Econ!I868</f>
        <v>0</v>
      </c>
    </row>
    <row r="869">
      <c r="A869" s="7" t="str">
        <f>Econ!A869&amp;if(Econ!B869&lt;10,"_0"&amp;Econ!B869,"_"&amp;Econ!B869)</f>
        <v>Knight_268</v>
      </c>
      <c r="B869" s="7" t="str">
        <f>"T"&amp;Econ!B869&amp;" "&amp;Econ!A869</f>
        <v>T268 Knight</v>
      </c>
      <c r="C869" s="8">
        <f>Econ!B869</f>
        <v>268</v>
      </c>
      <c r="D869" s="7"/>
      <c r="E869" s="9"/>
      <c r="F869" s="9"/>
      <c r="G869" s="10">
        <f>Econ!L869</f>
        <v>300359</v>
      </c>
      <c r="H869" s="11">
        <f>Econ!M869</f>
        <v>53138</v>
      </c>
      <c r="I869" s="11">
        <f>Econ!N869</f>
        <v>7713</v>
      </c>
      <c r="J869" s="12">
        <f>Econ!O869</f>
        <v>7828</v>
      </c>
      <c r="K869" s="13">
        <f>Econ!P869</f>
        <v>75089.75</v>
      </c>
      <c r="L869" s="14">
        <f>Econ!Q869</f>
        <v>13284.5</v>
      </c>
      <c r="M869" s="14">
        <f>Econ!R869</f>
        <v>1928.25</v>
      </c>
      <c r="N869" s="13">
        <f>Econ!S869</f>
        <v>1957</v>
      </c>
      <c r="O869" s="13">
        <f>Econ!T869</f>
        <v>28</v>
      </c>
      <c r="P869" s="7" t="str">
        <f>Econ!A869</f>
        <v>Knight</v>
      </c>
      <c r="Q869" s="10">
        <f>Econ!C869</f>
        <v>159078283.4</v>
      </c>
      <c r="R869" s="10">
        <f>Econ!E869</f>
        <v>8901.401167</v>
      </c>
      <c r="S869" s="10">
        <f>Econ!G869</f>
        <v>20452922.16</v>
      </c>
      <c r="T869" s="10">
        <f>Econ!I869</f>
        <v>0</v>
      </c>
    </row>
    <row r="870">
      <c r="A870" s="7" t="str">
        <f>Econ!A870&amp;if(Econ!B870&lt;10,"_0"&amp;Econ!B870,"_"&amp;Econ!B870)</f>
        <v>Knight_269</v>
      </c>
      <c r="B870" s="7" t="str">
        <f>"T"&amp;Econ!B870&amp;" "&amp;Econ!A870</f>
        <v>T269 Knight</v>
      </c>
      <c r="C870" s="8">
        <f>Econ!B870</f>
        <v>269</v>
      </c>
      <c r="D870" s="7"/>
      <c r="E870" s="9"/>
      <c r="F870" s="9"/>
      <c r="G870" s="10">
        <f>Econ!L870</f>
        <v>301544</v>
      </c>
      <c r="H870" s="11">
        <f>Econ!M870</f>
        <v>53234</v>
      </c>
      <c r="I870" s="11">
        <f>Econ!N870</f>
        <v>7761</v>
      </c>
      <c r="J870" s="12">
        <f>Econ!O870</f>
        <v>7876</v>
      </c>
      <c r="K870" s="13">
        <f>Econ!P870</f>
        <v>75386</v>
      </c>
      <c r="L870" s="14">
        <f>Econ!Q870</f>
        <v>13308.5</v>
      </c>
      <c r="M870" s="14">
        <f>Econ!R870</f>
        <v>1940.25</v>
      </c>
      <c r="N870" s="13">
        <f>Econ!S870</f>
        <v>1969</v>
      </c>
      <c r="O870" s="13">
        <f>Econ!T870</f>
        <v>28</v>
      </c>
      <c r="P870" s="7" t="str">
        <f>Econ!A870</f>
        <v>Knight</v>
      </c>
      <c r="Q870" s="10">
        <f>Econ!C870</f>
        <v>167032197.6</v>
      </c>
      <c r="R870" s="10">
        <f>Econ!E870</f>
        <v>9079.429191</v>
      </c>
      <c r="S870" s="10">
        <f>Econ!G870</f>
        <v>21475568.26</v>
      </c>
      <c r="T870" s="10">
        <f>Econ!I870</f>
        <v>0</v>
      </c>
    </row>
    <row r="871">
      <c r="A871" s="7" t="str">
        <f>Econ!A871&amp;if(Econ!B871&lt;10,"_0"&amp;Econ!B871,"_"&amp;Econ!B871)</f>
        <v>Knight_270</v>
      </c>
      <c r="B871" s="7" t="str">
        <f>"T"&amp;Econ!B871&amp;" "&amp;Econ!A871</f>
        <v>T270 Knight</v>
      </c>
      <c r="C871" s="8">
        <f>Econ!B871</f>
        <v>270</v>
      </c>
      <c r="D871" s="7"/>
      <c r="E871" s="9"/>
      <c r="F871" s="9"/>
      <c r="G871" s="10">
        <f>Econ!L871</f>
        <v>302732</v>
      </c>
      <c r="H871" s="11">
        <f>Econ!M871</f>
        <v>53330</v>
      </c>
      <c r="I871" s="11">
        <f>Econ!N871</f>
        <v>7809</v>
      </c>
      <c r="J871" s="12">
        <f>Econ!O871</f>
        <v>7924</v>
      </c>
      <c r="K871" s="13">
        <f>Econ!P871</f>
        <v>75683</v>
      </c>
      <c r="L871" s="14">
        <f>Econ!Q871</f>
        <v>13332.5</v>
      </c>
      <c r="M871" s="14">
        <f>Econ!R871</f>
        <v>1952.25</v>
      </c>
      <c r="N871" s="13">
        <f>Econ!S871</f>
        <v>1981</v>
      </c>
      <c r="O871" s="13">
        <f>Econ!T871</f>
        <v>28</v>
      </c>
      <c r="P871" s="7" t="str">
        <f>Econ!A871</f>
        <v>Knight</v>
      </c>
      <c r="Q871" s="10">
        <f>Econ!C871</f>
        <v>175383807.5</v>
      </c>
      <c r="R871" s="10">
        <f>Econ!E871</f>
        <v>9261.017774</v>
      </c>
      <c r="S871" s="10">
        <f>Econ!G871</f>
        <v>22549346.68</v>
      </c>
      <c r="T871" s="10">
        <f>Econ!I871</f>
        <v>0</v>
      </c>
    </row>
    <row r="872">
      <c r="A872" s="7" t="str">
        <f>Econ!A872&amp;if(Econ!B872&lt;10,"_0"&amp;Econ!B872,"_"&amp;Econ!B872)</f>
        <v>Knight_271</v>
      </c>
      <c r="B872" s="7" t="str">
        <f>"T"&amp;Econ!B872&amp;" "&amp;Econ!A872</f>
        <v>T271 Knight</v>
      </c>
      <c r="C872" s="8">
        <f>Econ!B872</f>
        <v>271</v>
      </c>
      <c r="D872" s="7"/>
      <c r="E872" s="9"/>
      <c r="F872" s="9"/>
      <c r="G872" s="10">
        <f>Econ!L872</f>
        <v>303923</v>
      </c>
      <c r="H872" s="11">
        <f>Econ!M872</f>
        <v>53426</v>
      </c>
      <c r="I872" s="11">
        <f>Econ!N872</f>
        <v>7858</v>
      </c>
      <c r="J872" s="12">
        <f>Econ!O872</f>
        <v>7973</v>
      </c>
      <c r="K872" s="13">
        <f>Econ!P872</f>
        <v>75980.75</v>
      </c>
      <c r="L872" s="14">
        <f>Econ!Q872</f>
        <v>13356.5</v>
      </c>
      <c r="M872" s="14">
        <f>Econ!R872</f>
        <v>1964.5</v>
      </c>
      <c r="N872" s="13">
        <f>Econ!S872</f>
        <v>1993.25</v>
      </c>
      <c r="O872" s="13">
        <f>Econ!T872</f>
        <v>28</v>
      </c>
      <c r="P872" s="7" t="str">
        <f>Econ!A872</f>
        <v>Knight</v>
      </c>
      <c r="Q872" s="10">
        <f>Econ!C872</f>
        <v>184152997.9</v>
      </c>
      <c r="R872" s="10">
        <f>Econ!E872</f>
        <v>9446.23813</v>
      </c>
      <c r="S872" s="10">
        <f>Econ!G872</f>
        <v>23676814.01</v>
      </c>
      <c r="T872" s="10">
        <f>Econ!I872</f>
        <v>0</v>
      </c>
    </row>
    <row r="873">
      <c r="A873" s="7" t="str">
        <f>Econ!A873&amp;if(Econ!B873&lt;10,"_0"&amp;Econ!B873,"_"&amp;Econ!B873)</f>
        <v>Knight_272</v>
      </c>
      <c r="B873" s="7" t="str">
        <f>"T"&amp;Econ!B873&amp;" "&amp;Econ!A873</f>
        <v>T272 Knight</v>
      </c>
      <c r="C873" s="8">
        <f>Econ!B873</f>
        <v>272</v>
      </c>
      <c r="D873" s="7"/>
      <c r="E873" s="9"/>
      <c r="F873" s="9"/>
      <c r="G873" s="10">
        <f>Econ!L873</f>
        <v>305117</v>
      </c>
      <c r="H873" s="11">
        <f>Econ!M873</f>
        <v>53522</v>
      </c>
      <c r="I873" s="11">
        <f>Econ!N873</f>
        <v>7907</v>
      </c>
      <c r="J873" s="12">
        <f>Econ!O873</f>
        <v>8022</v>
      </c>
      <c r="K873" s="13">
        <f>Econ!P873</f>
        <v>76279.25</v>
      </c>
      <c r="L873" s="14">
        <f>Econ!Q873</f>
        <v>13380.5</v>
      </c>
      <c r="M873" s="14">
        <f>Econ!R873</f>
        <v>1976.75</v>
      </c>
      <c r="N873" s="13">
        <f>Econ!S873</f>
        <v>2005.5</v>
      </c>
      <c r="O873" s="13">
        <f>Econ!T873</f>
        <v>28</v>
      </c>
      <c r="P873" s="7" t="str">
        <f>Econ!A873</f>
        <v>Knight</v>
      </c>
      <c r="Q873" s="10">
        <f>Econ!C873</f>
        <v>193360647.8</v>
      </c>
      <c r="R873" s="10">
        <f>Econ!E873</f>
        <v>9635.162892</v>
      </c>
      <c r="S873" s="10">
        <f>Econ!G873</f>
        <v>24860654.71</v>
      </c>
      <c r="T873" s="10">
        <f>Econ!I873</f>
        <v>0</v>
      </c>
    </row>
    <row r="874">
      <c r="A874" s="7" t="str">
        <f>Econ!A874&amp;if(Econ!B874&lt;10,"_0"&amp;Econ!B874,"_"&amp;Econ!B874)</f>
        <v>Knight_273</v>
      </c>
      <c r="B874" s="7" t="str">
        <f>"T"&amp;Econ!B874&amp;" "&amp;Econ!A874</f>
        <v>T273 Knight</v>
      </c>
      <c r="C874" s="8">
        <f>Econ!B874</f>
        <v>273</v>
      </c>
      <c r="D874" s="7"/>
      <c r="E874" s="9"/>
      <c r="F874" s="9"/>
      <c r="G874" s="10">
        <f>Econ!L874</f>
        <v>306314</v>
      </c>
      <c r="H874" s="11">
        <f>Econ!M874</f>
        <v>53619</v>
      </c>
      <c r="I874" s="11">
        <f>Econ!N874</f>
        <v>7956</v>
      </c>
      <c r="J874" s="12">
        <f>Econ!O874</f>
        <v>8071</v>
      </c>
      <c r="K874" s="13">
        <f>Econ!P874</f>
        <v>76578.5</v>
      </c>
      <c r="L874" s="14">
        <f>Econ!Q874</f>
        <v>13404.75</v>
      </c>
      <c r="M874" s="14">
        <f>Econ!R874</f>
        <v>1989</v>
      </c>
      <c r="N874" s="13">
        <f>Econ!S874</f>
        <v>2017.75</v>
      </c>
      <c r="O874" s="13">
        <f>Econ!T874</f>
        <v>28</v>
      </c>
      <c r="P874" s="7" t="str">
        <f>Econ!A874</f>
        <v>Knight</v>
      </c>
      <c r="Q874" s="10">
        <f>Econ!C874</f>
        <v>203028680.2</v>
      </c>
      <c r="R874" s="10">
        <f>Econ!E874</f>
        <v>9827.86615</v>
      </c>
      <c r="S874" s="10">
        <f>Econ!G874</f>
        <v>26103687.45</v>
      </c>
      <c r="T874" s="10">
        <f>Econ!I874</f>
        <v>0</v>
      </c>
    </row>
    <row r="875">
      <c r="A875" s="7" t="str">
        <f>Econ!A875&amp;if(Econ!B875&lt;10,"_0"&amp;Econ!B875,"_"&amp;Econ!B875)</f>
        <v>Knight_274</v>
      </c>
      <c r="B875" s="7" t="str">
        <f>"T"&amp;Econ!B875&amp;" "&amp;Econ!A875</f>
        <v>T274 Knight</v>
      </c>
      <c r="C875" s="8">
        <f>Econ!B875</f>
        <v>274</v>
      </c>
      <c r="D875" s="7"/>
      <c r="E875" s="9"/>
      <c r="F875" s="9"/>
      <c r="G875" s="10">
        <f>Econ!L875</f>
        <v>307514</v>
      </c>
      <c r="H875" s="11">
        <f>Econ!M875</f>
        <v>53716</v>
      </c>
      <c r="I875" s="11">
        <f>Econ!N875</f>
        <v>8005</v>
      </c>
      <c r="J875" s="12">
        <f>Econ!O875</f>
        <v>8120</v>
      </c>
      <c r="K875" s="13">
        <f>Econ!P875</f>
        <v>76878.5</v>
      </c>
      <c r="L875" s="14">
        <f>Econ!Q875</f>
        <v>13429</v>
      </c>
      <c r="M875" s="14">
        <f>Econ!R875</f>
        <v>2001.25</v>
      </c>
      <c r="N875" s="13">
        <f>Econ!S875</f>
        <v>2030</v>
      </c>
      <c r="O875" s="13">
        <f>Econ!T875</f>
        <v>28</v>
      </c>
      <c r="P875" s="7" t="str">
        <f>Econ!A875</f>
        <v>Knight</v>
      </c>
      <c r="Q875" s="10">
        <f>Econ!C875</f>
        <v>213180114.2</v>
      </c>
      <c r="R875" s="10">
        <f>Econ!E875</f>
        <v>10024.42347</v>
      </c>
      <c r="S875" s="10">
        <f>Econ!G875</f>
        <v>27408871.82</v>
      </c>
      <c r="T875" s="10">
        <f>Econ!I875</f>
        <v>0</v>
      </c>
    </row>
    <row r="876">
      <c r="A876" s="7" t="str">
        <f>Econ!A876&amp;if(Econ!B876&lt;10,"_0"&amp;Econ!B876,"_"&amp;Econ!B876)</f>
        <v>Knight_275</v>
      </c>
      <c r="B876" s="7" t="str">
        <f>"T"&amp;Econ!B876&amp;" "&amp;Econ!A876</f>
        <v>T275 Knight</v>
      </c>
      <c r="C876" s="8">
        <f>Econ!B876</f>
        <v>275</v>
      </c>
      <c r="D876" s="7"/>
      <c r="E876" s="9"/>
      <c r="F876" s="9"/>
      <c r="G876" s="10">
        <f>Econ!L876</f>
        <v>308717</v>
      </c>
      <c r="H876" s="11">
        <f>Econ!M876</f>
        <v>53813</v>
      </c>
      <c r="I876" s="11">
        <f>Econ!N876</f>
        <v>8054</v>
      </c>
      <c r="J876" s="12">
        <f>Econ!O876</f>
        <v>8169</v>
      </c>
      <c r="K876" s="13">
        <f>Econ!P876</f>
        <v>77179.25</v>
      </c>
      <c r="L876" s="14">
        <f>Econ!Q876</f>
        <v>13453.25</v>
      </c>
      <c r="M876" s="14">
        <f>Econ!R876</f>
        <v>2013.5</v>
      </c>
      <c r="N876" s="13">
        <f>Econ!S876</f>
        <v>2042.25</v>
      </c>
      <c r="O876" s="13">
        <f>Econ!T876</f>
        <v>29</v>
      </c>
      <c r="P876" s="7" t="str">
        <f>Econ!A876</f>
        <v>Knight</v>
      </c>
      <c r="Q876" s="10">
        <f>Econ!C876</f>
        <v>223839119.9</v>
      </c>
      <c r="R876" s="10">
        <f>Econ!E876</f>
        <v>10224.91194</v>
      </c>
      <c r="S876" s="10">
        <f>Econ!G876</f>
        <v>28779315.41</v>
      </c>
      <c r="T876" s="10">
        <f>Econ!I876</f>
        <v>0</v>
      </c>
    </row>
    <row r="877">
      <c r="A877" s="7" t="str">
        <f>Econ!A877&amp;if(Econ!B877&lt;10,"_0"&amp;Econ!B877,"_"&amp;Econ!B877)</f>
        <v>Knight_276</v>
      </c>
      <c r="B877" s="7" t="str">
        <f>"T"&amp;Econ!B877&amp;" "&amp;Econ!A877</f>
        <v>T276 Knight</v>
      </c>
      <c r="C877" s="8">
        <f>Econ!B877</f>
        <v>276</v>
      </c>
      <c r="D877" s="7"/>
      <c r="E877" s="9"/>
      <c r="F877" s="9"/>
      <c r="G877" s="10">
        <f>Econ!L877</f>
        <v>309923</v>
      </c>
      <c r="H877" s="11">
        <f>Econ!M877</f>
        <v>53910</v>
      </c>
      <c r="I877" s="11">
        <f>Econ!N877</f>
        <v>8103</v>
      </c>
      <c r="J877" s="12">
        <f>Econ!O877</f>
        <v>8218</v>
      </c>
      <c r="K877" s="13">
        <f>Econ!P877</f>
        <v>77480.75</v>
      </c>
      <c r="L877" s="14">
        <f>Econ!Q877</f>
        <v>13477.5</v>
      </c>
      <c r="M877" s="14">
        <f>Econ!R877</f>
        <v>2025.75</v>
      </c>
      <c r="N877" s="13">
        <f>Econ!S877</f>
        <v>2054.5</v>
      </c>
      <c r="O877" s="13">
        <f>Econ!T877</f>
        <v>29</v>
      </c>
      <c r="P877" s="7" t="str">
        <f>Econ!A877</f>
        <v>Knight</v>
      </c>
      <c r="Q877" s="10">
        <f>Econ!C877</f>
        <v>235031075.9</v>
      </c>
      <c r="R877" s="10">
        <f>Econ!E877</f>
        <v>10429.41018</v>
      </c>
      <c r="S877" s="10">
        <f>Econ!G877</f>
        <v>30218281.18</v>
      </c>
      <c r="T877" s="10">
        <f>Econ!I877</f>
        <v>0</v>
      </c>
    </row>
    <row r="878">
      <c r="A878" s="7" t="str">
        <f>Econ!A878&amp;if(Econ!B878&lt;10,"_0"&amp;Econ!B878,"_"&amp;Econ!B878)</f>
        <v>Knight_277</v>
      </c>
      <c r="B878" s="7" t="str">
        <f>"T"&amp;Econ!B878&amp;" "&amp;Econ!A878</f>
        <v>T277 Knight</v>
      </c>
      <c r="C878" s="8">
        <f>Econ!B878</f>
        <v>277</v>
      </c>
      <c r="D878" s="7"/>
      <c r="E878" s="9"/>
      <c r="F878" s="9"/>
      <c r="G878" s="10">
        <f>Econ!L878</f>
        <v>311132</v>
      </c>
      <c r="H878" s="11">
        <f>Econ!M878</f>
        <v>54008</v>
      </c>
      <c r="I878" s="11">
        <f>Econ!N878</f>
        <v>8152</v>
      </c>
      <c r="J878" s="12">
        <f>Econ!O878</f>
        <v>8267</v>
      </c>
      <c r="K878" s="13">
        <f>Econ!P878</f>
        <v>77783</v>
      </c>
      <c r="L878" s="14">
        <f>Econ!Q878</f>
        <v>13502</v>
      </c>
      <c r="M878" s="14">
        <f>Econ!R878</f>
        <v>2038</v>
      </c>
      <c r="N878" s="13">
        <f>Econ!S878</f>
        <v>2066.75</v>
      </c>
      <c r="O878" s="13">
        <f>Econ!T878</f>
        <v>29</v>
      </c>
      <c r="P878" s="7" t="str">
        <f>Econ!A878</f>
        <v>Knight</v>
      </c>
      <c r="Q878" s="10">
        <f>Econ!C878</f>
        <v>246782629.7</v>
      </c>
      <c r="R878" s="10">
        <f>Econ!E878</f>
        <v>10637.99839</v>
      </c>
      <c r="S878" s="10">
        <f>Econ!G878</f>
        <v>31729195.24</v>
      </c>
      <c r="T878" s="10">
        <f>Econ!I878</f>
        <v>0</v>
      </c>
    </row>
    <row r="879">
      <c r="A879" s="7" t="str">
        <f>Econ!A879&amp;if(Econ!B879&lt;10,"_0"&amp;Econ!B879,"_"&amp;Econ!B879)</f>
        <v>Knight_278</v>
      </c>
      <c r="B879" s="7" t="str">
        <f>"T"&amp;Econ!B879&amp;" "&amp;Econ!A879</f>
        <v>T278 Knight</v>
      </c>
      <c r="C879" s="8">
        <f>Econ!B879</f>
        <v>278</v>
      </c>
      <c r="D879" s="7"/>
      <c r="E879" s="9"/>
      <c r="F879" s="9"/>
      <c r="G879" s="10">
        <f>Econ!L879</f>
        <v>312344</v>
      </c>
      <c r="H879" s="11">
        <f>Econ!M879</f>
        <v>54106</v>
      </c>
      <c r="I879" s="11">
        <f>Econ!N879</f>
        <v>8201</v>
      </c>
      <c r="J879" s="12">
        <f>Econ!O879</f>
        <v>8316</v>
      </c>
      <c r="K879" s="13">
        <f>Econ!P879</f>
        <v>78086</v>
      </c>
      <c r="L879" s="14">
        <f>Econ!Q879</f>
        <v>13526.5</v>
      </c>
      <c r="M879" s="14">
        <f>Econ!R879</f>
        <v>2050.25</v>
      </c>
      <c r="N879" s="13">
        <f>Econ!S879</f>
        <v>2079</v>
      </c>
      <c r="O879" s="13">
        <f>Econ!T879</f>
        <v>29</v>
      </c>
      <c r="P879" s="7" t="str">
        <f>Econ!A879</f>
        <v>Knight</v>
      </c>
      <c r="Q879" s="10">
        <f>Econ!C879</f>
        <v>259121761.1</v>
      </c>
      <c r="R879" s="10">
        <f>Econ!E879</f>
        <v>10850.75835</v>
      </c>
      <c r="S879" s="10">
        <f>Econ!G879</f>
        <v>33315655</v>
      </c>
      <c r="T879" s="10">
        <f>Econ!I879</f>
        <v>0</v>
      </c>
    </row>
    <row r="880">
      <c r="A880" s="7" t="str">
        <f>Econ!A880&amp;if(Econ!B880&lt;10,"_0"&amp;Econ!B880,"_"&amp;Econ!B880)</f>
        <v>Knight_279</v>
      </c>
      <c r="B880" s="7" t="str">
        <f>"T"&amp;Econ!B880&amp;" "&amp;Econ!A880</f>
        <v>T279 Knight</v>
      </c>
      <c r="C880" s="8">
        <f>Econ!B880</f>
        <v>279</v>
      </c>
      <c r="D880" s="7"/>
      <c r="E880" s="9"/>
      <c r="F880" s="9"/>
      <c r="G880" s="10">
        <f>Econ!L880</f>
        <v>313559</v>
      </c>
      <c r="H880" s="11">
        <f>Econ!M880</f>
        <v>54204</v>
      </c>
      <c r="I880" s="11">
        <f>Econ!N880</f>
        <v>8251</v>
      </c>
      <c r="J880" s="12">
        <f>Econ!O880</f>
        <v>8366</v>
      </c>
      <c r="K880" s="13">
        <f>Econ!P880</f>
        <v>78389.75</v>
      </c>
      <c r="L880" s="14">
        <f>Econ!Q880</f>
        <v>13551</v>
      </c>
      <c r="M880" s="14">
        <f>Econ!R880</f>
        <v>2062.75</v>
      </c>
      <c r="N880" s="13">
        <f>Econ!S880</f>
        <v>2091.5</v>
      </c>
      <c r="O880" s="13">
        <f>Econ!T880</f>
        <v>29</v>
      </c>
      <c r="P880" s="7" t="str">
        <f>Econ!A880</f>
        <v>Knight</v>
      </c>
      <c r="Q880" s="10">
        <f>Econ!C880</f>
        <v>272077849.2</v>
      </c>
      <c r="R880" s="10">
        <f>Econ!E880</f>
        <v>11067.77352</v>
      </c>
      <c r="S880" s="10">
        <f>Econ!G880</f>
        <v>34981437.75</v>
      </c>
      <c r="T880" s="10">
        <f>Econ!I880</f>
        <v>0</v>
      </c>
    </row>
    <row r="881">
      <c r="A881" s="7" t="str">
        <f>Econ!A881&amp;if(Econ!B881&lt;10,"_0"&amp;Econ!B881,"_"&amp;Econ!B881)</f>
        <v>Knight_280</v>
      </c>
      <c r="B881" s="7" t="str">
        <f>"T"&amp;Econ!B881&amp;" "&amp;Econ!A881</f>
        <v>T280 Knight</v>
      </c>
      <c r="C881" s="8">
        <f>Econ!B881</f>
        <v>280</v>
      </c>
      <c r="D881" s="7"/>
      <c r="E881" s="9"/>
      <c r="F881" s="9"/>
      <c r="G881" s="10">
        <f>Econ!L881</f>
        <v>314777</v>
      </c>
      <c r="H881" s="11">
        <f>Econ!M881</f>
        <v>54302</v>
      </c>
      <c r="I881" s="11">
        <f>Econ!N881</f>
        <v>8301</v>
      </c>
      <c r="J881" s="12">
        <f>Econ!O881</f>
        <v>8416</v>
      </c>
      <c r="K881" s="13">
        <f>Econ!P881</f>
        <v>78694.25</v>
      </c>
      <c r="L881" s="14">
        <f>Econ!Q881</f>
        <v>13575.5</v>
      </c>
      <c r="M881" s="14">
        <f>Econ!R881</f>
        <v>2075.25</v>
      </c>
      <c r="N881" s="13">
        <f>Econ!S881</f>
        <v>2104</v>
      </c>
      <c r="O881" s="13">
        <f>Econ!T881</f>
        <v>29</v>
      </c>
      <c r="P881" s="7" t="str">
        <f>Econ!A881</f>
        <v>Knight</v>
      </c>
      <c r="Q881" s="10">
        <f>Econ!C881</f>
        <v>285681741.7</v>
      </c>
      <c r="R881" s="10">
        <f>Econ!E881</f>
        <v>11289.12899</v>
      </c>
      <c r="S881" s="10">
        <f>Econ!G881</f>
        <v>36730509.64</v>
      </c>
      <c r="T881" s="10">
        <f>Econ!I881</f>
        <v>0</v>
      </c>
    </row>
    <row r="882">
      <c r="A882" s="7" t="str">
        <f>Econ!A882&amp;if(Econ!B882&lt;10,"_0"&amp;Econ!B882,"_"&amp;Econ!B882)</f>
        <v>Knight_281</v>
      </c>
      <c r="B882" s="7" t="str">
        <f>"T"&amp;Econ!B882&amp;" "&amp;Econ!A882</f>
        <v>T281 Knight</v>
      </c>
      <c r="C882" s="8">
        <f>Econ!B882</f>
        <v>281</v>
      </c>
      <c r="D882" s="7"/>
      <c r="E882" s="9"/>
      <c r="F882" s="9"/>
      <c r="G882" s="10">
        <f>Econ!L882</f>
        <v>315999</v>
      </c>
      <c r="H882" s="11">
        <f>Econ!M882</f>
        <v>54401</v>
      </c>
      <c r="I882" s="11">
        <f>Econ!N882</f>
        <v>8351</v>
      </c>
      <c r="J882" s="12">
        <f>Econ!O882</f>
        <v>8466</v>
      </c>
      <c r="K882" s="13">
        <f>Econ!P882</f>
        <v>78999.75</v>
      </c>
      <c r="L882" s="14">
        <f>Econ!Q882</f>
        <v>13600.25</v>
      </c>
      <c r="M882" s="14">
        <f>Econ!R882</f>
        <v>2087.75</v>
      </c>
      <c r="N882" s="13">
        <f>Econ!S882</f>
        <v>2116.5</v>
      </c>
      <c r="O882" s="13">
        <f>Econ!T882</f>
        <v>29</v>
      </c>
      <c r="P882" s="7" t="str">
        <f>Econ!A882</f>
        <v>Knight</v>
      </c>
      <c r="Q882" s="10">
        <f>Econ!C882</f>
        <v>299965828.7</v>
      </c>
      <c r="R882" s="10">
        <f>Econ!E882</f>
        <v>11514.91157</v>
      </c>
      <c r="S882" s="10">
        <f>Econ!G882</f>
        <v>38567035.12</v>
      </c>
      <c r="T882" s="10">
        <f>Econ!I882</f>
        <v>0</v>
      </c>
    </row>
    <row r="883">
      <c r="A883" s="7" t="str">
        <f>Econ!A883&amp;if(Econ!B883&lt;10,"_0"&amp;Econ!B883,"_"&amp;Econ!B883)</f>
        <v>Knight_282</v>
      </c>
      <c r="B883" s="7" t="str">
        <f>"T"&amp;Econ!B883&amp;" "&amp;Econ!A883</f>
        <v>T282 Knight</v>
      </c>
      <c r="C883" s="8">
        <f>Econ!B883</f>
        <v>282</v>
      </c>
      <c r="D883" s="7"/>
      <c r="E883" s="9"/>
      <c r="F883" s="9"/>
      <c r="G883" s="10">
        <f>Econ!L883</f>
        <v>317224</v>
      </c>
      <c r="H883" s="11">
        <f>Econ!M883</f>
        <v>54500</v>
      </c>
      <c r="I883" s="11">
        <f>Econ!N883</f>
        <v>8401</v>
      </c>
      <c r="J883" s="12">
        <f>Econ!O883</f>
        <v>8516</v>
      </c>
      <c r="K883" s="13">
        <f>Econ!P883</f>
        <v>79306</v>
      </c>
      <c r="L883" s="14">
        <f>Econ!Q883</f>
        <v>13625</v>
      </c>
      <c r="M883" s="14">
        <f>Econ!R883</f>
        <v>2100.25</v>
      </c>
      <c r="N883" s="13">
        <f>Econ!S883</f>
        <v>2129</v>
      </c>
      <c r="O883" s="13">
        <f>Econ!T883</f>
        <v>29</v>
      </c>
      <c r="P883" s="7" t="str">
        <f>Econ!A883</f>
        <v>Knight</v>
      </c>
      <c r="Q883" s="10">
        <f>Econ!C883</f>
        <v>314964120.2</v>
      </c>
      <c r="R883" s="10">
        <f>Econ!E883</f>
        <v>11745.2098</v>
      </c>
      <c r="S883" s="10">
        <f>Econ!G883</f>
        <v>40495386.88</v>
      </c>
      <c r="T883" s="10">
        <f>Econ!I883</f>
        <v>0</v>
      </c>
    </row>
    <row r="884">
      <c r="A884" s="7" t="str">
        <f>Econ!A884&amp;if(Econ!B884&lt;10,"_0"&amp;Econ!B884,"_"&amp;Econ!B884)</f>
        <v>Knight_283</v>
      </c>
      <c r="B884" s="7" t="str">
        <f>"T"&amp;Econ!B884&amp;" "&amp;Econ!A884</f>
        <v>T283 Knight</v>
      </c>
      <c r="C884" s="8">
        <f>Econ!B884</f>
        <v>283</v>
      </c>
      <c r="D884" s="7"/>
      <c r="E884" s="9"/>
      <c r="F884" s="9"/>
      <c r="G884" s="10">
        <f>Econ!L884</f>
        <v>318452</v>
      </c>
      <c r="H884" s="11">
        <f>Econ!M884</f>
        <v>54599</v>
      </c>
      <c r="I884" s="11">
        <f>Econ!N884</f>
        <v>8451</v>
      </c>
      <c r="J884" s="12">
        <f>Econ!O884</f>
        <v>8566</v>
      </c>
      <c r="K884" s="13">
        <f>Econ!P884</f>
        <v>79613</v>
      </c>
      <c r="L884" s="14">
        <f>Econ!Q884</f>
        <v>13649.75</v>
      </c>
      <c r="M884" s="14">
        <f>Econ!R884</f>
        <v>2112.75</v>
      </c>
      <c r="N884" s="13">
        <f>Econ!S884</f>
        <v>2141.5</v>
      </c>
      <c r="O884" s="13">
        <f>Econ!T884</f>
        <v>29</v>
      </c>
      <c r="P884" s="7" t="str">
        <f>Econ!A884</f>
        <v>Knight</v>
      </c>
      <c r="Q884" s="10">
        <f>Econ!C884</f>
        <v>330712326.2</v>
      </c>
      <c r="R884" s="10">
        <f>Econ!E884</f>
        <v>11980.114</v>
      </c>
      <c r="S884" s="10">
        <f>Econ!G884</f>
        <v>42520156.22</v>
      </c>
      <c r="T884" s="10">
        <f>Econ!I884</f>
        <v>0</v>
      </c>
    </row>
    <row r="885">
      <c r="A885" s="7" t="str">
        <f>Econ!A885&amp;if(Econ!B885&lt;10,"_0"&amp;Econ!B885,"_"&amp;Econ!B885)</f>
        <v>Knight_284</v>
      </c>
      <c r="B885" s="7" t="str">
        <f>"T"&amp;Econ!B885&amp;" "&amp;Econ!A885</f>
        <v>T284 Knight</v>
      </c>
      <c r="C885" s="8">
        <f>Econ!B885</f>
        <v>284</v>
      </c>
      <c r="D885" s="7"/>
      <c r="E885" s="9"/>
      <c r="F885" s="9"/>
      <c r="G885" s="10">
        <f>Econ!L885</f>
        <v>319683</v>
      </c>
      <c r="H885" s="11">
        <f>Econ!M885</f>
        <v>54698</v>
      </c>
      <c r="I885" s="11">
        <f>Econ!N885</f>
        <v>8501</v>
      </c>
      <c r="J885" s="12">
        <f>Econ!O885</f>
        <v>8616</v>
      </c>
      <c r="K885" s="13">
        <f>Econ!P885</f>
        <v>79920.75</v>
      </c>
      <c r="L885" s="14">
        <f>Econ!Q885</f>
        <v>13674.5</v>
      </c>
      <c r="M885" s="14">
        <f>Econ!R885</f>
        <v>2125.25</v>
      </c>
      <c r="N885" s="13">
        <f>Econ!S885</f>
        <v>2154</v>
      </c>
      <c r="O885" s="13">
        <f>Econ!T885</f>
        <v>29</v>
      </c>
      <c r="P885" s="7" t="str">
        <f>Econ!A885</f>
        <v>Knight</v>
      </c>
      <c r="Q885" s="10">
        <f>Econ!C885</f>
        <v>347247942.5</v>
      </c>
      <c r="R885" s="10">
        <f>Econ!E885</f>
        <v>12219.71628</v>
      </c>
      <c r="S885" s="10">
        <f>Econ!G885</f>
        <v>44646164.03</v>
      </c>
      <c r="T885" s="10">
        <f>Econ!I885</f>
        <v>0</v>
      </c>
    </row>
    <row r="886">
      <c r="A886" s="7" t="str">
        <f>Econ!A886&amp;if(Econ!B886&lt;10,"_0"&amp;Econ!B886,"_"&amp;Econ!B886)</f>
        <v>Knight_285</v>
      </c>
      <c r="B886" s="7" t="str">
        <f>"T"&amp;Econ!B886&amp;" "&amp;Econ!A886</f>
        <v>T285 Knight</v>
      </c>
      <c r="C886" s="8">
        <f>Econ!B886</f>
        <v>285</v>
      </c>
      <c r="D886" s="7"/>
      <c r="E886" s="9"/>
      <c r="F886" s="9"/>
      <c r="G886" s="10">
        <f>Econ!L886</f>
        <v>320917</v>
      </c>
      <c r="H886" s="11">
        <f>Econ!M886</f>
        <v>54798</v>
      </c>
      <c r="I886" s="11">
        <f>Econ!N886</f>
        <v>8551</v>
      </c>
      <c r="J886" s="12">
        <f>Econ!O886</f>
        <v>8666</v>
      </c>
      <c r="K886" s="13">
        <f>Econ!P886</f>
        <v>80229.25</v>
      </c>
      <c r="L886" s="14">
        <f>Econ!Q886</f>
        <v>13699.5</v>
      </c>
      <c r="M886" s="14">
        <f>Econ!R886</f>
        <v>2137.75</v>
      </c>
      <c r="N886" s="13">
        <f>Econ!S886</f>
        <v>2166.5</v>
      </c>
      <c r="O886" s="13">
        <f>Econ!T886</f>
        <v>30</v>
      </c>
      <c r="P886" s="7" t="str">
        <f>Econ!A886</f>
        <v>Knight</v>
      </c>
      <c r="Q886" s="10">
        <f>Econ!C886</f>
        <v>364610339.6</v>
      </c>
      <c r="R886" s="10">
        <f>Econ!E886</f>
        <v>12464.1106</v>
      </c>
      <c r="S886" s="10">
        <f>Econ!G886</f>
        <v>46878472.24</v>
      </c>
      <c r="T886" s="10">
        <f>Econ!I886</f>
        <v>0</v>
      </c>
    </row>
    <row r="887">
      <c r="A887" s="7" t="str">
        <f>Econ!A887&amp;if(Econ!B887&lt;10,"_0"&amp;Econ!B887,"_"&amp;Econ!B887)</f>
        <v>Knight_286</v>
      </c>
      <c r="B887" s="7" t="str">
        <f>"T"&amp;Econ!B887&amp;" "&amp;Econ!A887</f>
        <v>T286 Knight</v>
      </c>
      <c r="C887" s="8">
        <f>Econ!B887</f>
        <v>286</v>
      </c>
      <c r="D887" s="7"/>
      <c r="E887" s="9"/>
      <c r="F887" s="9"/>
      <c r="G887" s="10">
        <f>Econ!L887</f>
        <v>322154</v>
      </c>
      <c r="H887" s="11">
        <f>Econ!M887</f>
        <v>54898</v>
      </c>
      <c r="I887" s="11">
        <f>Econ!N887</f>
        <v>8601</v>
      </c>
      <c r="J887" s="12">
        <f>Econ!O887</f>
        <v>8716</v>
      </c>
      <c r="K887" s="13">
        <f>Econ!P887</f>
        <v>80538.5</v>
      </c>
      <c r="L887" s="14">
        <f>Econ!Q887</f>
        <v>13724.5</v>
      </c>
      <c r="M887" s="14">
        <f>Econ!R887</f>
        <v>2150.25</v>
      </c>
      <c r="N887" s="13">
        <f>Econ!S887</f>
        <v>2179</v>
      </c>
      <c r="O887" s="13">
        <f>Econ!T887</f>
        <v>30</v>
      </c>
      <c r="P887" s="7" t="str">
        <f>Econ!A887</f>
        <v>Knight</v>
      </c>
      <c r="Q887" s="10">
        <f>Econ!C887</f>
        <v>382840856.6</v>
      </c>
      <c r="R887" s="10">
        <f>Econ!E887</f>
        <v>12713.39282</v>
      </c>
      <c r="S887" s="10">
        <f>Econ!G887</f>
        <v>49222395.85</v>
      </c>
      <c r="T887" s="10">
        <f>Econ!I887</f>
        <v>0</v>
      </c>
    </row>
    <row r="888">
      <c r="A888" s="7" t="str">
        <f>Econ!A888&amp;if(Econ!B888&lt;10,"_0"&amp;Econ!B888,"_"&amp;Econ!B888)</f>
        <v>Knight_287</v>
      </c>
      <c r="B888" s="7" t="str">
        <f>"T"&amp;Econ!B888&amp;" "&amp;Econ!A888</f>
        <v>T287 Knight</v>
      </c>
      <c r="C888" s="8">
        <f>Econ!B888</f>
        <v>287</v>
      </c>
      <c r="D888" s="7"/>
      <c r="E888" s="9"/>
      <c r="F888" s="9"/>
      <c r="G888" s="10">
        <f>Econ!L888</f>
        <v>323394</v>
      </c>
      <c r="H888" s="11">
        <f>Econ!M888</f>
        <v>54998</v>
      </c>
      <c r="I888" s="11">
        <f>Econ!N888</f>
        <v>8652</v>
      </c>
      <c r="J888" s="12">
        <f>Econ!O888</f>
        <v>8767</v>
      </c>
      <c r="K888" s="13">
        <f>Econ!P888</f>
        <v>80848.5</v>
      </c>
      <c r="L888" s="14">
        <f>Econ!Q888</f>
        <v>13749.5</v>
      </c>
      <c r="M888" s="14">
        <f>Econ!R888</f>
        <v>2163</v>
      </c>
      <c r="N888" s="13">
        <f>Econ!S888</f>
        <v>2191.75</v>
      </c>
      <c r="O888" s="13">
        <f>Econ!T888</f>
        <v>30</v>
      </c>
      <c r="P888" s="7" t="str">
        <f>Econ!A888</f>
        <v>Knight</v>
      </c>
      <c r="Q888" s="10">
        <f>Econ!C888</f>
        <v>401982899.4</v>
      </c>
      <c r="R888" s="10">
        <f>Econ!E888</f>
        <v>12967.66067</v>
      </c>
      <c r="S888" s="10">
        <f>Econ!G888</f>
        <v>51683515.64</v>
      </c>
      <c r="T888" s="10">
        <f>Econ!I888</f>
        <v>0</v>
      </c>
    </row>
    <row r="889">
      <c r="A889" s="7" t="str">
        <f>Econ!A889&amp;if(Econ!B889&lt;10,"_0"&amp;Econ!B889,"_"&amp;Econ!B889)</f>
        <v>Knight_288</v>
      </c>
      <c r="B889" s="7" t="str">
        <f>"T"&amp;Econ!B889&amp;" "&amp;Econ!A889</f>
        <v>T288 Knight</v>
      </c>
      <c r="C889" s="8">
        <f>Econ!B889</f>
        <v>288</v>
      </c>
      <c r="D889" s="7"/>
      <c r="E889" s="9"/>
      <c r="F889" s="9"/>
      <c r="G889" s="10">
        <f>Econ!L889</f>
        <v>324637</v>
      </c>
      <c r="H889" s="11">
        <f>Econ!M889</f>
        <v>55098</v>
      </c>
      <c r="I889" s="11">
        <f>Econ!N889</f>
        <v>8703</v>
      </c>
      <c r="J889" s="12">
        <f>Econ!O889</f>
        <v>8818</v>
      </c>
      <c r="K889" s="13">
        <f>Econ!P889</f>
        <v>81159.25</v>
      </c>
      <c r="L889" s="14">
        <f>Econ!Q889</f>
        <v>13774.5</v>
      </c>
      <c r="M889" s="14">
        <f>Econ!R889</f>
        <v>2175.75</v>
      </c>
      <c r="N889" s="13">
        <f>Econ!S889</f>
        <v>2204.5</v>
      </c>
      <c r="O889" s="13">
        <f>Econ!T889</f>
        <v>30</v>
      </c>
      <c r="P889" s="7" t="str">
        <f>Econ!A889</f>
        <v>Knight</v>
      </c>
      <c r="Q889" s="10">
        <f>Econ!C889</f>
        <v>422082044.4</v>
      </c>
      <c r="R889" s="10">
        <f>Econ!E889</f>
        <v>13227.01389</v>
      </c>
      <c r="S889" s="10">
        <f>Econ!G889</f>
        <v>54267691.42</v>
      </c>
      <c r="T889" s="10">
        <f>Econ!I889</f>
        <v>0</v>
      </c>
    </row>
    <row r="890">
      <c r="A890" s="7" t="str">
        <f>Econ!A890&amp;if(Econ!B890&lt;10,"_0"&amp;Econ!B890,"_"&amp;Econ!B890)</f>
        <v>Knight_289</v>
      </c>
      <c r="B890" s="7" t="str">
        <f>"T"&amp;Econ!B890&amp;" "&amp;Econ!A890</f>
        <v>T289 Knight</v>
      </c>
      <c r="C890" s="8">
        <f>Econ!B890</f>
        <v>289</v>
      </c>
      <c r="D890" s="7"/>
      <c r="E890" s="9"/>
      <c r="F890" s="9"/>
      <c r="G890" s="10">
        <f>Econ!L890</f>
        <v>325883</v>
      </c>
      <c r="H890" s="11">
        <f>Econ!M890</f>
        <v>55199</v>
      </c>
      <c r="I890" s="11">
        <f>Econ!N890</f>
        <v>8754</v>
      </c>
      <c r="J890" s="12">
        <f>Econ!O890</f>
        <v>8869</v>
      </c>
      <c r="K890" s="13">
        <f>Econ!P890</f>
        <v>81470.75</v>
      </c>
      <c r="L890" s="14">
        <f>Econ!Q890</f>
        <v>13799.75</v>
      </c>
      <c r="M890" s="14">
        <f>Econ!R890</f>
        <v>2188.5</v>
      </c>
      <c r="N890" s="13">
        <f>Econ!S890</f>
        <v>2217.25</v>
      </c>
      <c r="O890" s="13">
        <f>Econ!T890</f>
        <v>30</v>
      </c>
      <c r="P890" s="7" t="str">
        <f>Econ!A890</f>
        <v>Knight</v>
      </c>
      <c r="Q890" s="10">
        <f>Econ!C890</f>
        <v>443186146.6</v>
      </c>
      <c r="R890" s="10">
        <f>Econ!E890</f>
        <v>13491.55416</v>
      </c>
      <c r="S890" s="10">
        <f>Econ!G890</f>
        <v>56981075.99</v>
      </c>
      <c r="T890" s="10">
        <f>Econ!I890</f>
        <v>0</v>
      </c>
    </row>
    <row r="891">
      <c r="A891" s="7" t="str">
        <f>Econ!A891&amp;if(Econ!B891&lt;10,"_0"&amp;Econ!B891,"_"&amp;Econ!B891)</f>
        <v>Knight_290</v>
      </c>
      <c r="B891" s="7" t="str">
        <f>"T"&amp;Econ!B891&amp;" "&amp;Econ!A891</f>
        <v>T290 Knight</v>
      </c>
      <c r="C891" s="8">
        <f>Econ!B891</f>
        <v>290</v>
      </c>
      <c r="D891" s="7"/>
      <c r="E891" s="9"/>
      <c r="F891" s="9"/>
      <c r="G891" s="10">
        <f>Econ!L891</f>
        <v>327132</v>
      </c>
      <c r="H891" s="11">
        <f>Econ!M891</f>
        <v>55300</v>
      </c>
      <c r="I891" s="11">
        <f>Econ!N891</f>
        <v>8805</v>
      </c>
      <c r="J891" s="12">
        <f>Econ!O891</f>
        <v>8920</v>
      </c>
      <c r="K891" s="13">
        <f>Econ!P891</f>
        <v>81783</v>
      </c>
      <c r="L891" s="14">
        <f>Econ!Q891</f>
        <v>13825</v>
      </c>
      <c r="M891" s="14">
        <f>Econ!R891</f>
        <v>2201.25</v>
      </c>
      <c r="N891" s="13">
        <f>Econ!S891</f>
        <v>2230</v>
      </c>
      <c r="O891" s="13">
        <f>Econ!T891</f>
        <v>30</v>
      </c>
      <c r="P891" s="7" t="str">
        <f>Econ!A891</f>
        <v>Knight</v>
      </c>
      <c r="Q891" s="10">
        <f>Econ!C891</f>
        <v>465345453.9</v>
      </c>
      <c r="R891" s="10">
        <f>Econ!E891</f>
        <v>13761.38525</v>
      </c>
      <c r="S891" s="10">
        <f>Econ!G891</f>
        <v>59830129.79</v>
      </c>
      <c r="T891" s="10">
        <f>Econ!I891</f>
        <v>0</v>
      </c>
    </row>
    <row r="892">
      <c r="A892" s="7" t="str">
        <f>Econ!A892&amp;if(Econ!B892&lt;10,"_0"&amp;Econ!B892,"_"&amp;Econ!B892)</f>
        <v>Knight_291</v>
      </c>
      <c r="B892" s="7" t="str">
        <f>"T"&amp;Econ!B892&amp;" "&amp;Econ!A892</f>
        <v>T291 Knight</v>
      </c>
      <c r="C892" s="8">
        <f>Econ!B892</f>
        <v>291</v>
      </c>
      <c r="D892" s="7"/>
      <c r="E892" s="9"/>
      <c r="F892" s="9"/>
      <c r="G892" s="10">
        <f>Econ!L892</f>
        <v>328384</v>
      </c>
      <c r="H892" s="11">
        <f>Econ!M892</f>
        <v>55401</v>
      </c>
      <c r="I892" s="11">
        <f>Econ!N892</f>
        <v>8856</v>
      </c>
      <c r="J892" s="12">
        <f>Econ!O892</f>
        <v>8971</v>
      </c>
      <c r="K892" s="13">
        <f>Econ!P892</f>
        <v>82096</v>
      </c>
      <c r="L892" s="14">
        <f>Econ!Q892</f>
        <v>13850.25</v>
      </c>
      <c r="M892" s="14">
        <f>Econ!R892</f>
        <v>2214</v>
      </c>
      <c r="N892" s="13">
        <f>Econ!S892</f>
        <v>2242.75</v>
      </c>
      <c r="O892" s="13">
        <f>Econ!T892</f>
        <v>30</v>
      </c>
      <c r="P892" s="7" t="str">
        <f>Econ!A892</f>
        <v>Knight</v>
      </c>
      <c r="Q892" s="10">
        <f>Econ!C892</f>
        <v>488612726.6</v>
      </c>
      <c r="R892" s="10">
        <f>Econ!E892</f>
        <v>14036.61295</v>
      </c>
      <c r="S892" s="10">
        <f>Econ!G892</f>
        <v>62821636.28</v>
      </c>
      <c r="T892" s="10">
        <f>Econ!I892</f>
        <v>0</v>
      </c>
    </row>
    <row r="893">
      <c r="A893" s="7" t="str">
        <f>Econ!A893&amp;if(Econ!B893&lt;10,"_0"&amp;Econ!B893,"_"&amp;Econ!B893)</f>
        <v>Knight_292</v>
      </c>
      <c r="B893" s="7" t="str">
        <f>"T"&amp;Econ!B893&amp;" "&amp;Econ!A893</f>
        <v>T292 Knight</v>
      </c>
      <c r="C893" s="8">
        <f>Econ!B893</f>
        <v>292</v>
      </c>
      <c r="D893" s="7"/>
      <c r="E893" s="9"/>
      <c r="F893" s="9"/>
      <c r="G893" s="10">
        <f>Econ!L893</f>
        <v>329639</v>
      </c>
      <c r="H893" s="11">
        <f>Econ!M893</f>
        <v>55502</v>
      </c>
      <c r="I893" s="11">
        <f>Econ!N893</f>
        <v>8907</v>
      </c>
      <c r="J893" s="12">
        <f>Econ!O893</f>
        <v>9022</v>
      </c>
      <c r="K893" s="13">
        <f>Econ!P893</f>
        <v>82409.75</v>
      </c>
      <c r="L893" s="14">
        <f>Econ!Q893</f>
        <v>13875.5</v>
      </c>
      <c r="M893" s="14">
        <f>Econ!R893</f>
        <v>2226.75</v>
      </c>
      <c r="N893" s="13">
        <f>Econ!S893</f>
        <v>2255.5</v>
      </c>
      <c r="O893" s="13">
        <f>Econ!T893</f>
        <v>30</v>
      </c>
      <c r="P893" s="7" t="str">
        <f>Econ!A893</f>
        <v>Knight</v>
      </c>
      <c r="Q893" s="10">
        <f>Econ!C893</f>
        <v>513043363</v>
      </c>
      <c r="R893" s="10">
        <f>Econ!E893</f>
        <v>14317.34521</v>
      </c>
      <c r="S893" s="10">
        <f>Econ!G893</f>
        <v>65962718.1</v>
      </c>
      <c r="T893" s="10">
        <f>Econ!I893</f>
        <v>0</v>
      </c>
    </row>
    <row r="894">
      <c r="A894" s="7" t="str">
        <f>Econ!A894&amp;if(Econ!B894&lt;10,"_0"&amp;Econ!B894,"_"&amp;Econ!B894)</f>
        <v>Knight_293</v>
      </c>
      <c r="B894" s="7" t="str">
        <f>"T"&amp;Econ!B894&amp;" "&amp;Econ!A894</f>
        <v>T293 Knight</v>
      </c>
      <c r="C894" s="8">
        <f>Econ!B894</f>
        <v>293</v>
      </c>
      <c r="D894" s="7"/>
      <c r="E894" s="9"/>
      <c r="F894" s="9"/>
      <c r="G894" s="10">
        <f>Econ!L894</f>
        <v>330897</v>
      </c>
      <c r="H894" s="11">
        <f>Econ!M894</f>
        <v>55604</v>
      </c>
      <c r="I894" s="11">
        <f>Econ!N894</f>
        <v>8958</v>
      </c>
      <c r="J894" s="12">
        <f>Econ!O894</f>
        <v>9073</v>
      </c>
      <c r="K894" s="13">
        <f>Econ!P894</f>
        <v>82724.25</v>
      </c>
      <c r="L894" s="14">
        <f>Econ!Q894</f>
        <v>13901</v>
      </c>
      <c r="M894" s="14">
        <f>Econ!R894</f>
        <v>2239.5</v>
      </c>
      <c r="N894" s="13">
        <f>Econ!S894</f>
        <v>2268.25</v>
      </c>
      <c r="O894" s="13">
        <f>Econ!T894</f>
        <v>30</v>
      </c>
      <c r="P894" s="7" t="str">
        <f>Econ!A894</f>
        <v>Knight</v>
      </c>
      <c r="Q894" s="10">
        <f>Econ!C894</f>
        <v>538695531.1</v>
      </c>
      <c r="R894" s="10">
        <f>Econ!E894</f>
        <v>14603.69211</v>
      </c>
      <c r="S894" s="10">
        <f>Econ!G894</f>
        <v>69260854</v>
      </c>
      <c r="T894" s="10">
        <f>Econ!I894</f>
        <v>0</v>
      </c>
    </row>
    <row r="895">
      <c r="A895" s="7" t="str">
        <f>Econ!A895&amp;if(Econ!B895&lt;10,"_0"&amp;Econ!B895,"_"&amp;Econ!B895)</f>
        <v>Knight_294</v>
      </c>
      <c r="B895" s="7" t="str">
        <f>"T"&amp;Econ!B895&amp;" "&amp;Econ!A895</f>
        <v>T294 Knight</v>
      </c>
      <c r="C895" s="8">
        <f>Econ!B895</f>
        <v>294</v>
      </c>
      <c r="D895" s="7"/>
      <c r="E895" s="9"/>
      <c r="F895" s="9"/>
      <c r="G895" s="10">
        <f>Econ!L895</f>
        <v>332158</v>
      </c>
      <c r="H895" s="11">
        <f>Econ!M895</f>
        <v>55706</v>
      </c>
      <c r="I895" s="11">
        <f>Econ!N895</f>
        <v>9009</v>
      </c>
      <c r="J895" s="12">
        <f>Econ!O895</f>
        <v>9124</v>
      </c>
      <c r="K895" s="13">
        <f>Econ!P895</f>
        <v>83039.5</v>
      </c>
      <c r="L895" s="14">
        <f>Econ!Q895</f>
        <v>13926.5</v>
      </c>
      <c r="M895" s="14">
        <f>Econ!R895</f>
        <v>2252.25</v>
      </c>
      <c r="N895" s="13">
        <f>Econ!S895</f>
        <v>2281</v>
      </c>
      <c r="O895" s="13">
        <f>Econ!T895</f>
        <v>30</v>
      </c>
      <c r="P895" s="7" t="str">
        <f>Econ!A895</f>
        <v>Knight</v>
      </c>
      <c r="Q895" s="10">
        <f>Econ!C895</f>
        <v>565630307.7</v>
      </c>
      <c r="R895" s="10">
        <f>Econ!E895</f>
        <v>14895.76596</v>
      </c>
      <c r="S895" s="10">
        <f>Econ!G895</f>
        <v>72723896.7</v>
      </c>
      <c r="T895" s="10">
        <f>Econ!I895</f>
        <v>0</v>
      </c>
    </row>
    <row r="896">
      <c r="A896" s="7" t="str">
        <f>Econ!A896&amp;if(Econ!B896&lt;10,"_0"&amp;Econ!B896,"_"&amp;Econ!B896)</f>
        <v>Knight_295</v>
      </c>
      <c r="B896" s="7" t="str">
        <f>"T"&amp;Econ!B896&amp;" "&amp;Econ!A896</f>
        <v>T295 Knight</v>
      </c>
      <c r="C896" s="8">
        <f>Econ!B896</f>
        <v>295</v>
      </c>
      <c r="D896" s="7"/>
      <c r="E896" s="9"/>
      <c r="F896" s="9"/>
      <c r="G896" s="10">
        <f>Econ!L896</f>
        <v>333422</v>
      </c>
      <c r="H896" s="11">
        <f>Econ!M896</f>
        <v>55808</v>
      </c>
      <c r="I896" s="11">
        <f>Econ!N896</f>
        <v>9061</v>
      </c>
      <c r="J896" s="12">
        <f>Econ!O896</f>
        <v>9176</v>
      </c>
      <c r="K896" s="13">
        <f>Econ!P896</f>
        <v>83355.5</v>
      </c>
      <c r="L896" s="14">
        <f>Econ!Q896</f>
        <v>13952</v>
      </c>
      <c r="M896" s="14">
        <f>Econ!R896</f>
        <v>2265.25</v>
      </c>
      <c r="N896" s="13">
        <f>Econ!S896</f>
        <v>2294</v>
      </c>
      <c r="O896" s="13">
        <f>Econ!T896</f>
        <v>31</v>
      </c>
      <c r="P896" s="7" t="str">
        <f>Econ!A896</f>
        <v>Knight</v>
      </c>
      <c r="Q896" s="10">
        <f>Econ!C896</f>
        <v>593911823.1</v>
      </c>
      <c r="R896" s="10">
        <f>Econ!E896</f>
        <v>15193.68128</v>
      </c>
      <c r="S896" s="10">
        <f>Econ!G896</f>
        <v>76360091.54</v>
      </c>
      <c r="T896" s="10">
        <f>Econ!I896</f>
        <v>0</v>
      </c>
    </row>
    <row r="897">
      <c r="A897" s="7" t="str">
        <f>Econ!A897&amp;if(Econ!B897&lt;10,"_0"&amp;Econ!B897,"_"&amp;Econ!B897)</f>
        <v>Knight_296</v>
      </c>
      <c r="B897" s="7" t="str">
        <f>"T"&amp;Econ!B897&amp;" "&amp;Econ!A897</f>
        <v>T296 Knight</v>
      </c>
      <c r="C897" s="8">
        <f>Econ!B897</f>
        <v>296</v>
      </c>
      <c r="D897" s="7"/>
      <c r="E897" s="9"/>
      <c r="F897" s="9"/>
      <c r="G897" s="10">
        <f>Econ!L897</f>
        <v>334689</v>
      </c>
      <c r="H897" s="11">
        <f>Econ!M897</f>
        <v>55910</v>
      </c>
      <c r="I897" s="11">
        <f>Econ!N897</f>
        <v>9113</v>
      </c>
      <c r="J897" s="12">
        <f>Econ!O897</f>
        <v>9228</v>
      </c>
      <c r="K897" s="13">
        <f>Econ!P897</f>
        <v>83672.25</v>
      </c>
      <c r="L897" s="14">
        <f>Econ!Q897</f>
        <v>13977.5</v>
      </c>
      <c r="M897" s="14">
        <f>Econ!R897</f>
        <v>2278.25</v>
      </c>
      <c r="N897" s="13">
        <f>Econ!S897</f>
        <v>2307</v>
      </c>
      <c r="O897" s="13">
        <f>Econ!T897</f>
        <v>31</v>
      </c>
      <c r="P897" s="7" t="str">
        <f>Econ!A897</f>
        <v>Knight</v>
      </c>
      <c r="Q897" s="10">
        <f>Econ!C897</f>
        <v>623607414.2</v>
      </c>
      <c r="R897" s="10">
        <f>Econ!E897</f>
        <v>15497.5549</v>
      </c>
      <c r="S897" s="10">
        <f>Econ!G897</f>
        <v>80178096.11</v>
      </c>
      <c r="T897" s="10">
        <f>Econ!I897</f>
        <v>0</v>
      </c>
    </row>
    <row r="898">
      <c r="A898" s="7" t="str">
        <f>Econ!A898&amp;if(Econ!B898&lt;10,"_0"&amp;Econ!B898,"_"&amp;Econ!B898)</f>
        <v>Knight_297</v>
      </c>
      <c r="B898" s="7" t="str">
        <f>"T"&amp;Econ!B898&amp;" "&amp;Econ!A898</f>
        <v>T297 Knight</v>
      </c>
      <c r="C898" s="8">
        <f>Econ!B898</f>
        <v>297</v>
      </c>
      <c r="D898" s="7"/>
      <c r="E898" s="9"/>
      <c r="F898" s="9"/>
      <c r="G898" s="10">
        <f>Econ!L898</f>
        <v>335959</v>
      </c>
      <c r="H898" s="11">
        <f>Econ!M898</f>
        <v>56013</v>
      </c>
      <c r="I898" s="11">
        <f>Econ!N898</f>
        <v>9165</v>
      </c>
      <c r="J898" s="12">
        <f>Econ!O898</f>
        <v>9280</v>
      </c>
      <c r="K898" s="13">
        <f>Econ!P898</f>
        <v>83989.75</v>
      </c>
      <c r="L898" s="14">
        <f>Econ!Q898</f>
        <v>14003.25</v>
      </c>
      <c r="M898" s="14">
        <f>Econ!R898</f>
        <v>2291.25</v>
      </c>
      <c r="N898" s="13">
        <f>Econ!S898</f>
        <v>2320</v>
      </c>
      <c r="O898" s="13">
        <f>Econ!T898</f>
        <v>31</v>
      </c>
      <c r="P898" s="7" t="str">
        <f>Econ!A898</f>
        <v>Knight</v>
      </c>
      <c r="Q898" s="10">
        <f>Econ!C898</f>
        <v>654787784.9</v>
      </c>
      <c r="R898" s="10">
        <f>Econ!E898</f>
        <v>15807.506</v>
      </c>
      <c r="S898" s="10">
        <f>Econ!G898</f>
        <v>84187000.92</v>
      </c>
      <c r="T898" s="10">
        <f>Econ!I898</f>
        <v>0</v>
      </c>
    </row>
    <row r="899">
      <c r="A899" s="7" t="str">
        <f>Econ!A899&amp;if(Econ!B899&lt;10,"_0"&amp;Econ!B899,"_"&amp;Econ!B899)</f>
        <v>Knight_298</v>
      </c>
      <c r="B899" s="7" t="str">
        <f>"T"&amp;Econ!B899&amp;" "&amp;Econ!A899</f>
        <v>T298 Knight</v>
      </c>
      <c r="C899" s="8">
        <f>Econ!B899</f>
        <v>298</v>
      </c>
      <c r="D899" s="7"/>
      <c r="E899" s="9"/>
      <c r="F899" s="9"/>
      <c r="G899" s="10">
        <f>Econ!L899</f>
        <v>337232</v>
      </c>
      <c r="H899" s="11">
        <f>Econ!M899</f>
        <v>56116</v>
      </c>
      <c r="I899" s="11">
        <f>Econ!N899</f>
        <v>9217</v>
      </c>
      <c r="J899" s="12">
        <f>Econ!O899</f>
        <v>9332</v>
      </c>
      <c r="K899" s="13">
        <f>Econ!P899</f>
        <v>84308</v>
      </c>
      <c r="L899" s="14">
        <f>Econ!Q899</f>
        <v>14029</v>
      </c>
      <c r="M899" s="14">
        <f>Econ!R899</f>
        <v>2304.25</v>
      </c>
      <c r="N899" s="13">
        <f>Econ!S899</f>
        <v>2333</v>
      </c>
      <c r="O899" s="13">
        <f>Econ!T899</f>
        <v>31</v>
      </c>
      <c r="P899" s="7" t="str">
        <f>Econ!A899</f>
        <v>Knight</v>
      </c>
      <c r="Q899" s="10">
        <f>Econ!C899</f>
        <v>687527174.2</v>
      </c>
      <c r="R899" s="10">
        <f>Econ!E899</f>
        <v>16123.65612</v>
      </c>
      <c r="S899" s="10">
        <f>Econ!G899</f>
        <v>88396350.97</v>
      </c>
      <c r="T899" s="10">
        <f>Econ!I899</f>
        <v>0</v>
      </c>
    </row>
    <row r="900">
      <c r="A900" s="7" t="str">
        <f>Econ!A900&amp;if(Econ!B900&lt;10,"_0"&amp;Econ!B900,"_"&amp;Econ!B900)</f>
        <v>Knight_299</v>
      </c>
      <c r="B900" s="7" t="str">
        <f>"T"&amp;Econ!B900&amp;" "&amp;Econ!A900</f>
        <v>T299 Knight</v>
      </c>
      <c r="C900" s="8">
        <f>Econ!B900</f>
        <v>299</v>
      </c>
      <c r="D900" s="7"/>
      <c r="E900" s="9"/>
      <c r="F900" s="9"/>
      <c r="G900" s="10">
        <f>Econ!L900</f>
        <v>338508</v>
      </c>
      <c r="H900" s="11">
        <f>Econ!M900</f>
        <v>56219</v>
      </c>
      <c r="I900" s="11">
        <f>Econ!N900</f>
        <v>9269</v>
      </c>
      <c r="J900" s="12">
        <f>Econ!O900</f>
        <v>9384</v>
      </c>
      <c r="K900" s="13">
        <f>Econ!P900</f>
        <v>84627</v>
      </c>
      <c r="L900" s="14">
        <f>Econ!Q900</f>
        <v>14054.75</v>
      </c>
      <c r="M900" s="14">
        <f>Econ!R900</f>
        <v>2317.25</v>
      </c>
      <c r="N900" s="13">
        <f>Econ!S900</f>
        <v>2346</v>
      </c>
      <c r="O900" s="13">
        <f>Econ!T900</f>
        <v>31</v>
      </c>
      <c r="P900" s="7" t="str">
        <f>Econ!A900</f>
        <v>Knight</v>
      </c>
      <c r="Q900" s="10">
        <f>Econ!C900</f>
        <v>721903532.9</v>
      </c>
      <c r="R900" s="10">
        <f>Econ!E900</f>
        <v>16446.12924</v>
      </c>
      <c r="S900" s="10">
        <f>Econ!G900</f>
        <v>92816168.51</v>
      </c>
      <c r="T900" s="10">
        <f>Econ!I900</f>
        <v>0</v>
      </c>
    </row>
    <row r="901">
      <c r="A901" s="7" t="str">
        <f>Econ!A901&amp;if(Econ!B901&lt;10,"_0"&amp;Econ!B901,"_"&amp;Econ!B901)</f>
        <v>Knight_300</v>
      </c>
      <c r="B901" s="7" t="str">
        <f>"T"&amp;Econ!B901&amp;" "&amp;Econ!A901</f>
        <v>T300 Knight</v>
      </c>
      <c r="C901" s="8">
        <f>Econ!B901</f>
        <v>300</v>
      </c>
      <c r="D901" s="7"/>
      <c r="E901" s="9"/>
      <c r="F901" s="9"/>
      <c r="G901" s="10" t="str">
        <f>Econ!L901</f>
        <v/>
      </c>
      <c r="H901" s="11">
        <f>Econ!M901</f>
        <v>56230</v>
      </c>
      <c r="I901" s="11">
        <f>Econ!N901</f>
        <v>9744</v>
      </c>
      <c r="J901" s="12">
        <f>Econ!O901</f>
        <v>9865</v>
      </c>
      <c r="K901" s="13">
        <f>Econ!P901</f>
        <v>0</v>
      </c>
      <c r="L901" s="14">
        <f>Econ!Q901</f>
        <v>14057.5</v>
      </c>
      <c r="M901" s="14">
        <f>Econ!R901</f>
        <v>2436</v>
      </c>
      <c r="N901" s="13">
        <f>Econ!S901</f>
        <v>2466.25</v>
      </c>
      <c r="O901" s="13">
        <f>Econ!T901</f>
        <v>31</v>
      </c>
      <c r="P901" s="7" t="str">
        <f>Econ!A901</f>
        <v>Knight</v>
      </c>
      <c r="Q901" s="10">
        <f>Econ!C901</f>
        <v>757998709.5</v>
      </c>
      <c r="R901" s="10">
        <f>Econ!E901</f>
        <v>16775.05183</v>
      </c>
      <c r="S901" s="10">
        <f>Econ!G901</f>
        <v>97456976.94</v>
      </c>
      <c r="T901" s="10">
        <f>Econ!I901</f>
        <v>0</v>
      </c>
    </row>
    <row r="902">
      <c r="A902" s="7"/>
      <c r="B902" s="7"/>
      <c r="C902" s="8"/>
      <c r="D902" s="7"/>
      <c r="E902" s="9"/>
      <c r="F902" s="9"/>
      <c r="G902" s="10"/>
      <c r="H902" s="11"/>
      <c r="I902" s="11"/>
      <c r="J902" s="12"/>
      <c r="K902" s="15"/>
      <c r="L902" s="9"/>
      <c r="M902" s="9"/>
      <c r="N902" s="15"/>
      <c r="O902" s="15"/>
      <c r="P902" s="7"/>
      <c r="Q902" s="10"/>
      <c r="R902" s="10"/>
      <c r="S902" s="10"/>
      <c r="T902" s="10"/>
    </row>
    <row r="903">
      <c r="A903" s="7"/>
      <c r="B903" s="7"/>
      <c r="C903" s="8"/>
      <c r="D903" s="7"/>
      <c r="E903" s="9"/>
      <c r="F903" s="9"/>
      <c r="G903" s="10"/>
      <c r="H903" s="11"/>
      <c r="I903" s="11"/>
      <c r="J903" s="12"/>
      <c r="K903" s="15"/>
      <c r="L903" s="9"/>
      <c r="M903" s="9"/>
      <c r="N903" s="15"/>
      <c r="O903" s="15"/>
      <c r="P903" s="7"/>
      <c r="Q903" s="10"/>
      <c r="R903" s="10"/>
      <c r="S903" s="10"/>
      <c r="T903" s="10"/>
    </row>
    <row r="904">
      <c r="A904" s="7"/>
      <c r="B904" s="7"/>
      <c r="C904" s="8"/>
      <c r="D904" s="7"/>
      <c r="E904" s="9"/>
      <c r="F904" s="9"/>
      <c r="G904" s="10"/>
      <c r="H904" s="11"/>
      <c r="I904" s="11"/>
      <c r="J904" s="12"/>
      <c r="K904" s="15"/>
      <c r="L904" s="9"/>
      <c r="M904" s="9"/>
      <c r="N904" s="15"/>
      <c r="O904" s="15"/>
      <c r="P904" s="7"/>
      <c r="Q904" s="10"/>
      <c r="R904" s="10"/>
      <c r="S904" s="10"/>
      <c r="T904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28</v>
      </c>
      <c r="B1" s="16" t="s">
        <v>29</v>
      </c>
      <c r="C1" s="16" t="s">
        <v>30</v>
      </c>
      <c r="D1" s="16" t="s">
        <v>31</v>
      </c>
      <c r="E1" s="16" t="s">
        <v>30</v>
      </c>
      <c r="F1" s="16" t="s">
        <v>32</v>
      </c>
      <c r="G1" s="16" t="s">
        <v>30</v>
      </c>
      <c r="H1" s="16" t="s">
        <v>33</v>
      </c>
      <c r="I1" s="16" t="s">
        <v>30</v>
      </c>
      <c r="J1" s="16" t="s">
        <v>34</v>
      </c>
      <c r="K1" s="16" t="s">
        <v>30</v>
      </c>
      <c r="L1" s="16" t="s">
        <v>30</v>
      </c>
      <c r="M1" s="16" t="s">
        <v>29</v>
      </c>
    </row>
    <row r="2">
      <c r="A2" s="16" t="s">
        <v>35</v>
      </c>
      <c r="B2" s="17">
        <v>350.0</v>
      </c>
      <c r="C2" s="18">
        <v>0.05</v>
      </c>
      <c r="D2" s="17">
        <v>45.0</v>
      </c>
      <c r="E2" s="18">
        <v>0.02</v>
      </c>
      <c r="F2" s="17">
        <v>45.0</v>
      </c>
      <c r="G2" s="18">
        <v>0.05</v>
      </c>
      <c r="H2" s="17">
        <v>0.0</v>
      </c>
      <c r="I2" s="18">
        <v>0.0</v>
      </c>
      <c r="J2" s="19">
        <v>0.0</v>
      </c>
      <c r="K2" s="18">
        <v>0.0</v>
      </c>
      <c r="L2" s="17" t="s">
        <v>29</v>
      </c>
      <c r="M2" s="19">
        <v>0.1</v>
      </c>
      <c r="N2" s="20"/>
      <c r="O2" s="20"/>
      <c r="P2" s="20"/>
      <c r="Q2" s="20"/>
    </row>
    <row r="3">
      <c r="A3" s="16" t="s">
        <v>6</v>
      </c>
      <c r="B3" s="17">
        <v>150.0</v>
      </c>
      <c r="C3" s="18">
        <v>0.05</v>
      </c>
      <c r="D3" s="17">
        <v>5.0</v>
      </c>
      <c r="E3" s="18">
        <v>0.02</v>
      </c>
      <c r="F3" s="17">
        <v>100.0</v>
      </c>
      <c r="G3" s="18">
        <v>0.05</v>
      </c>
      <c r="H3" s="17">
        <v>10.0</v>
      </c>
      <c r="I3" s="18">
        <v>0.02</v>
      </c>
      <c r="J3" s="19">
        <v>0.0</v>
      </c>
      <c r="K3" s="18">
        <v>0.0</v>
      </c>
      <c r="L3" s="17" t="s">
        <v>32</v>
      </c>
      <c r="M3" s="19">
        <v>0.1</v>
      </c>
      <c r="N3" s="20"/>
      <c r="O3" s="20"/>
      <c r="P3" s="20"/>
      <c r="Q3" s="20"/>
    </row>
    <row r="4">
      <c r="A4" s="16" t="s">
        <v>36</v>
      </c>
      <c r="B4" s="17">
        <v>300.0</v>
      </c>
      <c r="C4" s="18">
        <v>0.05</v>
      </c>
      <c r="D4" s="17">
        <v>10.0</v>
      </c>
      <c r="E4" s="18">
        <v>0.02</v>
      </c>
      <c r="F4" s="17">
        <v>45.0</v>
      </c>
      <c r="G4" s="18">
        <v>0.05</v>
      </c>
      <c r="H4" s="17">
        <v>45.0</v>
      </c>
      <c r="I4" s="18">
        <v>0.02</v>
      </c>
      <c r="J4" s="19">
        <v>0.0</v>
      </c>
      <c r="K4" s="18">
        <v>0.0</v>
      </c>
      <c r="L4" s="17" t="s">
        <v>31</v>
      </c>
      <c r="M4" s="19">
        <v>0.05</v>
      </c>
      <c r="N4" s="20"/>
      <c r="O4" s="20"/>
      <c r="P4" s="20"/>
      <c r="Q4" s="20"/>
    </row>
    <row r="5">
      <c r="A5" s="16" t="s">
        <v>3</v>
      </c>
      <c r="B5" s="17">
        <v>280.0</v>
      </c>
      <c r="C5" s="18">
        <v>0.05</v>
      </c>
      <c r="D5" s="17">
        <v>12.0</v>
      </c>
      <c r="E5" s="18">
        <v>0.02</v>
      </c>
      <c r="F5" s="17">
        <v>40.0</v>
      </c>
      <c r="G5" s="18">
        <v>0.05</v>
      </c>
      <c r="H5" s="17">
        <v>10.0</v>
      </c>
      <c r="I5" s="18">
        <v>0.02</v>
      </c>
      <c r="J5" s="19">
        <v>0.1</v>
      </c>
      <c r="K5" s="18">
        <v>0.0</v>
      </c>
      <c r="L5" s="17" t="s">
        <v>33</v>
      </c>
      <c r="M5" s="19">
        <v>0.04</v>
      </c>
      <c r="N5" s="20"/>
      <c r="O5" s="20"/>
      <c r="P5" s="20"/>
      <c r="Q5" s="20"/>
    </row>
    <row r="6">
      <c r="L6" s="17" t="s">
        <v>34</v>
      </c>
      <c r="M6" s="19">
        <v>0.08</v>
      </c>
      <c r="N6" s="20"/>
      <c r="O6" s="20"/>
      <c r="P6" s="20"/>
      <c r="Q6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37</v>
      </c>
      <c r="B1" s="16" t="s">
        <v>38</v>
      </c>
      <c r="C1" s="16" t="s">
        <v>29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39</v>
      </c>
      <c r="I1" s="16" t="s">
        <v>37</v>
      </c>
      <c r="J1" s="16" t="s">
        <v>40</v>
      </c>
      <c r="K1" s="16" t="s">
        <v>41</v>
      </c>
      <c r="L1" s="16" t="s">
        <v>42</v>
      </c>
      <c r="M1" s="16" t="s">
        <v>40</v>
      </c>
      <c r="N1" s="16" t="s">
        <v>41</v>
      </c>
      <c r="O1" s="21"/>
      <c r="P1" s="16" t="s">
        <v>43</v>
      </c>
    </row>
    <row r="2">
      <c r="A2" s="2" t="str">
        <f>'Combat Simulator'!D2</f>
        <v>Berserker</v>
      </c>
      <c r="B2" s="22">
        <f>IF('Combat Simulator'!E2&lt;1,1,'Combat Simulator'!E2)</f>
        <v>2</v>
      </c>
      <c r="C2" s="23">
        <f t="array" ref="C2">index(BaseHP,match(A2,basename,0))*((1+index(HPGain,match(A2,basename,0)))^(B2-1))</f>
        <v>294</v>
      </c>
      <c r="D2" s="23">
        <f t="array" ref="D2">index(BaseArmour,match(A2,basename,0))*((1+index(ArmourGain,match(A2,basename,0)))^(B2-1))</f>
        <v>12.24</v>
      </c>
      <c r="E2" s="23">
        <f t="array" ref="E2">index(BaseDMG,match(A2,basename,0))*((1+index(damageGain,match(A2,basename,0)))^(B2-1))</f>
        <v>42</v>
      </c>
      <c r="F2" s="23">
        <f t="array" ref="F2">index(Basepen,match(A2,basename,0))*((1+index(pengain,match(A2,basename,0)))^(B2-1))</f>
        <v>10.2</v>
      </c>
      <c r="G2" s="23">
        <f t="array" ref="G2">index(baseenrage,match(A2,basename,0))*((1+index(enragegain,match(A2,basename,0)))^(B2-1))</f>
        <v>0.1</v>
      </c>
      <c r="H2" s="22">
        <v>1.0</v>
      </c>
      <c r="I2" s="23" t="str">
        <f>A2</f>
        <v>Berserker</v>
      </c>
      <c r="J2" s="23">
        <f t="array" ref="J2">index(HP,match(I2,Unit,0))</f>
        <v>294</v>
      </c>
      <c r="K2" s="23">
        <f t="array" ref="K2">max((index(DMG,match(I2,Unit,0))+(index(HP,match(I2,Unit,0))-J2)*index(Enrage,match(I2,Unit,0)))-max((index(Armour,match(L2,Unit,0))-index(ArmourPen,match(I2,Unit,0))),0))</f>
        <v>42</v>
      </c>
      <c r="L2" s="23" t="str">
        <f>A4</f>
        <v>Archer</v>
      </c>
      <c r="M2" s="23">
        <f t="array" ref="M2">index(HP,match(L2,Unit,0))</f>
        <v>150</v>
      </c>
      <c r="N2" s="23">
        <f t="array" ref="N2">(index(DMG,match(L2,Unit,0))+(index(HP,match(L2,Unit,0))-M2)*index(Enrage,match(L2,Unit,0)))-max((index(Armour,match(I2,Unit,0))-index(ArmourPen,match(L2,Unit,0))),0)</f>
        <v>97.76</v>
      </c>
      <c r="O2" s="23"/>
      <c r="P2" s="23" t="str">
        <f t="array" ref="P2">IF(MATCH(TRUE, (J:J&lt;=0) + (M:M&lt;=0) &gt; 0, 0) = MATCH(TRUE, J:J&lt;=0, 0), L2, I2)</f>
        <v>Berserker</v>
      </c>
    </row>
    <row r="3">
      <c r="A3" s="16" t="s">
        <v>44</v>
      </c>
      <c r="H3" s="22">
        <v>2.0</v>
      </c>
      <c r="I3" s="23" t="str">
        <f t="shared" ref="I3:I18" si="1">I2</f>
        <v>Berserker</v>
      </c>
      <c r="J3" s="23">
        <f t="shared" ref="J3:J18" si="2">IF(J2-N2&lt;0,0,J2-N2)</f>
        <v>196.24</v>
      </c>
      <c r="K3" s="23">
        <f t="array" ref="K3">max((index(DMG,match(I3,Unit,0))+(index(HP,match(I3,Unit,0))-J3)*index(Enrage,match(I3,Unit,0)))-max((index(Armour,match(L3,Unit,0))-index(ArmourPen,match(I3,Unit,0))),0))</f>
        <v>51.776</v>
      </c>
      <c r="L3" s="23" t="str">
        <f t="shared" ref="L3:L18" si="3">L2</f>
        <v>Archer</v>
      </c>
      <c r="M3" s="23">
        <f t="shared" ref="M3:M18" si="4">IF(M2-K2&lt;0,0,M2-K2)</f>
        <v>108</v>
      </c>
      <c r="N3" s="23">
        <f t="array" ref="N3">(index(DMG,match(L3,Unit,0))+(index(HP,match(L3,Unit,0))-M3)*index(Enrage,match(L3,Unit,0)))-max((index(Armour,match(I3,Unit,0))-index(ArmourPen,match(L3,Unit,0))),0)</f>
        <v>97.76</v>
      </c>
    </row>
    <row r="4">
      <c r="A4" s="2" t="str">
        <f>'Combat Simulator'!D4</f>
        <v>Archer</v>
      </c>
      <c r="B4" s="22">
        <f>if('Combat Simulator'!E4&lt;1,1,'Combat Simulator'!E4)</f>
        <v>1</v>
      </c>
      <c r="C4" s="23">
        <f t="array" ref="C4">index(BaseHP,match(A4,basename,0))*((1+index(HPGain,match(A4,basename,0)))^(B4-1))</f>
        <v>150</v>
      </c>
      <c r="D4" s="23">
        <f t="array" ref="D4">index(BaseArmour,match(A4,basename,0))*((1+index(ArmourGain,match(A4,basename,0)))^(B4-1))</f>
        <v>5</v>
      </c>
      <c r="E4" s="23">
        <f t="array" ref="E4">index(BaseDMG,match(A4,basename,0))*((1+index(damageGain,match(A4,basename,0)))^(B4-1))</f>
        <v>100</v>
      </c>
      <c r="F4" s="23">
        <f t="array" ref="F4">index(Basepen,match(A4,basename,0))*((1+index(pengain,match(A4,basename,0)))^(B4-1))</f>
        <v>10</v>
      </c>
      <c r="G4" s="23">
        <f t="array" ref="G4">index(baseenrage,match(A4,basename,0))*((1+index(enragegain,match(A4,basename,0)))^(B4-1))</f>
        <v>0</v>
      </c>
      <c r="H4" s="22">
        <v>3.0</v>
      </c>
      <c r="I4" s="23" t="str">
        <f t="shared" si="1"/>
        <v>Berserker</v>
      </c>
      <c r="J4" s="23">
        <f t="shared" si="2"/>
        <v>98.48</v>
      </c>
      <c r="K4" s="23">
        <f t="array" ref="K4">max((index(DMG,match(I4,Unit,0))+(index(HP,match(I4,Unit,0))-J4)*index(Enrage,match(I4,Unit,0)))-max((index(Armour,match(L4,Unit,0))-index(ArmourPen,match(I4,Unit,0))),0))</f>
        <v>61.552</v>
      </c>
      <c r="L4" s="23" t="str">
        <f t="shared" si="3"/>
        <v>Archer</v>
      </c>
      <c r="M4" s="23">
        <f t="shared" si="4"/>
        <v>56.224</v>
      </c>
      <c r="N4" s="23">
        <f t="array" ref="N4">(index(DMG,match(L4,Unit,0))+(index(HP,match(L4,Unit,0))-M4)*index(Enrage,match(L4,Unit,0)))-max((index(Armour,match(I4,Unit,0))-index(ArmourPen,match(L4,Unit,0))),0)</f>
        <v>97.76</v>
      </c>
    </row>
    <row r="5">
      <c r="H5" s="22">
        <v>4.0</v>
      </c>
      <c r="I5" s="23" t="str">
        <f t="shared" si="1"/>
        <v>Berserker</v>
      </c>
      <c r="J5" s="23">
        <f t="shared" si="2"/>
        <v>0.72</v>
      </c>
      <c r="K5" s="23">
        <f t="array" ref="K5">max((index(DMG,match(I5,Unit,0))+(index(HP,match(I5,Unit,0))-J5)*index(Enrage,match(I5,Unit,0)))-max((index(Armour,match(L5,Unit,0))-index(ArmourPen,match(I5,Unit,0))),0))</f>
        <v>71.328</v>
      </c>
      <c r="L5" s="23" t="str">
        <f t="shared" si="3"/>
        <v>Archer</v>
      </c>
      <c r="M5" s="23">
        <f t="shared" si="4"/>
        <v>0</v>
      </c>
      <c r="N5" s="23">
        <f t="array" ref="N5">(index(DMG,match(L5,Unit,0))+(index(HP,match(L5,Unit,0))-M5)*index(Enrage,match(L5,Unit,0)))-max((index(Armour,match(I5,Unit,0))-index(ArmourPen,match(L5,Unit,0))),0)</f>
        <v>97.76</v>
      </c>
    </row>
    <row r="6">
      <c r="H6" s="22">
        <v>5.0</v>
      </c>
      <c r="I6" s="23" t="str">
        <f t="shared" si="1"/>
        <v>Berserker</v>
      </c>
      <c r="J6" s="23">
        <f t="shared" si="2"/>
        <v>0</v>
      </c>
      <c r="K6" s="23">
        <f t="array" ref="K6">max((index(DMG,match(I6,Unit,0))+(index(HP,match(I6,Unit,0))-J6)*index(Enrage,match(I6,Unit,0)))-max((index(Armour,match(L6,Unit,0))-index(ArmourPen,match(I6,Unit,0))),0))</f>
        <v>71.4</v>
      </c>
      <c r="L6" s="23" t="str">
        <f t="shared" si="3"/>
        <v>Archer</v>
      </c>
      <c r="M6" s="23">
        <f t="shared" si="4"/>
        <v>0</v>
      </c>
      <c r="N6" s="23">
        <f t="array" ref="N6">(index(DMG,match(L6,Unit,0))+(index(HP,match(L6,Unit,0))-M6)*index(Enrage,match(L6,Unit,0)))-max((index(Armour,match(I6,Unit,0))-index(ArmourPen,match(L6,Unit,0))),0)</f>
        <v>97.76</v>
      </c>
    </row>
    <row r="7">
      <c r="H7" s="22">
        <v>6.0</v>
      </c>
      <c r="I7" s="23" t="str">
        <f t="shared" si="1"/>
        <v>Berserker</v>
      </c>
      <c r="J7" s="23">
        <f t="shared" si="2"/>
        <v>0</v>
      </c>
      <c r="K7" s="23">
        <f t="array" ref="K7">max((index(DMG,match(I7,Unit,0))+(index(HP,match(I7,Unit,0))-J7)*index(Enrage,match(I7,Unit,0)))-max((index(Armour,match(L7,Unit,0))-index(ArmourPen,match(I7,Unit,0))),0))</f>
        <v>71.4</v>
      </c>
      <c r="L7" s="23" t="str">
        <f t="shared" si="3"/>
        <v>Archer</v>
      </c>
      <c r="M7" s="23">
        <f t="shared" si="4"/>
        <v>0</v>
      </c>
      <c r="N7" s="23">
        <f t="array" ref="N7">(index(DMG,match(L7,Unit,0))+(index(HP,match(L7,Unit,0))-M7)*index(Enrage,match(L7,Unit,0)))-max((index(Armour,match(I7,Unit,0))-index(ArmourPen,match(L7,Unit,0))),0)</f>
        <v>97.76</v>
      </c>
    </row>
    <row r="8">
      <c r="H8" s="22">
        <v>7.0</v>
      </c>
      <c r="I8" s="23" t="str">
        <f t="shared" si="1"/>
        <v>Berserker</v>
      </c>
      <c r="J8" s="23">
        <f t="shared" si="2"/>
        <v>0</v>
      </c>
      <c r="K8" s="23">
        <f t="array" ref="K8">max((index(DMG,match(I8,Unit,0))+(index(HP,match(I8,Unit,0))-J8)*index(Enrage,match(I8,Unit,0)))-max((index(Armour,match(L8,Unit,0))-index(ArmourPen,match(I8,Unit,0))),0))</f>
        <v>71.4</v>
      </c>
      <c r="L8" s="23" t="str">
        <f t="shared" si="3"/>
        <v>Archer</v>
      </c>
      <c r="M8" s="23">
        <f t="shared" si="4"/>
        <v>0</v>
      </c>
      <c r="N8" s="23">
        <f t="array" ref="N8">(index(DMG,match(L8,Unit,0))+(index(HP,match(L8,Unit,0))-M8)*index(Enrage,match(L8,Unit,0)))-max((index(Armour,match(I8,Unit,0))-index(ArmourPen,match(L8,Unit,0))),0)</f>
        <v>97.76</v>
      </c>
    </row>
    <row r="9">
      <c r="H9" s="22">
        <v>8.0</v>
      </c>
      <c r="I9" s="23" t="str">
        <f t="shared" si="1"/>
        <v>Berserker</v>
      </c>
      <c r="J9" s="23">
        <f t="shared" si="2"/>
        <v>0</v>
      </c>
      <c r="K9" s="23">
        <f t="array" ref="K9">max((index(DMG,match(I9,Unit,0))+(index(HP,match(I9,Unit,0))-J9)*index(Enrage,match(I9,Unit,0)))-max((index(Armour,match(L9,Unit,0))-index(ArmourPen,match(I9,Unit,0))),0))</f>
        <v>71.4</v>
      </c>
      <c r="L9" s="23" t="str">
        <f t="shared" si="3"/>
        <v>Archer</v>
      </c>
      <c r="M9" s="23">
        <f t="shared" si="4"/>
        <v>0</v>
      </c>
      <c r="N9" s="23">
        <f t="array" ref="N9">(index(DMG,match(L9,Unit,0))+(index(HP,match(L9,Unit,0))-M9)*index(Enrage,match(L9,Unit,0)))-max((index(Armour,match(I9,Unit,0))-index(ArmourPen,match(L9,Unit,0))),0)</f>
        <v>97.76</v>
      </c>
    </row>
    <row r="10">
      <c r="H10" s="22">
        <v>9.0</v>
      </c>
      <c r="I10" s="23" t="str">
        <f t="shared" si="1"/>
        <v>Berserker</v>
      </c>
      <c r="J10" s="23">
        <f t="shared" si="2"/>
        <v>0</v>
      </c>
      <c r="K10" s="23">
        <f t="array" ref="K10">max((index(DMG,match(I10,Unit,0))+(index(HP,match(I10,Unit,0))-J10)*index(Enrage,match(I10,Unit,0)))-max((index(Armour,match(L10,Unit,0))-index(ArmourPen,match(I10,Unit,0))),0))</f>
        <v>71.4</v>
      </c>
      <c r="L10" s="23" t="str">
        <f t="shared" si="3"/>
        <v>Archer</v>
      </c>
      <c r="M10" s="23">
        <f t="shared" si="4"/>
        <v>0</v>
      </c>
      <c r="N10" s="23">
        <f t="array" ref="N10">(index(DMG,match(L10,Unit,0))+(index(HP,match(L10,Unit,0))-M10)*index(Enrage,match(L10,Unit,0)))-max((index(Armour,match(I10,Unit,0))-index(ArmourPen,match(L10,Unit,0))),0)</f>
        <v>97.76</v>
      </c>
    </row>
    <row r="11">
      <c r="H11" s="22">
        <v>10.0</v>
      </c>
      <c r="I11" s="23" t="str">
        <f t="shared" si="1"/>
        <v>Berserker</v>
      </c>
      <c r="J11" s="23">
        <f t="shared" si="2"/>
        <v>0</v>
      </c>
      <c r="K11" s="23">
        <f t="array" ref="K11">max((index(DMG,match(I11,Unit,0))+(index(HP,match(I11,Unit,0))-J11)*index(Enrage,match(I11,Unit,0)))-max((index(Armour,match(L11,Unit,0))-index(ArmourPen,match(I11,Unit,0))),0))</f>
        <v>71.4</v>
      </c>
      <c r="L11" s="23" t="str">
        <f t="shared" si="3"/>
        <v>Archer</v>
      </c>
      <c r="M11" s="23">
        <f t="shared" si="4"/>
        <v>0</v>
      </c>
      <c r="N11" s="23">
        <f t="array" ref="N11">(index(DMG,match(L11,Unit,0))+(index(HP,match(L11,Unit,0))-M11)*index(Enrage,match(L11,Unit,0)))-max((index(Armour,match(I11,Unit,0))-index(ArmourPen,match(L11,Unit,0))),0)</f>
        <v>97.76</v>
      </c>
    </row>
    <row r="12">
      <c r="H12" s="22">
        <v>11.0</v>
      </c>
      <c r="I12" s="23" t="str">
        <f t="shared" si="1"/>
        <v>Berserker</v>
      </c>
      <c r="J12" s="23">
        <f t="shared" si="2"/>
        <v>0</v>
      </c>
      <c r="K12" s="23">
        <f t="array" ref="K12">max((index(DMG,match(I12,Unit,0))+(index(HP,match(I12,Unit,0))-J12)*index(Enrage,match(I12,Unit,0)))-max((index(Armour,match(L12,Unit,0))-index(ArmourPen,match(I12,Unit,0))),0))</f>
        <v>71.4</v>
      </c>
      <c r="L12" s="23" t="str">
        <f t="shared" si="3"/>
        <v>Archer</v>
      </c>
      <c r="M12" s="23">
        <f t="shared" si="4"/>
        <v>0</v>
      </c>
      <c r="N12" s="23">
        <f t="array" ref="N12">(index(DMG,match(L12,Unit,0))+(index(HP,match(L12,Unit,0))-M12)*index(Enrage,match(L12,Unit,0)))-max((index(Armour,match(I12,Unit,0))-index(ArmourPen,match(L12,Unit,0))),0)</f>
        <v>97.76</v>
      </c>
    </row>
    <row r="13">
      <c r="H13" s="22">
        <v>12.0</v>
      </c>
      <c r="I13" s="23" t="str">
        <f t="shared" si="1"/>
        <v>Berserker</v>
      </c>
      <c r="J13" s="23">
        <f t="shared" si="2"/>
        <v>0</v>
      </c>
      <c r="K13" s="23">
        <f t="array" ref="K13">max((index(DMG,match(I13,Unit,0))+(index(HP,match(I13,Unit,0))-J13)*index(Enrage,match(I13,Unit,0)))-max((index(Armour,match(L13,Unit,0))-index(ArmourPen,match(I13,Unit,0))),0))</f>
        <v>71.4</v>
      </c>
      <c r="L13" s="23" t="str">
        <f t="shared" si="3"/>
        <v>Archer</v>
      </c>
      <c r="M13" s="23">
        <f t="shared" si="4"/>
        <v>0</v>
      </c>
      <c r="N13" s="23">
        <f t="array" ref="N13">(index(DMG,match(L13,Unit,0))+(index(HP,match(L13,Unit,0))-M13)*index(Enrage,match(L13,Unit,0)))-max((index(Armour,match(I13,Unit,0))-index(ArmourPen,match(L13,Unit,0))),0)</f>
        <v>97.76</v>
      </c>
    </row>
    <row r="14">
      <c r="H14" s="22">
        <v>13.0</v>
      </c>
      <c r="I14" s="23" t="str">
        <f t="shared" si="1"/>
        <v>Berserker</v>
      </c>
      <c r="J14" s="23">
        <f t="shared" si="2"/>
        <v>0</v>
      </c>
      <c r="K14" s="23">
        <f t="array" ref="K14">max((index(DMG,match(I14,Unit,0))+(index(HP,match(I14,Unit,0))-J14)*index(Enrage,match(I14,Unit,0)))-max((index(Armour,match(L14,Unit,0))-index(ArmourPen,match(I14,Unit,0))),0))</f>
        <v>71.4</v>
      </c>
      <c r="L14" s="23" t="str">
        <f t="shared" si="3"/>
        <v>Archer</v>
      </c>
      <c r="M14" s="23">
        <f t="shared" si="4"/>
        <v>0</v>
      </c>
      <c r="N14" s="23">
        <f t="array" ref="N14">(index(DMG,match(L14,Unit,0))+(index(HP,match(L14,Unit,0))-M14)*index(Enrage,match(L14,Unit,0)))-max((index(Armour,match(I14,Unit,0))-index(ArmourPen,match(L14,Unit,0))),0)</f>
        <v>97.76</v>
      </c>
    </row>
    <row r="15">
      <c r="H15" s="22">
        <v>14.0</v>
      </c>
      <c r="I15" s="23" t="str">
        <f t="shared" si="1"/>
        <v>Berserker</v>
      </c>
      <c r="J15" s="23">
        <f t="shared" si="2"/>
        <v>0</v>
      </c>
      <c r="K15" s="23">
        <f t="array" ref="K15">max((index(DMG,match(I15,Unit,0))+(index(HP,match(I15,Unit,0))-J15)*index(Enrage,match(I15,Unit,0)))-max((index(Armour,match(L15,Unit,0))-index(ArmourPen,match(I15,Unit,0))),0))</f>
        <v>71.4</v>
      </c>
      <c r="L15" s="23" t="str">
        <f t="shared" si="3"/>
        <v>Archer</v>
      </c>
      <c r="M15" s="23">
        <f t="shared" si="4"/>
        <v>0</v>
      </c>
      <c r="N15" s="23">
        <f t="array" ref="N15">(index(DMG,match(L15,Unit,0))+(index(HP,match(L15,Unit,0))-M15)*index(Enrage,match(L15,Unit,0)))-max((index(Armour,match(I15,Unit,0))-index(ArmourPen,match(L15,Unit,0))),0)</f>
        <v>97.76</v>
      </c>
    </row>
    <row r="16">
      <c r="H16" s="22">
        <v>15.0</v>
      </c>
      <c r="I16" s="23" t="str">
        <f t="shared" si="1"/>
        <v>Berserker</v>
      </c>
      <c r="J16" s="23">
        <f t="shared" si="2"/>
        <v>0</v>
      </c>
      <c r="K16" s="23">
        <f t="array" ref="K16">max((index(DMG,match(I16,Unit,0))+(index(HP,match(I16,Unit,0))-J16)*index(Enrage,match(I16,Unit,0)))-max((index(Armour,match(L16,Unit,0))-index(ArmourPen,match(I16,Unit,0))),0))</f>
        <v>71.4</v>
      </c>
      <c r="L16" s="23" t="str">
        <f t="shared" si="3"/>
        <v>Archer</v>
      </c>
      <c r="M16" s="23">
        <f t="shared" si="4"/>
        <v>0</v>
      </c>
      <c r="N16" s="23">
        <f t="array" ref="N16">(index(DMG,match(L16,Unit,0))+(index(HP,match(L16,Unit,0))-M16)*index(Enrage,match(L16,Unit,0)))-max((index(Armour,match(I16,Unit,0))-index(ArmourPen,match(L16,Unit,0))),0)</f>
        <v>97.76</v>
      </c>
    </row>
    <row r="17">
      <c r="H17" s="22">
        <v>16.0</v>
      </c>
      <c r="I17" s="23" t="str">
        <f t="shared" si="1"/>
        <v>Berserker</v>
      </c>
      <c r="J17" s="23">
        <f t="shared" si="2"/>
        <v>0</v>
      </c>
      <c r="K17" s="23">
        <f t="array" ref="K17">max((index(DMG,match(I17,Unit,0))+(index(HP,match(I17,Unit,0))-J17)*index(Enrage,match(I17,Unit,0)))-max((index(Armour,match(L17,Unit,0))-index(ArmourPen,match(I17,Unit,0))),0))</f>
        <v>71.4</v>
      </c>
      <c r="L17" s="23" t="str">
        <f t="shared" si="3"/>
        <v>Archer</v>
      </c>
      <c r="M17" s="23">
        <f t="shared" si="4"/>
        <v>0</v>
      </c>
      <c r="N17" s="23">
        <f t="array" ref="N17">(index(DMG,match(L17,Unit,0))+(index(HP,match(L17,Unit,0))-M17)*index(Enrage,match(L17,Unit,0)))-max((index(Armour,match(I17,Unit,0))-index(ArmourPen,match(L17,Unit,0))),0)</f>
        <v>97.76</v>
      </c>
    </row>
    <row r="18">
      <c r="H18" s="22">
        <v>17.0</v>
      </c>
      <c r="I18" s="23" t="str">
        <f t="shared" si="1"/>
        <v>Berserker</v>
      </c>
      <c r="J18" s="23">
        <f t="shared" si="2"/>
        <v>0</v>
      </c>
      <c r="K18" s="23">
        <f t="array" ref="K18">max((index(DMG,match(I18,Unit,0))+(index(HP,match(I18,Unit,0))-J18)*index(Enrage,match(I18,Unit,0)))-max((index(Armour,match(L18,Unit,0))-index(ArmourPen,match(I18,Unit,0))),0))</f>
        <v>71.4</v>
      </c>
      <c r="L18" s="23" t="str">
        <f t="shared" si="3"/>
        <v>Archer</v>
      </c>
      <c r="M18" s="23">
        <f t="shared" si="4"/>
        <v>0</v>
      </c>
      <c r="N18" s="23">
        <f t="array" ref="N18">(index(DMG,match(L18,Unit,0))+(index(HP,match(L18,Unit,0))-M18)*index(Enrage,match(L18,Unit,0)))-max((index(Armour,match(I18,Unit,0))-index(ArmourPen,match(L18,Unit,0))),0)</f>
        <v>97.76</v>
      </c>
    </row>
  </sheetData>
  <dataValidations>
    <dataValidation type="list" allowBlank="1" showErrorMessage="1" sqref="A2 A4">
      <formula1>"Knight,Archer,Pikeman,Berserker"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5.0"/>
    <col customWidth="1" min="3" max="3" width="10.25"/>
    <col customWidth="1" min="4" max="4" width="9.75"/>
    <col customWidth="1" min="5" max="5" width="10.25"/>
    <col customWidth="1" min="6" max="6" width="9.75"/>
    <col customWidth="1" min="7" max="7" width="10.25"/>
    <col customWidth="1" min="8" max="8" width="9.75"/>
    <col customWidth="1" min="9" max="9" width="9.38"/>
    <col customWidth="1" min="10" max="11" width="9.75"/>
    <col customWidth="1" min="12" max="20" width="8.88"/>
  </cols>
  <sheetData>
    <row r="1">
      <c r="A1" s="16" t="s">
        <v>28</v>
      </c>
      <c r="B1" s="16" t="s">
        <v>38</v>
      </c>
      <c r="C1" s="16" t="s">
        <v>29</v>
      </c>
      <c r="D1" s="16" t="s">
        <v>30</v>
      </c>
      <c r="E1" s="16" t="s">
        <v>31</v>
      </c>
      <c r="F1" s="16" t="s">
        <v>30</v>
      </c>
      <c r="G1" s="16" t="s">
        <v>32</v>
      </c>
      <c r="H1" s="16" t="s">
        <v>30</v>
      </c>
      <c r="I1" s="16" t="s">
        <v>33</v>
      </c>
      <c r="J1" s="16" t="s">
        <v>30</v>
      </c>
      <c r="K1" s="16" t="s">
        <v>34</v>
      </c>
      <c r="L1" s="16" t="s">
        <v>14</v>
      </c>
      <c r="M1" s="16" t="s">
        <v>15</v>
      </c>
      <c r="N1" s="16" t="s">
        <v>16</v>
      </c>
      <c r="O1" s="16" t="s">
        <v>45</v>
      </c>
      <c r="P1" s="16" t="s">
        <v>18</v>
      </c>
      <c r="Q1" s="16" t="s">
        <v>19</v>
      </c>
      <c r="R1" s="16" t="s">
        <v>20</v>
      </c>
      <c r="S1" s="16" t="s">
        <v>21</v>
      </c>
      <c r="T1" s="16" t="s">
        <v>22</v>
      </c>
      <c r="U1" s="16" t="s">
        <v>46</v>
      </c>
      <c r="V1" s="16" t="s">
        <v>47</v>
      </c>
      <c r="W1" s="16" t="s">
        <v>48</v>
      </c>
      <c r="X1" s="16" t="s">
        <v>49</v>
      </c>
      <c r="Y1" s="16" t="s">
        <v>50</v>
      </c>
      <c r="Z1" s="16" t="s">
        <v>51</v>
      </c>
      <c r="AA1" s="16"/>
      <c r="AB1" s="16"/>
      <c r="AC1" s="16"/>
      <c r="AD1" s="16"/>
      <c r="AE1" s="16"/>
      <c r="AF1" s="16"/>
      <c r="AG1" s="16"/>
      <c r="AH1" s="16"/>
      <c r="AI1" s="16"/>
    </row>
    <row r="2">
      <c r="A2" s="16" t="s">
        <v>6</v>
      </c>
      <c r="B2" s="17">
        <v>1.0</v>
      </c>
      <c r="C2" s="24">
        <v>150.0</v>
      </c>
      <c r="D2" s="25">
        <v>0.05</v>
      </c>
      <c r="E2" s="24">
        <v>5.0</v>
      </c>
      <c r="F2" s="25">
        <v>0.02</v>
      </c>
      <c r="G2" s="24">
        <v>100.0</v>
      </c>
      <c r="H2" s="25">
        <v>0.05</v>
      </c>
      <c r="I2" s="24">
        <v>10.0</v>
      </c>
      <c r="J2" s="25">
        <v>0.02</v>
      </c>
      <c r="K2" s="25">
        <v>0.0</v>
      </c>
      <c r="L2" s="24"/>
      <c r="M2" s="24">
        <v>10.0</v>
      </c>
      <c r="N2" s="24"/>
      <c r="O2" s="24">
        <v>25.0</v>
      </c>
      <c r="P2" s="24">
        <f t="shared" ref="P2:S2" si="1">L2*$Y$2</f>
        <v>0</v>
      </c>
      <c r="Q2" s="24">
        <f t="shared" si="1"/>
        <v>2.5</v>
      </c>
      <c r="R2" s="24">
        <f t="shared" si="1"/>
        <v>0</v>
      </c>
      <c r="S2" s="24">
        <f t="shared" si="1"/>
        <v>6.25</v>
      </c>
      <c r="T2" s="24">
        <f t="shared" ref="T2:T1201" si="4">mround(B2/10,1)+1</f>
        <v>1</v>
      </c>
      <c r="U2" s="17">
        <v>0.7</v>
      </c>
      <c r="V2" s="17">
        <v>0.7</v>
      </c>
      <c r="W2" s="17">
        <v>0.7</v>
      </c>
      <c r="X2" s="17">
        <v>0.7</v>
      </c>
      <c r="Y2" s="17">
        <v>0.25</v>
      </c>
      <c r="Z2" s="25"/>
    </row>
    <row r="3">
      <c r="A3" s="16" t="s">
        <v>6</v>
      </c>
      <c r="B3" s="17">
        <v>2.0</v>
      </c>
      <c r="C3" s="24">
        <f t="shared" ref="C3:C301" si="5">C2+D2*C2</f>
        <v>157.5</v>
      </c>
      <c r="D3" s="25">
        <v>0.05</v>
      </c>
      <c r="E3" s="24">
        <f t="shared" ref="E3:E301" si="6">E2+F2*E2</f>
        <v>5.1</v>
      </c>
      <c r="F3" s="25">
        <v>0.02</v>
      </c>
      <c r="G3" s="24">
        <f t="shared" ref="G3:G301" si="7">G2+H2*G2</f>
        <v>105</v>
      </c>
      <c r="H3" s="25">
        <v>0.05</v>
      </c>
      <c r="I3" s="24">
        <f t="shared" ref="I3:I301" si="8">I2+J2*I2</f>
        <v>10.2</v>
      </c>
      <c r="J3" s="25">
        <v>0.02</v>
      </c>
      <c r="K3" s="25">
        <v>0.0</v>
      </c>
      <c r="L3" s="24" t="str">
        <f t="shared" ref="L3:O3" si="2">IF(L2="", "", 1 + MROUND(IFERROR(MINIFS(OFFSET(L2, -1, 0, -$B3, 1), OFFSET(L2, -1, 0, -$B3, 1), "&gt;0"), L2) + (LN(1 + $Z3) ^ U$2) * U$3, 1))</f>
        <v/>
      </c>
      <c r="M3" s="24">
        <f t="shared" si="2"/>
        <v>13</v>
      </c>
      <c r="N3" s="24" t="str">
        <f t="shared" si="2"/>
        <v/>
      </c>
      <c r="O3" s="24">
        <f t="shared" si="2"/>
        <v>27</v>
      </c>
      <c r="P3" s="24">
        <f t="shared" ref="P3:S3" si="3">L3*$Y$2</f>
        <v>0</v>
      </c>
      <c r="Q3" s="24">
        <f t="shared" si="3"/>
        <v>3.25</v>
      </c>
      <c r="R3" s="24">
        <f t="shared" si="3"/>
        <v>0</v>
      </c>
      <c r="S3" s="24">
        <f t="shared" si="3"/>
        <v>6.75</v>
      </c>
      <c r="T3" s="24">
        <f t="shared" si="4"/>
        <v>1</v>
      </c>
      <c r="U3" s="17">
        <v>250.0</v>
      </c>
      <c r="V3" s="17">
        <v>20.0</v>
      </c>
      <c r="W3" s="17">
        <v>10.0</v>
      </c>
      <c r="X3" s="17">
        <v>10.0</v>
      </c>
      <c r="Z3" s="25">
        <f t="shared" ref="Z3:Z1201" si="12">((1+average(D3,F3,H3,J3))^(B3-1)-1)</f>
        <v>0.035</v>
      </c>
      <c r="AA3" s="26"/>
    </row>
    <row r="4">
      <c r="A4" s="16" t="s">
        <v>6</v>
      </c>
      <c r="B4" s="17">
        <v>3.0</v>
      </c>
      <c r="C4" s="24">
        <f t="shared" si="5"/>
        <v>165.375</v>
      </c>
      <c r="D4" s="25">
        <v>0.05</v>
      </c>
      <c r="E4" s="24">
        <f t="shared" si="6"/>
        <v>5.202</v>
      </c>
      <c r="F4" s="25">
        <v>0.02</v>
      </c>
      <c r="G4" s="24">
        <f t="shared" si="7"/>
        <v>110.25</v>
      </c>
      <c r="H4" s="25">
        <v>0.05</v>
      </c>
      <c r="I4" s="24">
        <f t="shared" si="8"/>
        <v>10.404</v>
      </c>
      <c r="J4" s="25">
        <v>0.02</v>
      </c>
      <c r="K4" s="25">
        <v>0.0</v>
      </c>
      <c r="L4" s="24" t="str">
        <f t="shared" ref="L4:O4" si="9">IF(L3="", "", 1 + MROUND(IFERROR(MINIFS(OFFSET(L3, -1, 0, -$B4, 1), OFFSET(L3, -1, 0, -$B4, 1), "&gt;0"), L3) + (LN(1 + $Z4) ^ U$2) * U$3, 1))</f>
        <v/>
      </c>
      <c r="M4" s="24">
        <f t="shared" si="9"/>
        <v>17</v>
      </c>
      <c r="N4" s="24" t="str">
        <f t="shared" si="9"/>
        <v/>
      </c>
      <c r="O4" s="24">
        <f t="shared" si="9"/>
        <v>30</v>
      </c>
      <c r="P4" s="24">
        <f t="shared" ref="P4:S4" si="10">L4*$Y$2</f>
        <v>0</v>
      </c>
      <c r="Q4" s="24">
        <f t="shared" si="10"/>
        <v>4.25</v>
      </c>
      <c r="R4" s="24">
        <f t="shared" si="10"/>
        <v>0</v>
      </c>
      <c r="S4" s="24">
        <f t="shared" si="10"/>
        <v>7.5</v>
      </c>
      <c r="T4" s="24">
        <f t="shared" si="4"/>
        <v>1</v>
      </c>
      <c r="U4" s="27">
        <f t="shared" ref="U4:X4" si="11">max(L:L)</f>
        <v>338508</v>
      </c>
      <c r="V4" s="28">
        <f t="shared" si="11"/>
        <v>58333</v>
      </c>
      <c r="W4" s="28">
        <f t="shared" si="11"/>
        <v>9744</v>
      </c>
      <c r="X4" s="28">
        <f t="shared" si="11"/>
        <v>9865</v>
      </c>
      <c r="Z4" s="25">
        <f t="shared" si="12"/>
        <v>0.071225</v>
      </c>
      <c r="AA4" s="26"/>
    </row>
    <row r="5">
      <c r="A5" s="16" t="s">
        <v>6</v>
      </c>
      <c r="B5" s="17">
        <v>4.0</v>
      </c>
      <c r="C5" s="24">
        <f t="shared" si="5"/>
        <v>173.64375</v>
      </c>
      <c r="D5" s="25">
        <v>0.05</v>
      </c>
      <c r="E5" s="24">
        <f t="shared" si="6"/>
        <v>5.30604</v>
      </c>
      <c r="F5" s="25">
        <v>0.02</v>
      </c>
      <c r="G5" s="24">
        <f t="shared" si="7"/>
        <v>115.7625</v>
      </c>
      <c r="H5" s="25">
        <v>0.05</v>
      </c>
      <c r="I5" s="24">
        <f t="shared" si="8"/>
        <v>10.61208</v>
      </c>
      <c r="J5" s="25">
        <v>0.02</v>
      </c>
      <c r="K5" s="25">
        <v>0.0</v>
      </c>
      <c r="L5" s="24" t="str">
        <f t="shared" ref="L5:O5" si="13">IF(L4="", "", 1 + MROUND(IFERROR(MINIFS(OFFSET(L4, -1, 0, -$B5, 1), OFFSET(L4, -1, 0, -$B5, 1), "&gt;0"), L4) + (LN(1 + $Z5) ^ U$2) * U$3, 1))</f>
        <v/>
      </c>
      <c r="M5" s="24">
        <f t="shared" si="13"/>
        <v>22</v>
      </c>
      <c r="N5" s="24" t="str">
        <f t="shared" si="13"/>
        <v/>
      </c>
      <c r="O5" s="24">
        <f t="shared" si="13"/>
        <v>33</v>
      </c>
      <c r="P5" s="24">
        <f t="shared" ref="P5:S5" si="14">L5*$Y$2</f>
        <v>0</v>
      </c>
      <c r="Q5" s="24">
        <f t="shared" si="14"/>
        <v>5.5</v>
      </c>
      <c r="R5" s="24">
        <f t="shared" si="14"/>
        <v>0</v>
      </c>
      <c r="S5" s="24">
        <f t="shared" si="14"/>
        <v>8.25</v>
      </c>
      <c r="T5" s="24">
        <f t="shared" si="4"/>
        <v>1</v>
      </c>
      <c r="X5" s="28">
        <f>X4/3600</f>
        <v>2.740277778</v>
      </c>
      <c r="Z5" s="25">
        <f t="shared" si="12"/>
        <v>0.108717875</v>
      </c>
      <c r="AA5" s="26"/>
    </row>
    <row r="6">
      <c r="A6" s="16" t="s">
        <v>6</v>
      </c>
      <c r="B6" s="17">
        <v>5.0</v>
      </c>
      <c r="C6" s="24">
        <f t="shared" si="5"/>
        <v>182.3259375</v>
      </c>
      <c r="D6" s="25">
        <v>0.05</v>
      </c>
      <c r="E6" s="24">
        <f t="shared" si="6"/>
        <v>5.4121608</v>
      </c>
      <c r="F6" s="25">
        <v>0.02</v>
      </c>
      <c r="G6" s="24">
        <f t="shared" si="7"/>
        <v>121.550625</v>
      </c>
      <c r="H6" s="25">
        <v>0.05</v>
      </c>
      <c r="I6" s="24">
        <f t="shared" si="8"/>
        <v>10.8243216</v>
      </c>
      <c r="J6" s="25">
        <v>0.02</v>
      </c>
      <c r="K6" s="25">
        <v>0.0</v>
      </c>
      <c r="L6" s="24" t="str">
        <f t="shared" ref="L6:O6" si="15">IF(L5="", "", 1 + MROUND(IFERROR(MINIFS(OFFSET(L5, -1, 0, -$B6, 1), OFFSET(L5, -1, 0, -$B6, 1), "&gt;0"), L5) + (LN(1 + $Z6) ^ U$2) * U$3, 1))</f>
        <v/>
      </c>
      <c r="M6" s="24">
        <f t="shared" si="15"/>
        <v>28</v>
      </c>
      <c r="N6" s="24" t="str">
        <f t="shared" si="15"/>
        <v/>
      </c>
      <c r="O6" s="24">
        <f t="shared" si="15"/>
        <v>36</v>
      </c>
      <c r="P6" s="24">
        <f t="shared" ref="P6:S6" si="16">L6*$Y$2</f>
        <v>0</v>
      </c>
      <c r="Q6" s="24">
        <f t="shared" si="16"/>
        <v>7</v>
      </c>
      <c r="R6" s="24">
        <f t="shared" si="16"/>
        <v>0</v>
      </c>
      <c r="S6" s="24">
        <f t="shared" si="16"/>
        <v>9</v>
      </c>
      <c r="T6" s="24">
        <f t="shared" si="4"/>
        <v>2</v>
      </c>
      <c r="Z6" s="25">
        <f t="shared" si="12"/>
        <v>0.1475230006</v>
      </c>
      <c r="AA6" s="26"/>
    </row>
    <row r="7">
      <c r="A7" s="16" t="s">
        <v>6</v>
      </c>
      <c r="B7" s="17">
        <v>6.0</v>
      </c>
      <c r="C7" s="24">
        <f t="shared" si="5"/>
        <v>191.4422344</v>
      </c>
      <c r="D7" s="25">
        <v>0.05</v>
      </c>
      <c r="E7" s="24">
        <f t="shared" si="6"/>
        <v>5.520404016</v>
      </c>
      <c r="F7" s="25">
        <v>0.02</v>
      </c>
      <c r="G7" s="24">
        <f t="shared" si="7"/>
        <v>127.6281563</v>
      </c>
      <c r="H7" s="25">
        <v>0.05</v>
      </c>
      <c r="I7" s="24">
        <f t="shared" si="8"/>
        <v>11.04080803</v>
      </c>
      <c r="J7" s="25">
        <v>0.02</v>
      </c>
      <c r="K7" s="25">
        <v>0.0</v>
      </c>
      <c r="L7" s="24" t="str">
        <f t="shared" ref="L7:O7" si="17">IF(L6="", "", 1 + MROUND(IFERROR(MINIFS(OFFSET(L6, -1, 0, -$B7, 1), OFFSET(L6, -1, 0, -$B7, 1), "&gt;0"), L6) + (LN(1 + $Z7) ^ U$2) * U$3, 1))</f>
        <v/>
      </c>
      <c r="M7" s="24">
        <f t="shared" si="17"/>
        <v>35</v>
      </c>
      <c r="N7" s="24" t="str">
        <f t="shared" si="17"/>
        <v/>
      </c>
      <c r="O7" s="24">
        <f t="shared" si="17"/>
        <v>40</v>
      </c>
      <c r="P7" s="24">
        <f t="shared" ref="P7:S7" si="18">L7*$Y$2</f>
        <v>0</v>
      </c>
      <c r="Q7" s="24">
        <f t="shared" si="18"/>
        <v>8.75</v>
      </c>
      <c r="R7" s="24">
        <f t="shared" si="18"/>
        <v>0</v>
      </c>
      <c r="S7" s="24">
        <f t="shared" si="18"/>
        <v>10</v>
      </c>
      <c r="T7" s="24">
        <f t="shared" si="4"/>
        <v>2</v>
      </c>
      <c r="Z7" s="25">
        <f t="shared" si="12"/>
        <v>0.1876863056</v>
      </c>
      <c r="AA7" s="26"/>
    </row>
    <row r="8">
      <c r="A8" s="16" t="s">
        <v>6</v>
      </c>
      <c r="B8" s="17">
        <v>7.0</v>
      </c>
      <c r="C8" s="24">
        <f t="shared" si="5"/>
        <v>201.0143461</v>
      </c>
      <c r="D8" s="25">
        <v>0.05</v>
      </c>
      <c r="E8" s="24">
        <f t="shared" si="6"/>
        <v>5.630812096</v>
      </c>
      <c r="F8" s="25">
        <v>0.02</v>
      </c>
      <c r="G8" s="24">
        <f t="shared" si="7"/>
        <v>134.0095641</v>
      </c>
      <c r="H8" s="25">
        <v>0.05</v>
      </c>
      <c r="I8" s="24">
        <f t="shared" si="8"/>
        <v>11.26162419</v>
      </c>
      <c r="J8" s="25">
        <v>0.02</v>
      </c>
      <c r="K8" s="25">
        <v>0.0</v>
      </c>
      <c r="L8" s="24" t="str">
        <f t="shared" ref="L8:O8" si="19">IF(L7="", "", 1 + MROUND(IFERROR(MINIFS(OFFSET(L7, -1, 0, -$B8, 1), OFFSET(L7, -1, 0, -$B8, 1), "&gt;0"), L7) + (LN(1 + $Z8) ^ U$2) * U$3, 1))</f>
        <v/>
      </c>
      <c r="M8" s="24">
        <f t="shared" si="19"/>
        <v>43</v>
      </c>
      <c r="N8" s="24" t="str">
        <f t="shared" si="19"/>
        <v/>
      </c>
      <c r="O8" s="24">
        <f t="shared" si="19"/>
        <v>44</v>
      </c>
      <c r="P8" s="24">
        <f t="shared" ref="P8:S8" si="20">L8*$Y$2</f>
        <v>0</v>
      </c>
      <c r="Q8" s="24">
        <f t="shared" si="20"/>
        <v>10.75</v>
      </c>
      <c r="R8" s="24">
        <f t="shared" si="20"/>
        <v>0</v>
      </c>
      <c r="S8" s="24">
        <f t="shared" si="20"/>
        <v>11</v>
      </c>
      <c r="T8" s="24">
        <f t="shared" si="4"/>
        <v>2</v>
      </c>
      <c r="Z8" s="25">
        <f t="shared" si="12"/>
        <v>0.2292553263</v>
      </c>
      <c r="AA8" s="26"/>
    </row>
    <row r="9">
      <c r="A9" s="16" t="s">
        <v>6</v>
      </c>
      <c r="B9" s="17">
        <v>8.0</v>
      </c>
      <c r="C9" s="24">
        <f t="shared" si="5"/>
        <v>211.0650634</v>
      </c>
      <c r="D9" s="25">
        <v>0.05</v>
      </c>
      <c r="E9" s="24">
        <f t="shared" si="6"/>
        <v>5.743428338</v>
      </c>
      <c r="F9" s="25">
        <v>0.02</v>
      </c>
      <c r="G9" s="24">
        <f t="shared" si="7"/>
        <v>140.7100423</v>
      </c>
      <c r="H9" s="25">
        <v>0.05</v>
      </c>
      <c r="I9" s="24">
        <f t="shared" si="8"/>
        <v>11.48685668</v>
      </c>
      <c r="J9" s="25">
        <v>0.02</v>
      </c>
      <c r="K9" s="25">
        <v>0.0</v>
      </c>
      <c r="L9" s="24" t="str">
        <f t="shared" ref="L9:O9" si="21">IF(L8="", "", 1 + MROUND(IFERROR(MINIFS(OFFSET(L8, -1, 0, -$B9, 1), OFFSET(L8, -1, 0, -$B9, 1), "&gt;0"), L8) + (LN(1 + $Z9) ^ U$2) * U$3, 1))</f>
        <v/>
      </c>
      <c r="M9" s="24">
        <f t="shared" si="21"/>
        <v>51</v>
      </c>
      <c r="N9" s="24" t="str">
        <f t="shared" si="21"/>
        <v/>
      </c>
      <c r="O9" s="24">
        <f t="shared" si="21"/>
        <v>49</v>
      </c>
      <c r="P9" s="24">
        <f t="shared" ref="P9:S9" si="22">L9*$Y$2</f>
        <v>0</v>
      </c>
      <c r="Q9" s="24">
        <f t="shared" si="22"/>
        <v>12.75</v>
      </c>
      <c r="R9" s="24">
        <f t="shared" si="22"/>
        <v>0</v>
      </c>
      <c r="S9" s="24">
        <f t="shared" si="22"/>
        <v>12.25</v>
      </c>
      <c r="T9" s="24">
        <f t="shared" si="4"/>
        <v>2</v>
      </c>
      <c r="Z9" s="25">
        <f t="shared" si="12"/>
        <v>0.2722792628</v>
      </c>
      <c r="AA9" s="26"/>
    </row>
    <row r="10">
      <c r="A10" s="16" t="s">
        <v>6</v>
      </c>
      <c r="B10" s="17">
        <v>9.0</v>
      </c>
      <c r="C10" s="24">
        <f t="shared" si="5"/>
        <v>221.6183166</v>
      </c>
      <c r="D10" s="25">
        <v>0.05</v>
      </c>
      <c r="E10" s="24">
        <f t="shared" si="6"/>
        <v>5.858296905</v>
      </c>
      <c r="F10" s="25">
        <v>0.02</v>
      </c>
      <c r="G10" s="24">
        <f t="shared" si="7"/>
        <v>147.7455444</v>
      </c>
      <c r="H10" s="25">
        <v>0.05</v>
      </c>
      <c r="I10" s="24">
        <f t="shared" si="8"/>
        <v>11.71659381</v>
      </c>
      <c r="J10" s="25">
        <v>0.02</v>
      </c>
      <c r="K10" s="25">
        <v>0.0</v>
      </c>
      <c r="L10" s="24" t="str">
        <f t="shared" ref="L10:O10" si="23">IF(L9="", "", 1 + MROUND(IFERROR(MINIFS(OFFSET(L9, -1, 0, -$B10, 1), OFFSET(L9, -1, 0, -$B10, 1), "&gt;0"), L9) + (LN(1 + $Z10) ^ U$2) * U$3, 1))</f>
        <v/>
      </c>
      <c r="M10" s="24">
        <f t="shared" si="23"/>
        <v>60</v>
      </c>
      <c r="N10" s="24" t="str">
        <f t="shared" si="23"/>
        <v/>
      </c>
      <c r="O10" s="24">
        <f t="shared" si="23"/>
        <v>54</v>
      </c>
      <c r="P10" s="24">
        <f t="shared" ref="P10:S10" si="24">L10*$Y$2</f>
        <v>0</v>
      </c>
      <c r="Q10" s="24">
        <f t="shared" si="24"/>
        <v>15</v>
      </c>
      <c r="R10" s="24">
        <f t="shared" si="24"/>
        <v>0</v>
      </c>
      <c r="S10" s="24">
        <f t="shared" si="24"/>
        <v>13.5</v>
      </c>
      <c r="T10" s="24">
        <f t="shared" si="4"/>
        <v>2</v>
      </c>
      <c r="Z10" s="25">
        <f t="shared" si="12"/>
        <v>0.316809037</v>
      </c>
      <c r="AA10" s="26"/>
    </row>
    <row r="11">
      <c r="A11" s="16" t="s">
        <v>6</v>
      </c>
      <c r="B11" s="17">
        <v>10.0</v>
      </c>
      <c r="C11" s="24">
        <f t="shared" si="5"/>
        <v>232.6992324</v>
      </c>
      <c r="D11" s="25">
        <v>0.05</v>
      </c>
      <c r="E11" s="24">
        <f t="shared" si="6"/>
        <v>5.975462843</v>
      </c>
      <c r="F11" s="25">
        <v>0.02</v>
      </c>
      <c r="G11" s="24">
        <f t="shared" si="7"/>
        <v>155.1328216</v>
      </c>
      <c r="H11" s="25">
        <v>0.05</v>
      </c>
      <c r="I11" s="24">
        <f t="shared" si="8"/>
        <v>11.95092569</v>
      </c>
      <c r="J11" s="25">
        <v>0.02</v>
      </c>
      <c r="K11" s="25">
        <v>0.0</v>
      </c>
      <c r="L11" s="24" t="str">
        <f t="shared" ref="L11:O11" si="25">IF(L10="", "", 1 + MROUND(IFERROR(MINIFS(OFFSET(L10, -1, 0, -$B11, 1), OFFSET(L10, -1, 0, -$B11, 1), "&gt;0"), L10) + (LN(1 + $Z11) ^ U$2) * U$3, 1))</f>
        <v/>
      </c>
      <c r="M11" s="24">
        <f t="shared" si="25"/>
        <v>70</v>
      </c>
      <c r="N11" s="24" t="str">
        <f t="shared" si="25"/>
        <v/>
      </c>
      <c r="O11" s="24">
        <f t="shared" si="25"/>
        <v>59</v>
      </c>
      <c r="P11" s="24">
        <f t="shared" ref="P11:S11" si="26">L11*$Y$2</f>
        <v>0</v>
      </c>
      <c r="Q11" s="24">
        <f t="shared" si="26"/>
        <v>17.5</v>
      </c>
      <c r="R11" s="24">
        <f t="shared" si="26"/>
        <v>0</v>
      </c>
      <c r="S11" s="24">
        <f t="shared" si="26"/>
        <v>14.75</v>
      </c>
      <c r="T11" s="24">
        <f t="shared" si="4"/>
        <v>2</v>
      </c>
      <c r="Z11" s="25">
        <f t="shared" si="12"/>
        <v>0.3628973533</v>
      </c>
      <c r="AA11" s="26"/>
    </row>
    <row r="12">
      <c r="A12" s="16" t="s">
        <v>6</v>
      </c>
      <c r="B12" s="17">
        <v>11.0</v>
      </c>
      <c r="C12" s="24">
        <f t="shared" si="5"/>
        <v>244.334194</v>
      </c>
      <c r="D12" s="25">
        <v>0.05</v>
      </c>
      <c r="E12" s="24">
        <f t="shared" si="6"/>
        <v>6.0949721</v>
      </c>
      <c r="F12" s="25">
        <v>0.02</v>
      </c>
      <c r="G12" s="24">
        <f t="shared" si="7"/>
        <v>162.8894627</v>
      </c>
      <c r="H12" s="25">
        <v>0.05</v>
      </c>
      <c r="I12" s="24">
        <f t="shared" si="8"/>
        <v>12.1899442</v>
      </c>
      <c r="J12" s="25">
        <v>0.02</v>
      </c>
      <c r="K12" s="25">
        <v>0.0</v>
      </c>
      <c r="L12" s="24" t="str">
        <f t="shared" ref="L12:O12" si="27">IF(L11="", "", 1 + MROUND(IFERROR(MINIFS(OFFSET(L11, -1, 0, -$B12, 1), OFFSET(L11, -1, 0, -$B12, 1), "&gt;0"), L11) + (LN(1 + $Z12) ^ U$2) * U$3, 1))</f>
        <v/>
      </c>
      <c r="M12" s="24">
        <f t="shared" si="27"/>
        <v>80</v>
      </c>
      <c r="N12" s="24" t="str">
        <f t="shared" si="27"/>
        <v/>
      </c>
      <c r="O12" s="24">
        <f t="shared" si="27"/>
        <v>65</v>
      </c>
      <c r="P12" s="24">
        <f t="shared" ref="P12:S12" si="28">L12*$Y$2</f>
        <v>0</v>
      </c>
      <c r="Q12" s="24">
        <f t="shared" si="28"/>
        <v>20</v>
      </c>
      <c r="R12" s="24">
        <f t="shared" si="28"/>
        <v>0</v>
      </c>
      <c r="S12" s="24">
        <f t="shared" si="28"/>
        <v>16.25</v>
      </c>
      <c r="T12" s="24">
        <f t="shared" si="4"/>
        <v>2</v>
      </c>
      <c r="Z12" s="25">
        <f t="shared" si="12"/>
        <v>0.4105987606</v>
      </c>
      <c r="AA12" s="26"/>
    </row>
    <row r="13">
      <c r="A13" s="16" t="s">
        <v>6</v>
      </c>
      <c r="B13" s="17">
        <v>12.0</v>
      </c>
      <c r="C13" s="24">
        <f t="shared" si="5"/>
        <v>256.5509037</v>
      </c>
      <c r="D13" s="25">
        <v>0.05</v>
      </c>
      <c r="E13" s="24">
        <f t="shared" si="6"/>
        <v>6.216871542</v>
      </c>
      <c r="F13" s="25">
        <v>0.02</v>
      </c>
      <c r="G13" s="24">
        <f t="shared" si="7"/>
        <v>171.0339358</v>
      </c>
      <c r="H13" s="25">
        <v>0.05</v>
      </c>
      <c r="I13" s="24">
        <f t="shared" si="8"/>
        <v>12.43374308</v>
      </c>
      <c r="J13" s="25">
        <v>0.02</v>
      </c>
      <c r="K13" s="25">
        <v>0.0</v>
      </c>
      <c r="L13" s="24" t="str">
        <f t="shared" ref="L13:O13" si="29">IF(L12="", "", 1 + MROUND(IFERROR(MINIFS(OFFSET(L12, -1, 0, -$B13, 1), OFFSET(L12, -1, 0, -$B13, 1), "&gt;0"), L12) + (LN(1 + $Z13) ^ U$2) * U$3, 1))</f>
        <v/>
      </c>
      <c r="M13" s="24">
        <f t="shared" si="29"/>
        <v>91</v>
      </c>
      <c r="N13" s="24" t="str">
        <f t="shared" si="29"/>
        <v/>
      </c>
      <c r="O13" s="24">
        <f t="shared" si="29"/>
        <v>71</v>
      </c>
      <c r="P13" s="24">
        <f t="shared" ref="P13:S13" si="30">L13*$Y$2</f>
        <v>0</v>
      </c>
      <c r="Q13" s="24">
        <f t="shared" si="30"/>
        <v>22.75</v>
      </c>
      <c r="R13" s="24">
        <f t="shared" si="30"/>
        <v>0</v>
      </c>
      <c r="S13" s="24">
        <f t="shared" si="30"/>
        <v>17.75</v>
      </c>
      <c r="T13" s="24">
        <f t="shared" si="4"/>
        <v>2</v>
      </c>
      <c r="Z13" s="25">
        <f t="shared" si="12"/>
        <v>0.4599697172</v>
      </c>
      <c r="AA13" s="26"/>
    </row>
    <row r="14">
      <c r="A14" s="16" t="s">
        <v>6</v>
      </c>
      <c r="B14" s="17">
        <v>13.0</v>
      </c>
      <c r="C14" s="24">
        <f t="shared" si="5"/>
        <v>269.3784489</v>
      </c>
      <c r="D14" s="25">
        <v>0.05</v>
      </c>
      <c r="E14" s="24">
        <f t="shared" si="6"/>
        <v>6.341208973</v>
      </c>
      <c r="F14" s="25">
        <v>0.02</v>
      </c>
      <c r="G14" s="24">
        <f t="shared" si="7"/>
        <v>179.5856326</v>
      </c>
      <c r="H14" s="25">
        <v>0.05</v>
      </c>
      <c r="I14" s="24">
        <f t="shared" si="8"/>
        <v>12.68241795</v>
      </c>
      <c r="J14" s="25">
        <v>0.02</v>
      </c>
      <c r="K14" s="25">
        <v>0.0</v>
      </c>
      <c r="L14" s="24" t="str">
        <f t="shared" ref="L14:O14" si="31">IF(L13="", "", 1 + MROUND(IFERROR(MINIFS(OFFSET(L13, -1, 0, -$B14, 1), OFFSET(L13, -1, 0, -$B14, 1), "&gt;0"), L13) + (LN(1 + $Z14) ^ U$2) * U$3, 1))</f>
        <v/>
      </c>
      <c r="M14" s="24">
        <f t="shared" si="31"/>
        <v>103</v>
      </c>
      <c r="N14" s="24" t="str">
        <f t="shared" si="31"/>
        <v/>
      </c>
      <c r="O14" s="24">
        <f t="shared" si="31"/>
        <v>77</v>
      </c>
      <c r="P14" s="24">
        <f t="shared" ref="P14:S14" si="32">L14*$Y$2</f>
        <v>0</v>
      </c>
      <c r="Q14" s="24">
        <f t="shared" si="32"/>
        <v>25.75</v>
      </c>
      <c r="R14" s="24">
        <f t="shared" si="32"/>
        <v>0</v>
      </c>
      <c r="S14" s="24">
        <f t="shared" si="32"/>
        <v>19.25</v>
      </c>
      <c r="T14" s="24">
        <f t="shared" si="4"/>
        <v>2</v>
      </c>
      <c r="Z14" s="25">
        <f t="shared" si="12"/>
        <v>0.5110686573</v>
      </c>
      <c r="AA14" s="26"/>
    </row>
    <row r="15">
      <c r="A15" s="16" t="s">
        <v>6</v>
      </c>
      <c r="B15" s="17">
        <v>14.0</v>
      </c>
      <c r="C15" s="24">
        <f t="shared" si="5"/>
        <v>282.8473713</v>
      </c>
      <c r="D15" s="25">
        <v>0.05</v>
      </c>
      <c r="E15" s="24">
        <f t="shared" si="6"/>
        <v>6.468033152</v>
      </c>
      <c r="F15" s="25">
        <v>0.02</v>
      </c>
      <c r="G15" s="24">
        <f t="shared" si="7"/>
        <v>188.5649142</v>
      </c>
      <c r="H15" s="25">
        <v>0.05</v>
      </c>
      <c r="I15" s="24">
        <f t="shared" si="8"/>
        <v>12.9360663</v>
      </c>
      <c r="J15" s="25">
        <v>0.02</v>
      </c>
      <c r="K15" s="25">
        <v>0.0</v>
      </c>
      <c r="L15" s="24" t="str">
        <f t="shared" ref="L15:O15" si="33">IF(L14="", "", 1 + MROUND(IFERROR(MINIFS(OFFSET(L14, -1, 0, -$B15, 1), OFFSET(L14, -1, 0, -$B15, 1), "&gt;0"), L14) + (LN(1 + $Z15) ^ U$2) * U$3, 1))</f>
        <v/>
      </c>
      <c r="M15" s="24">
        <f t="shared" si="33"/>
        <v>115</v>
      </c>
      <c r="N15" s="24" t="str">
        <f t="shared" si="33"/>
        <v/>
      </c>
      <c r="O15" s="24">
        <f t="shared" si="33"/>
        <v>84</v>
      </c>
      <c r="P15" s="24">
        <f t="shared" ref="P15:S15" si="34">L15*$Y$2</f>
        <v>0</v>
      </c>
      <c r="Q15" s="24">
        <f t="shared" si="34"/>
        <v>28.75</v>
      </c>
      <c r="R15" s="24">
        <f t="shared" si="34"/>
        <v>0</v>
      </c>
      <c r="S15" s="24">
        <f t="shared" si="34"/>
        <v>21</v>
      </c>
      <c r="T15" s="24">
        <f t="shared" si="4"/>
        <v>2</v>
      </c>
      <c r="Z15" s="25">
        <f t="shared" si="12"/>
        <v>0.5639560604</v>
      </c>
      <c r="AA15" s="26"/>
    </row>
    <row r="16">
      <c r="A16" s="16" t="s">
        <v>6</v>
      </c>
      <c r="B16" s="17">
        <v>15.0</v>
      </c>
      <c r="C16" s="24">
        <f t="shared" si="5"/>
        <v>296.9897399</v>
      </c>
      <c r="D16" s="25">
        <v>0.05</v>
      </c>
      <c r="E16" s="24">
        <f t="shared" si="6"/>
        <v>6.597393815</v>
      </c>
      <c r="F16" s="25">
        <v>0.02</v>
      </c>
      <c r="G16" s="24">
        <f t="shared" si="7"/>
        <v>197.9931599</v>
      </c>
      <c r="H16" s="25">
        <v>0.05</v>
      </c>
      <c r="I16" s="24">
        <f t="shared" si="8"/>
        <v>13.19478763</v>
      </c>
      <c r="J16" s="25">
        <v>0.02</v>
      </c>
      <c r="K16" s="25">
        <v>0.0</v>
      </c>
      <c r="L16" s="24" t="str">
        <f t="shared" ref="L16:O16" si="35">IF(L15="", "", 1 + MROUND(IFERROR(MINIFS(OFFSET(L15, -1, 0, -$B16, 1), OFFSET(L15, -1, 0, -$B16, 1), "&gt;0"), L15) + (LN(1 + $Z16) ^ U$2) * U$3, 1))</f>
        <v/>
      </c>
      <c r="M16" s="24">
        <f t="shared" si="35"/>
        <v>128</v>
      </c>
      <c r="N16" s="24" t="str">
        <f t="shared" si="35"/>
        <v/>
      </c>
      <c r="O16" s="24">
        <f t="shared" si="35"/>
        <v>91</v>
      </c>
      <c r="P16" s="24">
        <f t="shared" ref="P16:S16" si="36">L16*$Y$2</f>
        <v>0</v>
      </c>
      <c r="Q16" s="24">
        <f t="shared" si="36"/>
        <v>32</v>
      </c>
      <c r="R16" s="24">
        <f t="shared" si="36"/>
        <v>0</v>
      </c>
      <c r="S16" s="24">
        <f t="shared" si="36"/>
        <v>22.75</v>
      </c>
      <c r="T16" s="24">
        <f t="shared" si="4"/>
        <v>3</v>
      </c>
      <c r="Z16" s="25">
        <f t="shared" si="12"/>
        <v>0.6186945225</v>
      </c>
      <c r="AA16" s="26"/>
    </row>
    <row r="17">
      <c r="A17" s="16" t="s">
        <v>6</v>
      </c>
      <c r="B17" s="17">
        <v>16.0</v>
      </c>
      <c r="C17" s="24">
        <f t="shared" si="5"/>
        <v>311.8392269</v>
      </c>
      <c r="D17" s="25">
        <v>0.05</v>
      </c>
      <c r="E17" s="24">
        <f t="shared" si="6"/>
        <v>6.729341692</v>
      </c>
      <c r="F17" s="25">
        <v>0.02</v>
      </c>
      <c r="G17" s="24">
        <f t="shared" si="7"/>
        <v>207.8928179</v>
      </c>
      <c r="H17" s="25">
        <v>0.05</v>
      </c>
      <c r="I17" s="24">
        <f t="shared" si="8"/>
        <v>13.45868338</v>
      </c>
      <c r="J17" s="25">
        <v>0.02</v>
      </c>
      <c r="K17" s="25">
        <v>0.0</v>
      </c>
      <c r="L17" s="24" t="str">
        <f t="shared" ref="L17:O17" si="37">IF(L16="", "", 1 + MROUND(IFERROR(MINIFS(OFFSET(L16, -1, 0, -$B17, 1), OFFSET(L16, -1, 0, -$B17, 1), "&gt;0"), L16) + (LN(1 + $Z17) ^ U$2) * U$3, 1))</f>
        <v/>
      </c>
      <c r="M17" s="24">
        <f t="shared" si="37"/>
        <v>142</v>
      </c>
      <c r="N17" s="24" t="str">
        <f t="shared" si="37"/>
        <v/>
      </c>
      <c r="O17" s="24">
        <f t="shared" si="37"/>
        <v>98</v>
      </c>
      <c r="P17" s="24">
        <f t="shared" ref="P17:S17" si="38">L17*$Y$2</f>
        <v>0</v>
      </c>
      <c r="Q17" s="24">
        <f t="shared" si="38"/>
        <v>35.5</v>
      </c>
      <c r="R17" s="24">
        <f t="shared" si="38"/>
        <v>0</v>
      </c>
      <c r="S17" s="24">
        <f t="shared" si="38"/>
        <v>24.5</v>
      </c>
      <c r="T17" s="24">
        <f t="shared" si="4"/>
        <v>3</v>
      </c>
      <c r="Z17" s="25">
        <f t="shared" si="12"/>
        <v>0.6753488308</v>
      </c>
      <c r="AA17" s="26"/>
    </row>
    <row r="18">
      <c r="A18" s="16" t="s">
        <v>6</v>
      </c>
      <c r="B18" s="17">
        <v>17.0</v>
      </c>
      <c r="C18" s="24">
        <f t="shared" si="5"/>
        <v>327.4311883</v>
      </c>
      <c r="D18" s="25">
        <v>0.05</v>
      </c>
      <c r="E18" s="24">
        <f t="shared" si="6"/>
        <v>6.863928525</v>
      </c>
      <c r="F18" s="25">
        <v>0.02</v>
      </c>
      <c r="G18" s="24">
        <f t="shared" si="7"/>
        <v>218.2874588</v>
      </c>
      <c r="H18" s="25">
        <v>0.05</v>
      </c>
      <c r="I18" s="24">
        <f t="shared" si="8"/>
        <v>13.72785705</v>
      </c>
      <c r="J18" s="25">
        <v>0.02</v>
      </c>
      <c r="K18" s="25">
        <v>0.0</v>
      </c>
      <c r="L18" s="24" t="str">
        <f t="shared" ref="L18:O18" si="39">IF(L17="", "", 1 + MROUND(IFERROR(MINIFS(OFFSET(L17, -1, 0, -$B18, 1), OFFSET(L17, -1, 0, -$B18, 1), "&gt;0"), L17) + (LN(1 + $Z18) ^ U$2) * U$3, 1))</f>
        <v/>
      </c>
      <c r="M18" s="24">
        <f t="shared" si="39"/>
        <v>156</v>
      </c>
      <c r="N18" s="24" t="str">
        <f t="shared" si="39"/>
        <v/>
      </c>
      <c r="O18" s="24">
        <f t="shared" si="39"/>
        <v>106</v>
      </c>
      <c r="P18" s="24">
        <f t="shared" ref="P18:S18" si="40">L18*$Y$2</f>
        <v>0</v>
      </c>
      <c r="Q18" s="24">
        <f t="shared" si="40"/>
        <v>39</v>
      </c>
      <c r="R18" s="24">
        <f t="shared" si="40"/>
        <v>0</v>
      </c>
      <c r="S18" s="24">
        <f t="shared" si="40"/>
        <v>26.5</v>
      </c>
      <c r="T18" s="24">
        <f t="shared" si="4"/>
        <v>3</v>
      </c>
      <c r="Z18" s="25">
        <f t="shared" si="12"/>
        <v>0.7339860398</v>
      </c>
      <c r="AA18" s="26"/>
    </row>
    <row r="19">
      <c r="A19" s="16" t="s">
        <v>6</v>
      </c>
      <c r="B19" s="17">
        <v>18.0</v>
      </c>
      <c r="C19" s="24">
        <f t="shared" si="5"/>
        <v>343.8027477</v>
      </c>
      <c r="D19" s="25">
        <v>0.05</v>
      </c>
      <c r="E19" s="24">
        <f t="shared" si="6"/>
        <v>7.001207096</v>
      </c>
      <c r="F19" s="25">
        <v>0.02</v>
      </c>
      <c r="G19" s="24">
        <f t="shared" si="7"/>
        <v>229.2018318</v>
      </c>
      <c r="H19" s="25">
        <v>0.05</v>
      </c>
      <c r="I19" s="24">
        <f t="shared" si="8"/>
        <v>14.00241419</v>
      </c>
      <c r="J19" s="25">
        <v>0.02</v>
      </c>
      <c r="K19" s="25">
        <v>0.0</v>
      </c>
      <c r="L19" s="24" t="str">
        <f t="shared" ref="L19:O19" si="41">IF(L18="", "", 1 + MROUND(IFERROR(MINIFS(OFFSET(L18, -1, 0, -$B19, 1), OFFSET(L18, -1, 0, -$B19, 1), "&gt;0"), L18) + (LN(1 + $Z19) ^ U$2) * U$3, 1))</f>
        <v/>
      </c>
      <c r="M19" s="24">
        <f t="shared" si="41"/>
        <v>171</v>
      </c>
      <c r="N19" s="24" t="str">
        <f t="shared" si="41"/>
        <v/>
      </c>
      <c r="O19" s="24">
        <f t="shared" si="41"/>
        <v>114</v>
      </c>
      <c r="P19" s="24">
        <f t="shared" ref="P19:S19" si="42">L19*$Y$2</f>
        <v>0</v>
      </c>
      <c r="Q19" s="24">
        <f t="shared" si="42"/>
        <v>42.75</v>
      </c>
      <c r="R19" s="24">
        <f t="shared" si="42"/>
        <v>0</v>
      </c>
      <c r="S19" s="24">
        <f t="shared" si="42"/>
        <v>28.5</v>
      </c>
      <c r="T19" s="24">
        <f t="shared" si="4"/>
        <v>3</v>
      </c>
      <c r="Z19" s="25">
        <f t="shared" si="12"/>
        <v>0.7946755512</v>
      </c>
      <c r="AA19" s="26"/>
    </row>
    <row r="20">
      <c r="A20" s="16" t="s">
        <v>6</v>
      </c>
      <c r="B20" s="17">
        <v>19.0</v>
      </c>
      <c r="C20" s="24">
        <f t="shared" si="5"/>
        <v>360.9928851</v>
      </c>
      <c r="D20" s="25">
        <v>0.05</v>
      </c>
      <c r="E20" s="24">
        <f t="shared" si="6"/>
        <v>7.141231238</v>
      </c>
      <c r="F20" s="25">
        <v>0.02</v>
      </c>
      <c r="G20" s="24">
        <f t="shared" si="7"/>
        <v>240.6619234</v>
      </c>
      <c r="H20" s="25">
        <v>0.05</v>
      </c>
      <c r="I20" s="24">
        <f t="shared" si="8"/>
        <v>14.28246248</v>
      </c>
      <c r="J20" s="25">
        <v>0.02</v>
      </c>
      <c r="K20" s="25">
        <v>0.0</v>
      </c>
      <c r="L20" s="24" t="str">
        <f t="shared" ref="L20:O20" si="43">IF(L19="", "", 1 + MROUND(IFERROR(MINIFS(OFFSET(L19, -1, 0, -$B20, 1), OFFSET(L19, -1, 0, -$B20, 1), "&gt;0"), L19) + (LN(1 + $Z20) ^ U$2) * U$3, 1))</f>
        <v/>
      </c>
      <c r="M20" s="24">
        <f t="shared" si="43"/>
        <v>186</v>
      </c>
      <c r="N20" s="24" t="str">
        <f t="shared" si="43"/>
        <v/>
      </c>
      <c r="O20" s="24">
        <f t="shared" si="43"/>
        <v>122</v>
      </c>
      <c r="P20" s="24">
        <f t="shared" ref="P20:S20" si="44">L20*$Y$2</f>
        <v>0</v>
      </c>
      <c r="Q20" s="24">
        <f t="shared" si="44"/>
        <v>46.5</v>
      </c>
      <c r="R20" s="24">
        <f t="shared" si="44"/>
        <v>0</v>
      </c>
      <c r="S20" s="24">
        <f t="shared" si="44"/>
        <v>30.5</v>
      </c>
      <c r="T20" s="24">
        <f t="shared" si="4"/>
        <v>3</v>
      </c>
      <c r="Z20" s="25">
        <f t="shared" si="12"/>
        <v>0.8574891955</v>
      </c>
      <c r="AA20" s="26"/>
    </row>
    <row r="21">
      <c r="A21" s="16" t="s">
        <v>6</v>
      </c>
      <c r="B21" s="17">
        <v>20.0</v>
      </c>
      <c r="C21" s="24">
        <f t="shared" si="5"/>
        <v>379.0425293</v>
      </c>
      <c r="D21" s="25">
        <v>0.05</v>
      </c>
      <c r="E21" s="24">
        <f t="shared" si="6"/>
        <v>7.284055863</v>
      </c>
      <c r="F21" s="25">
        <v>0.02</v>
      </c>
      <c r="G21" s="24">
        <f t="shared" si="7"/>
        <v>252.6950195</v>
      </c>
      <c r="H21" s="25">
        <v>0.05</v>
      </c>
      <c r="I21" s="24">
        <f t="shared" si="8"/>
        <v>14.56811173</v>
      </c>
      <c r="J21" s="25">
        <v>0.02</v>
      </c>
      <c r="K21" s="25">
        <v>0.0</v>
      </c>
      <c r="L21" s="24" t="str">
        <f t="shared" ref="L21:O21" si="45">IF(L20="", "", 1 + MROUND(IFERROR(MINIFS(OFFSET(L20, -1, 0, -$B21, 1), OFFSET(L20, -1, 0, -$B21, 1), "&gt;0"), L20) + (LN(1 + $Z21) ^ U$2) * U$3, 1))</f>
        <v/>
      </c>
      <c r="M21" s="24">
        <f t="shared" si="45"/>
        <v>202</v>
      </c>
      <c r="N21" s="24" t="str">
        <f t="shared" si="45"/>
        <v/>
      </c>
      <c r="O21" s="24">
        <f t="shared" si="45"/>
        <v>130</v>
      </c>
      <c r="P21" s="24">
        <f t="shared" ref="P21:S21" si="46">L21*$Y$2</f>
        <v>0</v>
      </c>
      <c r="Q21" s="24">
        <f t="shared" si="46"/>
        <v>50.5</v>
      </c>
      <c r="R21" s="24">
        <f t="shared" si="46"/>
        <v>0</v>
      </c>
      <c r="S21" s="24">
        <f t="shared" si="46"/>
        <v>32.5</v>
      </c>
      <c r="T21" s="24">
        <f t="shared" si="4"/>
        <v>3</v>
      </c>
      <c r="Z21" s="25">
        <f t="shared" si="12"/>
        <v>0.9225013174</v>
      </c>
      <c r="AA21" s="26"/>
    </row>
    <row r="22">
      <c r="A22" s="16" t="s">
        <v>6</v>
      </c>
      <c r="B22" s="17">
        <v>21.0</v>
      </c>
      <c r="C22" s="24">
        <f t="shared" si="5"/>
        <v>397.9946558</v>
      </c>
      <c r="D22" s="25">
        <v>0.05</v>
      </c>
      <c r="E22" s="24">
        <f t="shared" si="6"/>
        <v>7.42973698</v>
      </c>
      <c r="F22" s="25">
        <v>0.02</v>
      </c>
      <c r="G22" s="24">
        <f t="shared" si="7"/>
        <v>265.3297705</v>
      </c>
      <c r="H22" s="25">
        <v>0.05</v>
      </c>
      <c r="I22" s="24">
        <f t="shared" si="8"/>
        <v>14.85947396</v>
      </c>
      <c r="J22" s="25">
        <v>0.02</v>
      </c>
      <c r="K22" s="25">
        <v>0.0</v>
      </c>
      <c r="L22" s="24" t="str">
        <f t="shared" ref="L22:O22" si="47">IF(L21="", "", 1 + MROUND(IFERROR(MINIFS(OFFSET(L21, -1, 0, -$B22, 1), OFFSET(L21, -1, 0, -$B22, 1), "&gt;0"), L21) + (LN(1 + $Z22) ^ U$2) * U$3, 1))</f>
        <v/>
      </c>
      <c r="M22" s="24">
        <f t="shared" si="47"/>
        <v>218</v>
      </c>
      <c r="N22" s="24" t="str">
        <f t="shared" si="47"/>
        <v/>
      </c>
      <c r="O22" s="24">
        <f t="shared" si="47"/>
        <v>139</v>
      </c>
      <c r="P22" s="24">
        <f t="shared" ref="P22:S22" si="48">L22*$Y$2</f>
        <v>0</v>
      </c>
      <c r="Q22" s="24">
        <f t="shared" si="48"/>
        <v>54.5</v>
      </c>
      <c r="R22" s="24">
        <f t="shared" si="48"/>
        <v>0</v>
      </c>
      <c r="S22" s="24">
        <f t="shared" si="48"/>
        <v>34.75</v>
      </c>
      <c r="T22" s="24">
        <f t="shared" si="4"/>
        <v>3</v>
      </c>
      <c r="Z22" s="25">
        <f t="shared" si="12"/>
        <v>0.9897888635</v>
      </c>
      <c r="AA22" s="26"/>
    </row>
    <row r="23">
      <c r="A23" s="16" t="s">
        <v>6</v>
      </c>
      <c r="B23" s="17">
        <v>22.0</v>
      </c>
      <c r="C23" s="24">
        <f t="shared" si="5"/>
        <v>417.8943886</v>
      </c>
      <c r="D23" s="25">
        <v>0.05</v>
      </c>
      <c r="E23" s="24">
        <f t="shared" si="6"/>
        <v>7.578331719</v>
      </c>
      <c r="F23" s="25">
        <v>0.02</v>
      </c>
      <c r="G23" s="24">
        <f t="shared" si="7"/>
        <v>278.596259</v>
      </c>
      <c r="H23" s="25">
        <v>0.05</v>
      </c>
      <c r="I23" s="24">
        <f t="shared" si="8"/>
        <v>15.15666344</v>
      </c>
      <c r="J23" s="25">
        <v>0.02</v>
      </c>
      <c r="K23" s="25">
        <v>0.0</v>
      </c>
      <c r="L23" s="24" t="str">
        <f t="shared" ref="L23:O23" si="49">IF(L22="", "", 1 + MROUND(IFERROR(MINIFS(OFFSET(L22, -1, 0, -$B23, 1), OFFSET(L22, -1, 0, -$B23, 1), "&gt;0"), L22) + (LN(1 + $Z23) ^ U$2) * U$3, 1))</f>
        <v/>
      </c>
      <c r="M23" s="24">
        <f t="shared" si="49"/>
        <v>235</v>
      </c>
      <c r="N23" s="24" t="str">
        <f t="shared" si="49"/>
        <v/>
      </c>
      <c r="O23" s="24">
        <f t="shared" si="49"/>
        <v>148</v>
      </c>
      <c r="P23" s="24">
        <f t="shared" ref="P23:S23" si="50">L23*$Y$2</f>
        <v>0</v>
      </c>
      <c r="Q23" s="24">
        <f t="shared" si="50"/>
        <v>58.75</v>
      </c>
      <c r="R23" s="24">
        <f t="shared" si="50"/>
        <v>0</v>
      </c>
      <c r="S23" s="24">
        <f t="shared" si="50"/>
        <v>37</v>
      </c>
      <c r="T23" s="24">
        <f t="shared" si="4"/>
        <v>3</v>
      </c>
      <c r="Z23" s="25">
        <f t="shared" si="12"/>
        <v>1.059431474</v>
      </c>
      <c r="AA23" s="26"/>
    </row>
    <row r="24">
      <c r="A24" s="16" t="s">
        <v>6</v>
      </c>
      <c r="B24" s="17">
        <v>23.0</v>
      </c>
      <c r="C24" s="24">
        <f t="shared" si="5"/>
        <v>438.789108</v>
      </c>
      <c r="D24" s="25">
        <v>0.05</v>
      </c>
      <c r="E24" s="24">
        <f t="shared" si="6"/>
        <v>7.729898354</v>
      </c>
      <c r="F24" s="25">
        <v>0.02</v>
      </c>
      <c r="G24" s="24">
        <f t="shared" si="7"/>
        <v>292.526072</v>
      </c>
      <c r="H24" s="25">
        <v>0.05</v>
      </c>
      <c r="I24" s="24">
        <f t="shared" si="8"/>
        <v>15.45979671</v>
      </c>
      <c r="J24" s="25">
        <v>0.02</v>
      </c>
      <c r="K24" s="25">
        <v>0.0</v>
      </c>
      <c r="L24" s="24" t="str">
        <f t="shared" ref="L24:O24" si="51">IF(L23="", "", 1 + MROUND(IFERROR(MINIFS(OFFSET(L23, -1, 0, -$B24, 1), OFFSET(L23, -1, 0, -$B24, 1), "&gt;0"), L23) + (LN(1 + $Z24) ^ U$2) * U$3, 1))</f>
        <v/>
      </c>
      <c r="M24" s="24">
        <f t="shared" si="51"/>
        <v>252</v>
      </c>
      <c r="N24" s="24" t="str">
        <f t="shared" si="51"/>
        <v/>
      </c>
      <c r="O24" s="24">
        <f t="shared" si="51"/>
        <v>157</v>
      </c>
      <c r="P24" s="24">
        <f t="shared" ref="P24:S24" si="52">L24*$Y$2</f>
        <v>0</v>
      </c>
      <c r="Q24" s="24">
        <f t="shared" si="52"/>
        <v>63</v>
      </c>
      <c r="R24" s="24">
        <f t="shared" si="52"/>
        <v>0</v>
      </c>
      <c r="S24" s="24">
        <f t="shared" si="52"/>
        <v>39.25</v>
      </c>
      <c r="T24" s="24">
        <f t="shared" si="4"/>
        <v>3</v>
      </c>
      <c r="Z24" s="25">
        <f t="shared" si="12"/>
        <v>1.131511575</v>
      </c>
      <c r="AA24" s="26"/>
    </row>
    <row r="25">
      <c r="A25" s="16" t="s">
        <v>6</v>
      </c>
      <c r="B25" s="17">
        <v>24.0</v>
      </c>
      <c r="C25" s="24">
        <f t="shared" si="5"/>
        <v>460.7285634</v>
      </c>
      <c r="D25" s="25">
        <v>0.05</v>
      </c>
      <c r="E25" s="24">
        <f t="shared" si="6"/>
        <v>7.884496321</v>
      </c>
      <c r="F25" s="25">
        <v>0.02</v>
      </c>
      <c r="G25" s="24">
        <f t="shared" si="7"/>
        <v>307.1523756</v>
      </c>
      <c r="H25" s="25">
        <v>0.05</v>
      </c>
      <c r="I25" s="24">
        <f t="shared" si="8"/>
        <v>15.76899264</v>
      </c>
      <c r="J25" s="25">
        <v>0.02</v>
      </c>
      <c r="K25" s="25">
        <v>0.0</v>
      </c>
      <c r="L25" s="24" t="str">
        <f t="shared" ref="L25:O25" si="53">IF(L24="", "", 1 + MROUND(IFERROR(MINIFS(OFFSET(L24, -1, 0, -$B25, 1), OFFSET(L24, -1, 0, -$B25, 1), "&gt;0"), L24) + (LN(1 + $Z25) ^ U$2) * U$3, 1))</f>
        <v/>
      </c>
      <c r="M25" s="24">
        <f t="shared" si="53"/>
        <v>270</v>
      </c>
      <c r="N25" s="24" t="str">
        <f t="shared" si="53"/>
        <v/>
      </c>
      <c r="O25" s="24">
        <f t="shared" si="53"/>
        <v>166</v>
      </c>
      <c r="P25" s="24">
        <f t="shared" ref="P25:S25" si="54">L25*$Y$2</f>
        <v>0</v>
      </c>
      <c r="Q25" s="24">
        <f t="shared" si="54"/>
        <v>67.5</v>
      </c>
      <c r="R25" s="24">
        <f t="shared" si="54"/>
        <v>0</v>
      </c>
      <c r="S25" s="24">
        <f t="shared" si="54"/>
        <v>41.5</v>
      </c>
      <c r="T25" s="24">
        <f t="shared" si="4"/>
        <v>3</v>
      </c>
      <c r="Z25" s="25">
        <f t="shared" si="12"/>
        <v>1.20611448</v>
      </c>
      <c r="AA25" s="26"/>
    </row>
    <row r="26">
      <c r="A26" s="16" t="s">
        <v>6</v>
      </c>
      <c r="B26" s="17">
        <v>25.0</v>
      </c>
      <c r="C26" s="24">
        <f t="shared" si="5"/>
        <v>483.7649916</v>
      </c>
      <c r="D26" s="25">
        <v>0.05</v>
      </c>
      <c r="E26" s="24">
        <f t="shared" si="6"/>
        <v>8.042186247</v>
      </c>
      <c r="F26" s="25">
        <v>0.02</v>
      </c>
      <c r="G26" s="24">
        <f t="shared" si="7"/>
        <v>322.5099944</v>
      </c>
      <c r="H26" s="25">
        <v>0.05</v>
      </c>
      <c r="I26" s="24">
        <f t="shared" si="8"/>
        <v>16.08437249</v>
      </c>
      <c r="J26" s="25">
        <v>0.02</v>
      </c>
      <c r="K26" s="25">
        <v>0.0</v>
      </c>
      <c r="L26" s="24" t="str">
        <f t="shared" ref="L26:O26" si="55">IF(L25="", "", 1 + MROUND(IFERROR(MINIFS(OFFSET(L25, -1, 0, -$B26, 1), OFFSET(L25, -1, 0, -$B26, 1), "&gt;0"), L25) + (LN(1 + $Z26) ^ U$2) * U$3, 1))</f>
        <v/>
      </c>
      <c r="M26" s="24">
        <f t="shared" si="55"/>
        <v>288</v>
      </c>
      <c r="N26" s="24" t="str">
        <f t="shared" si="55"/>
        <v/>
      </c>
      <c r="O26" s="24">
        <f t="shared" si="55"/>
        <v>176</v>
      </c>
      <c r="P26" s="24">
        <f t="shared" ref="P26:S26" si="56">L26*$Y$2</f>
        <v>0</v>
      </c>
      <c r="Q26" s="24">
        <f t="shared" si="56"/>
        <v>72</v>
      </c>
      <c r="R26" s="24">
        <f t="shared" si="56"/>
        <v>0</v>
      </c>
      <c r="S26" s="24">
        <f t="shared" si="56"/>
        <v>44</v>
      </c>
      <c r="T26" s="24">
        <f t="shared" si="4"/>
        <v>4</v>
      </c>
      <c r="Z26" s="25">
        <f t="shared" si="12"/>
        <v>1.283328487</v>
      </c>
      <c r="AA26" s="26"/>
    </row>
    <row r="27">
      <c r="A27" s="16" t="s">
        <v>6</v>
      </c>
      <c r="B27" s="17">
        <v>26.0</v>
      </c>
      <c r="C27" s="24">
        <f t="shared" si="5"/>
        <v>507.9532411</v>
      </c>
      <c r="D27" s="25">
        <v>0.05</v>
      </c>
      <c r="E27" s="24">
        <f t="shared" si="6"/>
        <v>8.203029972</v>
      </c>
      <c r="F27" s="25">
        <v>0.02</v>
      </c>
      <c r="G27" s="24">
        <f t="shared" si="7"/>
        <v>338.6354941</v>
      </c>
      <c r="H27" s="25">
        <v>0.05</v>
      </c>
      <c r="I27" s="24">
        <f t="shared" si="8"/>
        <v>16.40605994</v>
      </c>
      <c r="J27" s="25">
        <v>0.02</v>
      </c>
      <c r="K27" s="25">
        <v>0.0</v>
      </c>
      <c r="L27" s="24" t="str">
        <f t="shared" ref="L27:O27" si="57">IF(L26="", "", 1 + MROUND(IFERROR(MINIFS(OFFSET(L26, -1, 0, -$B27, 1), OFFSET(L26, -1, 0, -$B27, 1), "&gt;0"), L26) + (LN(1 + $Z27) ^ U$2) * U$3, 1))</f>
        <v/>
      </c>
      <c r="M27" s="24">
        <f t="shared" si="57"/>
        <v>307</v>
      </c>
      <c r="N27" s="24" t="str">
        <f t="shared" si="57"/>
        <v/>
      </c>
      <c r="O27" s="24">
        <f t="shared" si="57"/>
        <v>186</v>
      </c>
      <c r="P27" s="24">
        <f t="shared" ref="P27:S27" si="58">L27*$Y$2</f>
        <v>0</v>
      </c>
      <c r="Q27" s="24">
        <f t="shared" si="58"/>
        <v>76.75</v>
      </c>
      <c r="R27" s="24">
        <f t="shared" si="58"/>
        <v>0</v>
      </c>
      <c r="S27" s="24">
        <f t="shared" si="58"/>
        <v>46.5</v>
      </c>
      <c r="T27" s="24">
        <f t="shared" si="4"/>
        <v>4</v>
      </c>
      <c r="Z27" s="25">
        <f t="shared" si="12"/>
        <v>1.363244984</v>
      </c>
      <c r="AA27" s="26"/>
    </row>
    <row r="28">
      <c r="A28" s="16" t="s">
        <v>6</v>
      </c>
      <c r="B28" s="17">
        <v>27.0</v>
      </c>
      <c r="C28" s="24">
        <f t="shared" si="5"/>
        <v>533.3509032</v>
      </c>
      <c r="D28" s="25">
        <v>0.05</v>
      </c>
      <c r="E28" s="24">
        <f t="shared" si="6"/>
        <v>8.367090572</v>
      </c>
      <c r="F28" s="25">
        <v>0.02</v>
      </c>
      <c r="G28" s="24">
        <f t="shared" si="7"/>
        <v>355.5672688</v>
      </c>
      <c r="H28" s="25">
        <v>0.05</v>
      </c>
      <c r="I28" s="24">
        <f t="shared" si="8"/>
        <v>16.73418114</v>
      </c>
      <c r="J28" s="25">
        <v>0.02</v>
      </c>
      <c r="K28" s="25">
        <v>0.0</v>
      </c>
      <c r="L28" s="24" t="str">
        <f t="shared" ref="L28:O28" si="59">IF(L27="", "", 1 + MROUND(IFERROR(MINIFS(OFFSET(L27, -1, 0, -$B28, 1), OFFSET(L27, -1, 0, -$B28, 1), "&gt;0"), L27) + (LN(1 + $Z28) ^ U$2) * U$3, 1))</f>
        <v/>
      </c>
      <c r="M28" s="24">
        <f t="shared" si="59"/>
        <v>326</v>
      </c>
      <c r="N28" s="24" t="str">
        <f t="shared" si="59"/>
        <v/>
      </c>
      <c r="O28" s="24">
        <f t="shared" si="59"/>
        <v>196</v>
      </c>
      <c r="P28" s="24">
        <f t="shared" ref="P28:S28" si="60">L28*$Y$2</f>
        <v>0</v>
      </c>
      <c r="Q28" s="24">
        <f t="shared" si="60"/>
        <v>81.5</v>
      </c>
      <c r="R28" s="24">
        <f t="shared" si="60"/>
        <v>0</v>
      </c>
      <c r="S28" s="24">
        <f t="shared" si="60"/>
        <v>49</v>
      </c>
      <c r="T28" s="24">
        <f t="shared" si="4"/>
        <v>4</v>
      </c>
      <c r="Z28" s="25">
        <f t="shared" si="12"/>
        <v>1.445958559</v>
      </c>
      <c r="AA28" s="26"/>
    </row>
    <row r="29">
      <c r="A29" s="16" t="s">
        <v>6</v>
      </c>
      <c r="B29" s="17">
        <v>28.0</v>
      </c>
      <c r="C29" s="24">
        <f t="shared" si="5"/>
        <v>560.0184484</v>
      </c>
      <c r="D29" s="25">
        <v>0.05</v>
      </c>
      <c r="E29" s="24">
        <f t="shared" si="6"/>
        <v>8.534432383</v>
      </c>
      <c r="F29" s="25">
        <v>0.02</v>
      </c>
      <c r="G29" s="24">
        <f t="shared" si="7"/>
        <v>373.3456322</v>
      </c>
      <c r="H29" s="25">
        <v>0.05</v>
      </c>
      <c r="I29" s="24">
        <f t="shared" si="8"/>
        <v>17.06886477</v>
      </c>
      <c r="J29" s="25">
        <v>0.02</v>
      </c>
      <c r="K29" s="25">
        <v>0.0</v>
      </c>
      <c r="L29" s="24" t="str">
        <f t="shared" ref="L29:O29" si="61">IF(L28="", "", 1 + MROUND(IFERROR(MINIFS(OFFSET(L28, -1, 0, -$B29, 1), OFFSET(L28, -1, 0, -$B29, 1), "&gt;0"), L28) + (LN(1 + $Z29) ^ U$2) * U$3, 1))</f>
        <v/>
      </c>
      <c r="M29" s="24">
        <f t="shared" si="61"/>
        <v>346</v>
      </c>
      <c r="N29" s="24" t="str">
        <f t="shared" si="61"/>
        <v/>
      </c>
      <c r="O29" s="24">
        <f t="shared" si="61"/>
        <v>206</v>
      </c>
      <c r="P29" s="24">
        <f t="shared" ref="P29:S29" si="62">L29*$Y$2</f>
        <v>0</v>
      </c>
      <c r="Q29" s="24">
        <f t="shared" si="62"/>
        <v>86.5</v>
      </c>
      <c r="R29" s="24">
        <f t="shared" si="62"/>
        <v>0</v>
      </c>
      <c r="S29" s="24">
        <f t="shared" si="62"/>
        <v>51.5</v>
      </c>
      <c r="T29" s="24">
        <f t="shared" si="4"/>
        <v>4</v>
      </c>
      <c r="Z29" s="25">
        <f t="shared" si="12"/>
        <v>1.531567108</v>
      </c>
      <c r="AA29" s="26"/>
    </row>
    <row r="30">
      <c r="A30" s="16" t="s">
        <v>6</v>
      </c>
      <c r="B30" s="17">
        <v>29.0</v>
      </c>
      <c r="C30" s="24">
        <f t="shared" si="5"/>
        <v>588.0193708</v>
      </c>
      <c r="D30" s="25">
        <v>0.05</v>
      </c>
      <c r="E30" s="24">
        <f t="shared" si="6"/>
        <v>8.705121031</v>
      </c>
      <c r="F30" s="25">
        <v>0.02</v>
      </c>
      <c r="G30" s="24">
        <f t="shared" si="7"/>
        <v>392.0129138</v>
      </c>
      <c r="H30" s="25">
        <v>0.05</v>
      </c>
      <c r="I30" s="24">
        <f t="shared" si="8"/>
        <v>17.41024206</v>
      </c>
      <c r="J30" s="25">
        <v>0.02</v>
      </c>
      <c r="K30" s="25">
        <v>0.0</v>
      </c>
      <c r="L30" s="24" t="str">
        <f t="shared" ref="L30:O30" si="63">IF(L29="", "", 1 + MROUND(IFERROR(MINIFS(OFFSET(L29, -1, 0, -$B30, 1), OFFSET(L29, -1, 0, -$B30, 1), "&gt;0"), L29) + (LN(1 + $Z30) ^ U$2) * U$3, 1))</f>
        <v/>
      </c>
      <c r="M30" s="24">
        <f t="shared" si="63"/>
        <v>366</v>
      </c>
      <c r="N30" s="24" t="str">
        <f t="shared" si="63"/>
        <v/>
      </c>
      <c r="O30" s="24">
        <f t="shared" si="63"/>
        <v>217</v>
      </c>
      <c r="P30" s="24">
        <f t="shared" ref="P30:S30" si="64">L30*$Y$2</f>
        <v>0</v>
      </c>
      <c r="Q30" s="24">
        <f t="shared" si="64"/>
        <v>91.5</v>
      </c>
      <c r="R30" s="24">
        <f t="shared" si="64"/>
        <v>0</v>
      </c>
      <c r="S30" s="24">
        <f t="shared" si="64"/>
        <v>54.25</v>
      </c>
      <c r="T30" s="24">
        <f t="shared" si="4"/>
        <v>4</v>
      </c>
      <c r="Z30" s="25">
        <f t="shared" si="12"/>
        <v>1.620171957</v>
      </c>
      <c r="AA30" s="26"/>
    </row>
    <row r="31">
      <c r="A31" s="16" t="s">
        <v>6</v>
      </c>
      <c r="B31" s="17">
        <v>30.0</v>
      </c>
      <c r="C31" s="24">
        <f t="shared" si="5"/>
        <v>617.4203393</v>
      </c>
      <c r="D31" s="25">
        <v>0.05</v>
      </c>
      <c r="E31" s="24">
        <f t="shared" si="6"/>
        <v>8.879223451</v>
      </c>
      <c r="F31" s="25">
        <v>0.02</v>
      </c>
      <c r="G31" s="24">
        <f t="shared" si="7"/>
        <v>411.6135595</v>
      </c>
      <c r="H31" s="25">
        <v>0.05</v>
      </c>
      <c r="I31" s="24">
        <f t="shared" si="8"/>
        <v>17.7584469</v>
      </c>
      <c r="J31" s="25">
        <v>0.02</v>
      </c>
      <c r="K31" s="25">
        <v>0.0</v>
      </c>
      <c r="L31" s="24" t="str">
        <f t="shared" ref="L31:O31" si="65">IF(L30="", "", 1 + MROUND(IFERROR(MINIFS(OFFSET(L30, -1, 0, -$B31, 1), OFFSET(L30, -1, 0, -$B31, 1), "&gt;0"), L30) + (LN(1 + $Z31) ^ U$2) * U$3, 1))</f>
        <v/>
      </c>
      <c r="M31" s="24">
        <f t="shared" si="65"/>
        <v>387</v>
      </c>
      <c r="N31" s="24" t="str">
        <f t="shared" si="65"/>
        <v/>
      </c>
      <c r="O31" s="24">
        <f t="shared" si="65"/>
        <v>228</v>
      </c>
      <c r="P31" s="24">
        <f t="shared" ref="P31:S31" si="66">L31*$Y$2</f>
        <v>0</v>
      </c>
      <c r="Q31" s="24">
        <f t="shared" si="66"/>
        <v>96.75</v>
      </c>
      <c r="R31" s="24">
        <f t="shared" si="66"/>
        <v>0</v>
      </c>
      <c r="S31" s="24">
        <f t="shared" si="66"/>
        <v>57</v>
      </c>
      <c r="T31" s="24">
        <f t="shared" si="4"/>
        <v>4</v>
      </c>
      <c r="Z31" s="25">
        <f t="shared" si="12"/>
        <v>1.711877976</v>
      </c>
      <c r="AA31" s="26"/>
    </row>
    <row r="32">
      <c r="A32" s="16" t="s">
        <v>6</v>
      </c>
      <c r="B32" s="17">
        <v>31.0</v>
      </c>
      <c r="C32" s="24">
        <f t="shared" si="5"/>
        <v>648.2913563</v>
      </c>
      <c r="D32" s="25">
        <v>0.05</v>
      </c>
      <c r="E32" s="24">
        <f t="shared" si="6"/>
        <v>9.056807921</v>
      </c>
      <c r="F32" s="25">
        <v>0.02</v>
      </c>
      <c r="G32" s="24">
        <f t="shared" si="7"/>
        <v>432.1942375</v>
      </c>
      <c r="H32" s="25">
        <v>0.05</v>
      </c>
      <c r="I32" s="24">
        <f t="shared" si="8"/>
        <v>18.11361584</v>
      </c>
      <c r="J32" s="25">
        <v>0.02</v>
      </c>
      <c r="K32" s="25">
        <v>0.0</v>
      </c>
      <c r="L32" s="24" t="str">
        <f t="shared" ref="L32:O32" si="67">IF(L31="", "", 1 + MROUND(IFERROR(MINIFS(OFFSET(L31, -1, 0, -$B32, 1), OFFSET(L31, -1, 0, -$B32, 1), "&gt;0"), L31) + (LN(1 + $Z32) ^ U$2) * U$3, 1))</f>
        <v/>
      </c>
      <c r="M32" s="24">
        <f t="shared" si="67"/>
        <v>408</v>
      </c>
      <c r="N32" s="24" t="str">
        <f t="shared" si="67"/>
        <v/>
      </c>
      <c r="O32" s="24">
        <f t="shared" si="67"/>
        <v>239</v>
      </c>
      <c r="P32" s="24">
        <f t="shared" ref="P32:S32" si="68">L32*$Y$2</f>
        <v>0</v>
      </c>
      <c r="Q32" s="24">
        <f t="shared" si="68"/>
        <v>102</v>
      </c>
      <c r="R32" s="24">
        <f t="shared" si="68"/>
        <v>0</v>
      </c>
      <c r="S32" s="24">
        <f t="shared" si="68"/>
        <v>59.75</v>
      </c>
      <c r="T32" s="24">
        <f t="shared" si="4"/>
        <v>4</v>
      </c>
      <c r="Z32" s="25">
        <f t="shared" si="12"/>
        <v>1.806793705</v>
      </c>
      <c r="AA32" s="26"/>
    </row>
    <row r="33">
      <c r="A33" s="16" t="s">
        <v>6</v>
      </c>
      <c r="B33" s="17">
        <v>32.0</v>
      </c>
      <c r="C33" s="24">
        <f t="shared" si="5"/>
        <v>680.7059241</v>
      </c>
      <c r="D33" s="25">
        <v>0.05</v>
      </c>
      <c r="E33" s="24">
        <f t="shared" si="6"/>
        <v>9.237944079</v>
      </c>
      <c r="F33" s="25">
        <v>0.02</v>
      </c>
      <c r="G33" s="24">
        <f t="shared" si="7"/>
        <v>453.8039494</v>
      </c>
      <c r="H33" s="25">
        <v>0.05</v>
      </c>
      <c r="I33" s="24">
        <f t="shared" si="8"/>
        <v>18.47588816</v>
      </c>
      <c r="J33" s="25">
        <v>0.02</v>
      </c>
      <c r="K33" s="25">
        <v>0.0</v>
      </c>
      <c r="L33" s="24" t="str">
        <f t="shared" ref="L33:O33" si="69">IF(L32="", "", 1 + MROUND(IFERROR(MINIFS(OFFSET(L32, -1, 0, -$B33, 1), OFFSET(L32, -1, 0, -$B33, 1), "&gt;0"), L32) + (LN(1 + $Z33) ^ U$2) * U$3, 1))</f>
        <v/>
      </c>
      <c r="M33" s="24">
        <f t="shared" si="69"/>
        <v>430</v>
      </c>
      <c r="N33" s="24" t="str">
        <f t="shared" si="69"/>
        <v/>
      </c>
      <c r="O33" s="24">
        <f t="shared" si="69"/>
        <v>250</v>
      </c>
      <c r="P33" s="24">
        <f t="shared" ref="P33:S33" si="70">L33*$Y$2</f>
        <v>0</v>
      </c>
      <c r="Q33" s="24">
        <f t="shared" si="70"/>
        <v>107.5</v>
      </c>
      <c r="R33" s="24">
        <f t="shared" si="70"/>
        <v>0</v>
      </c>
      <c r="S33" s="24">
        <f t="shared" si="70"/>
        <v>62.5</v>
      </c>
      <c r="T33" s="24">
        <f t="shared" si="4"/>
        <v>4</v>
      </c>
      <c r="Z33" s="25">
        <f t="shared" si="12"/>
        <v>1.905031484</v>
      </c>
      <c r="AA33" s="26"/>
    </row>
    <row r="34">
      <c r="A34" s="16" t="s">
        <v>6</v>
      </c>
      <c r="B34" s="17">
        <v>33.0</v>
      </c>
      <c r="C34" s="24">
        <f t="shared" si="5"/>
        <v>714.7412203</v>
      </c>
      <c r="D34" s="25">
        <v>0.05</v>
      </c>
      <c r="E34" s="24">
        <f t="shared" si="6"/>
        <v>9.422702961</v>
      </c>
      <c r="F34" s="25">
        <v>0.02</v>
      </c>
      <c r="G34" s="24">
        <f t="shared" si="7"/>
        <v>476.4941469</v>
      </c>
      <c r="H34" s="25">
        <v>0.05</v>
      </c>
      <c r="I34" s="24">
        <f t="shared" si="8"/>
        <v>18.84540592</v>
      </c>
      <c r="J34" s="25">
        <v>0.02</v>
      </c>
      <c r="K34" s="25">
        <v>0.0</v>
      </c>
      <c r="L34" s="24" t="str">
        <f t="shared" ref="L34:O34" si="71">IF(L33="", "", 1 + MROUND(IFERROR(MINIFS(OFFSET(L33, -1, 0, -$B34, 1), OFFSET(L33, -1, 0, -$B34, 1), "&gt;0"), L33) + (LN(1 + $Z34) ^ U$2) * U$3, 1))</f>
        <v/>
      </c>
      <c r="M34" s="24">
        <f t="shared" si="71"/>
        <v>452</v>
      </c>
      <c r="N34" s="24" t="str">
        <f t="shared" si="71"/>
        <v/>
      </c>
      <c r="O34" s="24">
        <f t="shared" si="71"/>
        <v>262</v>
      </c>
      <c r="P34" s="24">
        <f t="shared" ref="P34:S34" si="72">L34*$Y$2</f>
        <v>0</v>
      </c>
      <c r="Q34" s="24">
        <f t="shared" si="72"/>
        <v>113</v>
      </c>
      <c r="R34" s="24">
        <f t="shared" si="72"/>
        <v>0</v>
      </c>
      <c r="S34" s="24">
        <f t="shared" si="72"/>
        <v>65.5</v>
      </c>
      <c r="T34" s="24">
        <f t="shared" si="4"/>
        <v>4</v>
      </c>
      <c r="Z34" s="25">
        <f t="shared" si="12"/>
        <v>2.006707586</v>
      </c>
      <c r="AA34" s="26"/>
    </row>
    <row r="35">
      <c r="A35" s="16" t="s">
        <v>6</v>
      </c>
      <c r="B35" s="17">
        <v>34.0</v>
      </c>
      <c r="C35" s="24">
        <f t="shared" si="5"/>
        <v>750.4782813</v>
      </c>
      <c r="D35" s="25">
        <v>0.05</v>
      </c>
      <c r="E35" s="24">
        <f t="shared" si="6"/>
        <v>9.61115702</v>
      </c>
      <c r="F35" s="25">
        <v>0.02</v>
      </c>
      <c r="G35" s="24">
        <f t="shared" si="7"/>
        <v>500.3188542</v>
      </c>
      <c r="H35" s="25">
        <v>0.05</v>
      </c>
      <c r="I35" s="24">
        <f t="shared" si="8"/>
        <v>19.22231404</v>
      </c>
      <c r="J35" s="25">
        <v>0.02</v>
      </c>
      <c r="K35" s="25">
        <v>0.0</v>
      </c>
      <c r="L35" s="24" t="str">
        <f t="shared" ref="L35:O35" si="73">IF(L34="", "", 1 + MROUND(IFERROR(MINIFS(OFFSET(L34, -1, 0, -$B35, 1), OFFSET(L34, -1, 0, -$B35, 1), "&gt;0"), L34) + (LN(1 + $Z35) ^ U$2) * U$3, 1))</f>
        <v/>
      </c>
      <c r="M35" s="24">
        <f t="shared" si="73"/>
        <v>475</v>
      </c>
      <c r="N35" s="24" t="str">
        <f t="shared" si="73"/>
        <v/>
      </c>
      <c r="O35" s="24">
        <f t="shared" si="73"/>
        <v>274</v>
      </c>
      <c r="P35" s="24">
        <f t="shared" ref="P35:S35" si="74">L35*$Y$2</f>
        <v>0</v>
      </c>
      <c r="Q35" s="24">
        <f t="shared" si="74"/>
        <v>118.75</v>
      </c>
      <c r="R35" s="24">
        <f t="shared" si="74"/>
        <v>0</v>
      </c>
      <c r="S35" s="24">
        <f t="shared" si="74"/>
        <v>68.5</v>
      </c>
      <c r="T35" s="24">
        <f t="shared" si="4"/>
        <v>4</v>
      </c>
      <c r="Z35" s="25">
        <f t="shared" si="12"/>
        <v>2.111942352</v>
      </c>
      <c r="AA35" s="26"/>
    </row>
    <row r="36">
      <c r="A36" s="16" t="s">
        <v>6</v>
      </c>
      <c r="B36" s="17">
        <v>35.0</v>
      </c>
      <c r="C36" s="24">
        <f t="shared" si="5"/>
        <v>788.0021954</v>
      </c>
      <c r="D36" s="25">
        <v>0.05</v>
      </c>
      <c r="E36" s="24">
        <f t="shared" si="6"/>
        <v>9.80338016</v>
      </c>
      <c r="F36" s="25">
        <v>0.02</v>
      </c>
      <c r="G36" s="24">
        <f t="shared" si="7"/>
        <v>525.3347969</v>
      </c>
      <c r="H36" s="25">
        <v>0.05</v>
      </c>
      <c r="I36" s="24">
        <f t="shared" si="8"/>
        <v>19.60676032</v>
      </c>
      <c r="J36" s="25">
        <v>0.02</v>
      </c>
      <c r="K36" s="25">
        <v>0.0</v>
      </c>
      <c r="L36" s="24" t="str">
        <f t="shared" ref="L36:O36" si="75">IF(L35="", "", 1 + MROUND(IFERROR(MINIFS(OFFSET(L35, -1, 0, -$B36, 1), OFFSET(L35, -1, 0, -$B36, 1), "&gt;0"), L35) + (LN(1 + $Z36) ^ U$2) * U$3, 1))</f>
        <v/>
      </c>
      <c r="M36" s="24">
        <f t="shared" si="75"/>
        <v>498</v>
      </c>
      <c r="N36" s="24" t="str">
        <f t="shared" si="75"/>
        <v/>
      </c>
      <c r="O36" s="24">
        <f t="shared" si="75"/>
        <v>286</v>
      </c>
      <c r="P36" s="24">
        <f t="shared" ref="P36:S36" si="76">L36*$Y$2</f>
        <v>0</v>
      </c>
      <c r="Q36" s="24">
        <f t="shared" si="76"/>
        <v>124.5</v>
      </c>
      <c r="R36" s="24">
        <f t="shared" si="76"/>
        <v>0</v>
      </c>
      <c r="S36" s="24">
        <f t="shared" si="76"/>
        <v>71.5</v>
      </c>
      <c r="T36" s="24">
        <f t="shared" si="4"/>
        <v>5</v>
      </c>
      <c r="Z36" s="25">
        <f t="shared" si="12"/>
        <v>2.220860334</v>
      </c>
      <c r="AA36" s="26"/>
    </row>
    <row r="37">
      <c r="A37" s="16" t="s">
        <v>6</v>
      </c>
      <c r="B37" s="17">
        <v>36.0</v>
      </c>
      <c r="C37" s="24">
        <f t="shared" si="5"/>
        <v>827.4023051</v>
      </c>
      <c r="D37" s="25">
        <v>0.05</v>
      </c>
      <c r="E37" s="24">
        <f t="shared" si="6"/>
        <v>9.999447763</v>
      </c>
      <c r="F37" s="25">
        <v>0.02</v>
      </c>
      <c r="G37" s="24">
        <f t="shared" si="7"/>
        <v>551.6015368</v>
      </c>
      <c r="H37" s="25">
        <v>0.05</v>
      </c>
      <c r="I37" s="24">
        <f t="shared" si="8"/>
        <v>19.99889553</v>
      </c>
      <c r="J37" s="25">
        <v>0.02</v>
      </c>
      <c r="K37" s="25">
        <v>0.0</v>
      </c>
      <c r="L37" s="24" t="str">
        <f t="shared" ref="L37:O37" si="77">IF(L36="", "", 1 + MROUND(IFERROR(MINIFS(OFFSET(L36, -1, 0, -$B37, 1), OFFSET(L36, -1, 0, -$B37, 1), "&gt;0"), L36) + (LN(1 + $Z37) ^ U$2) * U$3, 1))</f>
        <v/>
      </c>
      <c r="M37" s="24">
        <f t="shared" si="77"/>
        <v>522</v>
      </c>
      <c r="N37" s="24" t="str">
        <f t="shared" si="77"/>
        <v/>
      </c>
      <c r="O37" s="24">
        <f t="shared" si="77"/>
        <v>298</v>
      </c>
      <c r="P37" s="24">
        <f t="shared" ref="P37:S37" si="78">L37*$Y$2</f>
        <v>0</v>
      </c>
      <c r="Q37" s="24">
        <f t="shared" si="78"/>
        <v>130.5</v>
      </c>
      <c r="R37" s="24">
        <f t="shared" si="78"/>
        <v>0</v>
      </c>
      <c r="S37" s="24">
        <f t="shared" si="78"/>
        <v>74.5</v>
      </c>
      <c r="T37" s="24">
        <f t="shared" si="4"/>
        <v>5</v>
      </c>
      <c r="Z37" s="25">
        <f t="shared" si="12"/>
        <v>2.333590446</v>
      </c>
      <c r="AA37" s="26"/>
    </row>
    <row r="38">
      <c r="A38" s="16" t="s">
        <v>6</v>
      </c>
      <c r="B38" s="17">
        <v>37.0</v>
      </c>
      <c r="C38" s="24">
        <f t="shared" si="5"/>
        <v>868.7724204</v>
      </c>
      <c r="D38" s="25">
        <v>0.05</v>
      </c>
      <c r="E38" s="24">
        <f t="shared" si="6"/>
        <v>10.19943672</v>
      </c>
      <c r="F38" s="25">
        <v>0.02</v>
      </c>
      <c r="G38" s="24">
        <f t="shared" si="7"/>
        <v>579.1816136</v>
      </c>
      <c r="H38" s="25">
        <v>0.05</v>
      </c>
      <c r="I38" s="24">
        <f t="shared" si="8"/>
        <v>20.39887344</v>
      </c>
      <c r="J38" s="25">
        <v>0.02</v>
      </c>
      <c r="K38" s="25">
        <v>0.0</v>
      </c>
      <c r="L38" s="24" t="str">
        <f t="shared" ref="L38:O38" si="79">IF(L37="", "", 1 + MROUND(IFERROR(MINIFS(OFFSET(L37, -1, 0, -$B38, 1), OFFSET(L37, -1, 0, -$B38, 1), "&gt;0"), L37) + (LN(1 + $Z38) ^ U$2) * U$3, 1))</f>
        <v/>
      </c>
      <c r="M38" s="24">
        <f t="shared" si="79"/>
        <v>546</v>
      </c>
      <c r="N38" s="24" t="str">
        <f t="shared" si="79"/>
        <v/>
      </c>
      <c r="O38" s="24">
        <f t="shared" si="79"/>
        <v>311</v>
      </c>
      <c r="P38" s="24">
        <f t="shared" ref="P38:S38" si="80">L38*$Y$2</f>
        <v>0</v>
      </c>
      <c r="Q38" s="24">
        <f t="shared" si="80"/>
        <v>136.5</v>
      </c>
      <c r="R38" s="24">
        <f t="shared" si="80"/>
        <v>0</v>
      </c>
      <c r="S38" s="24">
        <f t="shared" si="80"/>
        <v>77.75</v>
      </c>
      <c r="T38" s="24">
        <f t="shared" si="4"/>
        <v>5</v>
      </c>
      <c r="Z38" s="25">
        <f t="shared" si="12"/>
        <v>2.450266111</v>
      </c>
      <c r="AA38" s="26"/>
    </row>
    <row r="39">
      <c r="A39" s="16" t="s">
        <v>6</v>
      </c>
      <c r="B39" s="17">
        <v>38.0</v>
      </c>
      <c r="C39" s="24">
        <f t="shared" si="5"/>
        <v>912.2110414</v>
      </c>
      <c r="D39" s="25">
        <v>0.05</v>
      </c>
      <c r="E39" s="24">
        <f t="shared" si="6"/>
        <v>10.40342545</v>
      </c>
      <c r="F39" s="25">
        <v>0.02</v>
      </c>
      <c r="G39" s="24">
        <f t="shared" si="7"/>
        <v>608.1406943</v>
      </c>
      <c r="H39" s="25">
        <v>0.05</v>
      </c>
      <c r="I39" s="24">
        <f t="shared" si="8"/>
        <v>20.80685091</v>
      </c>
      <c r="J39" s="25">
        <v>0.02</v>
      </c>
      <c r="K39" s="25">
        <v>0.0</v>
      </c>
      <c r="L39" s="24" t="str">
        <f t="shared" ref="L39:O39" si="81">IF(L38="", "", 1 + MROUND(IFERROR(MINIFS(OFFSET(L38, -1, 0, -$B39, 1), OFFSET(L38, -1, 0, -$B39, 1), "&gt;0"), L38) + (LN(1 + $Z39) ^ U$2) * U$3, 1))</f>
        <v/>
      </c>
      <c r="M39" s="24">
        <f t="shared" si="81"/>
        <v>571</v>
      </c>
      <c r="N39" s="24" t="str">
        <f t="shared" si="81"/>
        <v/>
      </c>
      <c r="O39" s="24">
        <f t="shared" si="81"/>
        <v>324</v>
      </c>
      <c r="P39" s="24">
        <f t="shared" ref="P39:S39" si="82">L39*$Y$2</f>
        <v>0</v>
      </c>
      <c r="Q39" s="24">
        <f t="shared" si="82"/>
        <v>142.75</v>
      </c>
      <c r="R39" s="24">
        <f t="shared" si="82"/>
        <v>0</v>
      </c>
      <c r="S39" s="24">
        <f t="shared" si="82"/>
        <v>81</v>
      </c>
      <c r="T39" s="24">
        <f t="shared" si="4"/>
        <v>5</v>
      </c>
      <c r="Z39" s="25">
        <f t="shared" si="12"/>
        <v>2.571025425</v>
      </c>
      <c r="AA39" s="26"/>
    </row>
    <row r="40">
      <c r="A40" s="16" t="s">
        <v>6</v>
      </c>
      <c r="B40" s="17">
        <v>39.0</v>
      </c>
      <c r="C40" s="24">
        <f t="shared" si="5"/>
        <v>957.8215935</v>
      </c>
      <c r="D40" s="25">
        <v>0.05</v>
      </c>
      <c r="E40" s="24">
        <f t="shared" si="6"/>
        <v>10.61149396</v>
      </c>
      <c r="F40" s="25">
        <v>0.02</v>
      </c>
      <c r="G40" s="24">
        <f t="shared" si="7"/>
        <v>638.547729</v>
      </c>
      <c r="H40" s="25">
        <v>0.05</v>
      </c>
      <c r="I40" s="24">
        <f t="shared" si="8"/>
        <v>21.22298792</v>
      </c>
      <c r="J40" s="25">
        <v>0.02</v>
      </c>
      <c r="K40" s="25">
        <v>0.0</v>
      </c>
      <c r="L40" s="24" t="str">
        <f t="shared" ref="L40:O40" si="83">IF(L39="", "", 1 + MROUND(IFERROR(MINIFS(OFFSET(L39, -1, 0, -$B40, 1), OFFSET(L39, -1, 0, -$B40, 1), "&gt;0"), L39) + (LN(1 + $Z40) ^ U$2) * U$3, 1))</f>
        <v/>
      </c>
      <c r="M40" s="24">
        <f t="shared" si="83"/>
        <v>596</v>
      </c>
      <c r="N40" s="24" t="str">
        <f t="shared" si="83"/>
        <v/>
      </c>
      <c r="O40" s="24">
        <f t="shared" si="83"/>
        <v>337</v>
      </c>
      <c r="P40" s="24">
        <f t="shared" ref="P40:S40" si="84">L40*$Y$2</f>
        <v>0</v>
      </c>
      <c r="Q40" s="24">
        <f t="shared" si="84"/>
        <v>149</v>
      </c>
      <c r="R40" s="24">
        <f t="shared" si="84"/>
        <v>0</v>
      </c>
      <c r="S40" s="24">
        <f t="shared" si="84"/>
        <v>84.25</v>
      </c>
      <c r="T40" s="24">
        <f t="shared" si="4"/>
        <v>5</v>
      </c>
      <c r="Z40" s="25">
        <f t="shared" si="12"/>
        <v>2.696011315</v>
      </c>
      <c r="AA40" s="26"/>
    </row>
    <row r="41">
      <c r="A41" s="16" t="s">
        <v>6</v>
      </c>
      <c r="B41" s="17">
        <v>40.0</v>
      </c>
      <c r="C41" s="24">
        <f t="shared" si="5"/>
        <v>1005.712673</v>
      </c>
      <c r="D41" s="25">
        <v>0.05</v>
      </c>
      <c r="E41" s="24">
        <f t="shared" si="6"/>
        <v>10.82372384</v>
      </c>
      <c r="F41" s="25">
        <v>0.02</v>
      </c>
      <c r="G41" s="24">
        <f t="shared" si="7"/>
        <v>670.4751154</v>
      </c>
      <c r="H41" s="25">
        <v>0.05</v>
      </c>
      <c r="I41" s="24">
        <f t="shared" si="8"/>
        <v>21.64744768</v>
      </c>
      <c r="J41" s="25">
        <v>0.02</v>
      </c>
      <c r="K41" s="25">
        <v>0.0</v>
      </c>
      <c r="L41" s="24" t="str">
        <f t="shared" ref="L41:O41" si="85">IF(L40="", "", 1 + MROUND(IFERROR(MINIFS(OFFSET(L40, -1, 0, -$B41, 1), OFFSET(L40, -1, 0, -$B41, 1), "&gt;0"), L40) + (LN(1 + $Z41) ^ U$2) * U$3, 1))</f>
        <v/>
      </c>
      <c r="M41" s="24">
        <f t="shared" si="85"/>
        <v>622</v>
      </c>
      <c r="N41" s="24" t="str">
        <f t="shared" si="85"/>
        <v/>
      </c>
      <c r="O41" s="24">
        <f t="shared" si="85"/>
        <v>350</v>
      </c>
      <c r="P41" s="24">
        <f t="shared" ref="P41:S41" si="86">L41*$Y$2</f>
        <v>0</v>
      </c>
      <c r="Q41" s="24">
        <f t="shared" si="86"/>
        <v>155.5</v>
      </c>
      <c r="R41" s="24">
        <f t="shared" si="86"/>
        <v>0</v>
      </c>
      <c r="S41" s="24">
        <f t="shared" si="86"/>
        <v>87.5</v>
      </c>
      <c r="T41" s="24">
        <f t="shared" si="4"/>
        <v>5</v>
      </c>
      <c r="Z41" s="25">
        <f t="shared" si="12"/>
        <v>2.825371711</v>
      </c>
      <c r="AA41" s="26"/>
    </row>
    <row r="42">
      <c r="A42" s="16" t="s">
        <v>6</v>
      </c>
      <c r="B42" s="17">
        <v>41.0</v>
      </c>
      <c r="C42" s="24">
        <f t="shared" si="5"/>
        <v>1055.998307</v>
      </c>
      <c r="D42" s="25">
        <v>0.05</v>
      </c>
      <c r="E42" s="24">
        <f t="shared" si="6"/>
        <v>11.04019832</v>
      </c>
      <c r="F42" s="25">
        <v>0.02</v>
      </c>
      <c r="G42" s="24">
        <f t="shared" si="7"/>
        <v>703.9988712</v>
      </c>
      <c r="H42" s="25">
        <v>0.05</v>
      </c>
      <c r="I42" s="24">
        <f t="shared" si="8"/>
        <v>22.08039664</v>
      </c>
      <c r="J42" s="25">
        <v>0.02</v>
      </c>
      <c r="K42" s="25">
        <v>0.0</v>
      </c>
      <c r="L42" s="24" t="str">
        <f t="shared" ref="L42:O42" si="87">IF(L41="", "", 1 + MROUND(IFERROR(MINIFS(OFFSET(L41, -1, 0, -$B42, 1), OFFSET(L41, -1, 0, -$B42, 1), "&gt;0"), L41) + (LN(1 + $Z42) ^ U$2) * U$3, 1))</f>
        <v/>
      </c>
      <c r="M42" s="24">
        <f t="shared" si="87"/>
        <v>648</v>
      </c>
      <c r="N42" s="24" t="str">
        <f t="shared" si="87"/>
        <v/>
      </c>
      <c r="O42" s="24">
        <f t="shared" si="87"/>
        <v>364</v>
      </c>
      <c r="P42" s="24">
        <f t="shared" ref="P42:S42" si="88">L42*$Y$2</f>
        <v>0</v>
      </c>
      <c r="Q42" s="24">
        <f t="shared" si="88"/>
        <v>162</v>
      </c>
      <c r="R42" s="24">
        <f t="shared" si="88"/>
        <v>0</v>
      </c>
      <c r="S42" s="24">
        <f t="shared" si="88"/>
        <v>91</v>
      </c>
      <c r="T42" s="24">
        <f t="shared" si="4"/>
        <v>5</v>
      </c>
      <c r="Z42" s="25">
        <f t="shared" si="12"/>
        <v>2.959259721</v>
      </c>
      <c r="AA42" s="26"/>
    </row>
    <row r="43">
      <c r="A43" s="16" t="s">
        <v>6</v>
      </c>
      <c r="B43" s="17">
        <v>42.0</v>
      </c>
      <c r="C43" s="24">
        <f t="shared" si="5"/>
        <v>1108.798222</v>
      </c>
      <c r="D43" s="25">
        <v>0.05</v>
      </c>
      <c r="E43" s="24">
        <f t="shared" si="6"/>
        <v>11.26100228</v>
      </c>
      <c r="F43" s="25">
        <v>0.02</v>
      </c>
      <c r="G43" s="24">
        <f t="shared" si="7"/>
        <v>739.1988148</v>
      </c>
      <c r="H43" s="25">
        <v>0.05</v>
      </c>
      <c r="I43" s="24">
        <f t="shared" si="8"/>
        <v>22.52200457</v>
      </c>
      <c r="J43" s="25">
        <v>0.02</v>
      </c>
      <c r="K43" s="25">
        <v>0.0</v>
      </c>
      <c r="L43" s="24" t="str">
        <f t="shared" ref="L43:O43" si="89">IF(L42="", "", 1 + MROUND(IFERROR(MINIFS(OFFSET(L42, -1, 0, -$B43, 1), OFFSET(L42, -1, 0, -$B43, 1), "&gt;0"), L42) + (LN(1 + $Z43) ^ U$2) * U$3, 1))</f>
        <v/>
      </c>
      <c r="M43" s="24">
        <f t="shared" si="89"/>
        <v>674</v>
      </c>
      <c r="N43" s="24" t="str">
        <f t="shared" si="89"/>
        <v/>
      </c>
      <c r="O43" s="24">
        <f t="shared" si="89"/>
        <v>378</v>
      </c>
      <c r="P43" s="24">
        <f t="shared" ref="P43:S43" si="90">L43*$Y$2</f>
        <v>0</v>
      </c>
      <c r="Q43" s="24">
        <f t="shared" si="90"/>
        <v>168.5</v>
      </c>
      <c r="R43" s="24">
        <f t="shared" si="90"/>
        <v>0</v>
      </c>
      <c r="S43" s="24">
        <f t="shared" si="90"/>
        <v>94.5</v>
      </c>
      <c r="T43" s="24">
        <f t="shared" si="4"/>
        <v>5</v>
      </c>
      <c r="Z43" s="25">
        <f t="shared" si="12"/>
        <v>3.097833811</v>
      </c>
      <c r="AA43" s="26"/>
    </row>
    <row r="44">
      <c r="A44" s="16" t="s">
        <v>6</v>
      </c>
      <c r="B44" s="17">
        <v>43.0</v>
      </c>
      <c r="C44" s="24">
        <f t="shared" si="5"/>
        <v>1164.238133</v>
      </c>
      <c r="D44" s="25">
        <v>0.05</v>
      </c>
      <c r="E44" s="24">
        <f t="shared" si="6"/>
        <v>11.48622233</v>
      </c>
      <c r="F44" s="25">
        <v>0.02</v>
      </c>
      <c r="G44" s="24">
        <f t="shared" si="7"/>
        <v>776.1587555</v>
      </c>
      <c r="H44" s="25">
        <v>0.05</v>
      </c>
      <c r="I44" s="24">
        <f t="shared" si="8"/>
        <v>22.97244466</v>
      </c>
      <c r="J44" s="25">
        <v>0.02</v>
      </c>
      <c r="K44" s="25">
        <v>0.0</v>
      </c>
      <c r="L44" s="24" t="str">
        <f t="shared" ref="L44:O44" si="91">IF(L43="", "", 1 + MROUND(IFERROR(MINIFS(OFFSET(L43, -1, 0, -$B44, 1), OFFSET(L43, -1, 0, -$B44, 1), "&gt;0"), L43) + (LN(1 + $Z44) ^ U$2) * U$3, 1))</f>
        <v/>
      </c>
      <c r="M44" s="24">
        <f t="shared" si="91"/>
        <v>701</v>
      </c>
      <c r="N44" s="24" t="str">
        <f t="shared" si="91"/>
        <v/>
      </c>
      <c r="O44" s="24">
        <f t="shared" si="91"/>
        <v>392</v>
      </c>
      <c r="P44" s="24">
        <f t="shared" ref="P44:S44" si="92">L44*$Y$2</f>
        <v>0</v>
      </c>
      <c r="Q44" s="24">
        <f t="shared" si="92"/>
        <v>175.25</v>
      </c>
      <c r="R44" s="24">
        <f t="shared" si="92"/>
        <v>0</v>
      </c>
      <c r="S44" s="24">
        <f t="shared" si="92"/>
        <v>98</v>
      </c>
      <c r="T44" s="24">
        <f t="shared" si="4"/>
        <v>5</v>
      </c>
      <c r="Z44" s="25">
        <f t="shared" si="12"/>
        <v>3.241257995</v>
      </c>
      <c r="AA44" s="26"/>
    </row>
    <row r="45">
      <c r="A45" s="16" t="s">
        <v>6</v>
      </c>
      <c r="B45" s="17">
        <v>44.0</v>
      </c>
      <c r="C45" s="24">
        <f t="shared" si="5"/>
        <v>1222.45004</v>
      </c>
      <c r="D45" s="25">
        <v>0.05</v>
      </c>
      <c r="E45" s="24">
        <f t="shared" si="6"/>
        <v>11.71594678</v>
      </c>
      <c r="F45" s="25">
        <v>0.02</v>
      </c>
      <c r="G45" s="24">
        <f t="shared" si="7"/>
        <v>814.9666933</v>
      </c>
      <c r="H45" s="25">
        <v>0.05</v>
      </c>
      <c r="I45" s="24">
        <f t="shared" si="8"/>
        <v>23.43189355</v>
      </c>
      <c r="J45" s="25">
        <v>0.02</v>
      </c>
      <c r="K45" s="25">
        <v>0.0</v>
      </c>
      <c r="L45" s="24" t="str">
        <f t="shared" ref="L45:O45" si="93">IF(L44="", "", 1 + MROUND(IFERROR(MINIFS(OFFSET(L44, -1, 0, -$B45, 1), OFFSET(L44, -1, 0, -$B45, 1), "&gt;0"), L44) + (LN(1 + $Z45) ^ U$2) * U$3, 1))</f>
        <v/>
      </c>
      <c r="M45" s="24">
        <f t="shared" si="93"/>
        <v>728</v>
      </c>
      <c r="N45" s="24" t="str">
        <f t="shared" si="93"/>
        <v/>
      </c>
      <c r="O45" s="24">
        <f t="shared" si="93"/>
        <v>406</v>
      </c>
      <c r="P45" s="24">
        <f t="shared" ref="P45:S45" si="94">L45*$Y$2</f>
        <v>0</v>
      </c>
      <c r="Q45" s="24">
        <f t="shared" si="94"/>
        <v>182</v>
      </c>
      <c r="R45" s="24">
        <f t="shared" si="94"/>
        <v>0</v>
      </c>
      <c r="S45" s="24">
        <f t="shared" si="94"/>
        <v>101.5</v>
      </c>
      <c r="T45" s="24">
        <f t="shared" si="4"/>
        <v>5</v>
      </c>
      <c r="Z45" s="25">
        <f t="shared" si="12"/>
        <v>3.389702025</v>
      </c>
      <c r="AA45" s="26"/>
    </row>
    <row r="46">
      <c r="A46" s="16" t="s">
        <v>6</v>
      </c>
      <c r="B46" s="17">
        <v>45.0</v>
      </c>
      <c r="C46" s="24">
        <f t="shared" si="5"/>
        <v>1283.572542</v>
      </c>
      <c r="D46" s="25">
        <v>0.05</v>
      </c>
      <c r="E46" s="24">
        <f t="shared" si="6"/>
        <v>11.95026571</v>
      </c>
      <c r="F46" s="25">
        <v>0.02</v>
      </c>
      <c r="G46" s="24">
        <f t="shared" si="7"/>
        <v>855.715028</v>
      </c>
      <c r="H46" s="25">
        <v>0.05</v>
      </c>
      <c r="I46" s="24">
        <f t="shared" si="8"/>
        <v>23.90053142</v>
      </c>
      <c r="J46" s="25">
        <v>0.02</v>
      </c>
      <c r="K46" s="25">
        <v>0.0</v>
      </c>
      <c r="L46" s="24" t="str">
        <f t="shared" ref="L46:O46" si="95">IF(L45="", "", 1 + MROUND(IFERROR(MINIFS(OFFSET(L45, -1, 0, -$B46, 1), OFFSET(L45, -1, 0, -$B46, 1), "&gt;0"), L45) + (LN(1 + $Z46) ^ U$2) * U$3, 1))</f>
        <v/>
      </c>
      <c r="M46" s="24">
        <f t="shared" si="95"/>
        <v>756</v>
      </c>
      <c r="N46" s="24" t="str">
        <f t="shared" si="95"/>
        <v/>
      </c>
      <c r="O46" s="24">
        <f t="shared" si="95"/>
        <v>420</v>
      </c>
      <c r="P46" s="24">
        <f t="shared" ref="P46:S46" si="96">L46*$Y$2</f>
        <v>0</v>
      </c>
      <c r="Q46" s="24">
        <f t="shared" si="96"/>
        <v>189</v>
      </c>
      <c r="R46" s="24">
        <f t="shared" si="96"/>
        <v>0</v>
      </c>
      <c r="S46" s="24">
        <f t="shared" si="96"/>
        <v>105</v>
      </c>
      <c r="T46" s="24">
        <f t="shared" si="4"/>
        <v>6</v>
      </c>
      <c r="Z46" s="25">
        <f t="shared" si="12"/>
        <v>3.543341595</v>
      </c>
      <c r="AA46" s="26"/>
    </row>
    <row r="47">
      <c r="A47" s="16" t="s">
        <v>6</v>
      </c>
      <c r="B47" s="17">
        <v>46.0</v>
      </c>
      <c r="C47" s="24">
        <f t="shared" si="5"/>
        <v>1347.751169</v>
      </c>
      <c r="D47" s="25">
        <v>0.05</v>
      </c>
      <c r="E47" s="24">
        <f t="shared" si="6"/>
        <v>12.18927103</v>
      </c>
      <c r="F47" s="25">
        <v>0.02</v>
      </c>
      <c r="G47" s="24">
        <f t="shared" si="7"/>
        <v>898.5007793</v>
      </c>
      <c r="H47" s="25">
        <v>0.05</v>
      </c>
      <c r="I47" s="24">
        <f t="shared" si="8"/>
        <v>24.37854205</v>
      </c>
      <c r="J47" s="25">
        <v>0.02</v>
      </c>
      <c r="K47" s="25">
        <v>0.0</v>
      </c>
      <c r="L47" s="24" t="str">
        <f t="shared" ref="L47:O47" si="97">IF(L46="", "", 1 + MROUND(IFERROR(MINIFS(OFFSET(L46, -1, 0, -$B47, 1), OFFSET(L46, -1, 0, -$B47, 1), "&gt;0"), L46) + (LN(1 + $Z47) ^ U$2) * U$3, 1))</f>
        <v/>
      </c>
      <c r="M47" s="24">
        <f t="shared" si="97"/>
        <v>784</v>
      </c>
      <c r="N47" s="24" t="str">
        <f t="shared" si="97"/>
        <v/>
      </c>
      <c r="O47" s="24">
        <f t="shared" si="97"/>
        <v>435</v>
      </c>
      <c r="P47" s="24">
        <f t="shared" ref="P47:S47" si="98">L47*$Y$2</f>
        <v>0</v>
      </c>
      <c r="Q47" s="24">
        <f t="shared" si="98"/>
        <v>196</v>
      </c>
      <c r="R47" s="24">
        <f t="shared" si="98"/>
        <v>0</v>
      </c>
      <c r="S47" s="24">
        <f t="shared" si="98"/>
        <v>108.75</v>
      </c>
      <c r="T47" s="24">
        <f t="shared" si="4"/>
        <v>6</v>
      </c>
      <c r="Z47" s="25">
        <f t="shared" si="12"/>
        <v>3.702358551</v>
      </c>
      <c r="AA47" s="26"/>
    </row>
    <row r="48">
      <c r="A48" s="16" t="s">
        <v>6</v>
      </c>
      <c r="B48" s="17">
        <v>47.0</v>
      </c>
      <c r="C48" s="24">
        <f t="shared" si="5"/>
        <v>1415.138727</v>
      </c>
      <c r="D48" s="25">
        <v>0.05</v>
      </c>
      <c r="E48" s="24">
        <f t="shared" si="6"/>
        <v>12.43305645</v>
      </c>
      <c r="F48" s="25">
        <v>0.02</v>
      </c>
      <c r="G48" s="24">
        <f t="shared" si="7"/>
        <v>943.4258183</v>
      </c>
      <c r="H48" s="25">
        <v>0.05</v>
      </c>
      <c r="I48" s="24">
        <f t="shared" si="8"/>
        <v>24.86611289</v>
      </c>
      <c r="J48" s="25">
        <v>0.02</v>
      </c>
      <c r="K48" s="25">
        <v>0.0</v>
      </c>
      <c r="L48" s="24" t="str">
        <f t="shared" ref="L48:O48" si="99">IF(L47="", "", 1 + MROUND(IFERROR(MINIFS(OFFSET(L47, -1, 0, -$B48, 1), OFFSET(L47, -1, 0, -$B48, 1), "&gt;0"), L47) + (LN(1 + $Z48) ^ U$2) * U$3, 1))</f>
        <v/>
      </c>
      <c r="M48" s="24">
        <f t="shared" si="99"/>
        <v>813</v>
      </c>
      <c r="N48" s="24" t="str">
        <f t="shared" si="99"/>
        <v/>
      </c>
      <c r="O48" s="24">
        <f t="shared" si="99"/>
        <v>450</v>
      </c>
      <c r="P48" s="24">
        <f t="shared" ref="P48:S48" si="100">L48*$Y$2</f>
        <v>0</v>
      </c>
      <c r="Q48" s="24">
        <f t="shared" si="100"/>
        <v>203.25</v>
      </c>
      <c r="R48" s="24">
        <f t="shared" si="100"/>
        <v>0</v>
      </c>
      <c r="S48" s="24">
        <f t="shared" si="100"/>
        <v>112.5</v>
      </c>
      <c r="T48" s="24">
        <f t="shared" si="4"/>
        <v>6</v>
      </c>
      <c r="Z48" s="25">
        <f t="shared" si="12"/>
        <v>3.866941101</v>
      </c>
      <c r="AA48" s="26"/>
    </row>
    <row r="49">
      <c r="A49" s="16" t="s">
        <v>6</v>
      </c>
      <c r="B49" s="17">
        <v>48.0</v>
      </c>
      <c r="C49" s="24">
        <f t="shared" si="5"/>
        <v>1485.895664</v>
      </c>
      <c r="D49" s="25">
        <v>0.05</v>
      </c>
      <c r="E49" s="24">
        <f t="shared" si="6"/>
        <v>12.68171758</v>
      </c>
      <c r="F49" s="25">
        <v>0.02</v>
      </c>
      <c r="G49" s="24">
        <f t="shared" si="7"/>
        <v>990.5971092</v>
      </c>
      <c r="H49" s="25">
        <v>0.05</v>
      </c>
      <c r="I49" s="24">
        <f t="shared" si="8"/>
        <v>25.36343515</v>
      </c>
      <c r="J49" s="25">
        <v>0.02</v>
      </c>
      <c r="K49" s="25">
        <v>0.0</v>
      </c>
      <c r="L49" s="24" t="str">
        <f t="shared" ref="L49:O49" si="101">IF(L48="", "", 1 + MROUND(IFERROR(MINIFS(OFFSET(L48, -1, 0, -$B49, 1), OFFSET(L48, -1, 0, -$B49, 1), "&gt;0"), L48) + (LN(1 + $Z49) ^ U$2) * U$3, 1))</f>
        <v/>
      </c>
      <c r="M49" s="24">
        <f t="shared" si="101"/>
        <v>842</v>
      </c>
      <c r="N49" s="24" t="str">
        <f t="shared" si="101"/>
        <v/>
      </c>
      <c r="O49" s="24">
        <f t="shared" si="101"/>
        <v>465</v>
      </c>
      <c r="P49" s="24">
        <f t="shared" ref="P49:S49" si="102">L49*$Y$2</f>
        <v>0</v>
      </c>
      <c r="Q49" s="24">
        <f t="shared" si="102"/>
        <v>210.5</v>
      </c>
      <c r="R49" s="24">
        <f t="shared" si="102"/>
        <v>0</v>
      </c>
      <c r="S49" s="24">
        <f t="shared" si="102"/>
        <v>116.25</v>
      </c>
      <c r="T49" s="24">
        <f t="shared" si="4"/>
        <v>6</v>
      </c>
      <c r="Z49" s="25">
        <f t="shared" si="12"/>
        <v>4.037284039</v>
      </c>
      <c r="AA49" s="26"/>
    </row>
    <row r="50">
      <c r="A50" s="16" t="s">
        <v>6</v>
      </c>
      <c r="B50" s="17">
        <v>49.0</v>
      </c>
      <c r="C50" s="24">
        <f t="shared" si="5"/>
        <v>1560.190447</v>
      </c>
      <c r="D50" s="25">
        <v>0.05</v>
      </c>
      <c r="E50" s="24">
        <f t="shared" si="6"/>
        <v>12.93535193</v>
      </c>
      <c r="F50" s="25">
        <v>0.02</v>
      </c>
      <c r="G50" s="24">
        <f t="shared" si="7"/>
        <v>1040.126965</v>
      </c>
      <c r="H50" s="25">
        <v>0.05</v>
      </c>
      <c r="I50" s="24">
        <f t="shared" si="8"/>
        <v>25.87070385</v>
      </c>
      <c r="J50" s="25">
        <v>0.02</v>
      </c>
      <c r="K50" s="25">
        <v>0.0</v>
      </c>
      <c r="L50" s="24" t="str">
        <f t="shared" ref="L50:O50" si="103">IF(L49="", "", 1 + MROUND(IFERROR(MINIFS(OFFSET(L49, -1, 0, -$B50, 1), OFFSET(L49, -1, 0, -$B50, 1), "&gt;0"), L49) + (LN(1 + $Z50) ^ U$2) * U$3, 1))</f>
        <v/>
      </c>
      <c r="M50" s="24">
        <f t="shared" si="103"/>
        <v>871</v>
      </c>
      <c r="N50" s="24" t="str">
        <f t="shared" si="103"/>
        <v/>
      </c>
      <c r="O50" s="24">
        <f t="shared" si="103"/>
        <v>480</v>
      </c>
      <c r="P50" s="24">
        <f t="shared" ref="P50:S50" si="104">L50*$Y$2</f>
        <v>0</v>
      </c>
      <c r="Q50" s="24">
        <f t="shared" si="104"/>
        <v>217.75</v>
      </c>
      <c r="R50" s="24">
        <f t="shared" si="104"/>
        <v>0</v>
      </c>
      <c r="S50" s="24">
        <f t="shared" si="104"/>
        <v>120</v>
      </c>
      <c r="T50" s="24">
        <f t="shared" si="4"/>
        <v>6</v>
      </c>
      <c r="Z50" s="25">
        <f t="shared" si="12"/>
        <v>4.213588981</v>
      </c>
      <c r="AA50" s="26"/>
    </row>
    <row r="51">
      <c r="A51" s="16" t="s">
        <v>6</v>
      </c>
      <c r="B51" s="17">
        <v>50.0</v>
      </c>
      <c r="C51" s="24">
        <f t="shared" si="5"/>
        <v>1638.199969</v>
      </c>
      <c r="D51" s="25">
        <v>0.05</v>
      </c>
      <c r="E51" s="24">
        <f t="shared" si="6"/>
        <v>13.19405897</v>
      </c>
      <c r="F51" s="25">
        <v>0.02</v>
      </c>
      <c r="G51" s="24">
        <f t="shared" si="7"/>
        <v>1092.133313</v>
      </c>
      <c r="H51" s="25">
        <v>0.05</v>
      </c>
      <c r="I51" s="24">
        <f t="shared" si="8"/>
        <v>26.38811793</v>
      </c>
      <c r="J51" s="25">
        <v>0.02</v>
      </c>
      <c r="K51" s="25">
        <v>0.0</v>
      </c>
      <c r="L51" s="24" t="str">
        <f t="shared" ref="L51:O51" si="105">IF(L50="", "", 1 + MROUND(IFERROR(MINIFS(OFFSET(L50, -1, 0, -$B51, 1), OFFSET(L50, -1, 0, -$B51, 1), "&gt;0"), L50) + (LN(1 + $Z51) ^ U$2) * U$3, 1))</f>
        <v/>
      </c>
      <c r="M51" s="24">
        <f t="shared" si="105"/>
        <v>901</v>
      </c>
      <c r="N51" s="24" t="str">
        <f t="shared" si="105"/>
        <v/>
      </c>
      <c r="O51" s="24">
        <f t="shared" si="105"/>
        <v>495</v>
      </c>
      <c r="P51" s="24">
        <f t="shared" ref="P51:S51" si="106">L51*$Y$2</f>
        <v>0</v>
      </c>
      <c r="Q51" s="24">
        <f t="shared" si="106"/>
        <v>225.25</v>
      </c>
      <c r="R51" s="24">
        <f t="shared" si="106"/>
        <v>0</v>
      </c>
      <c r="S51" s="24">
        <f t="shared" si="106"/>
        <v>123.75</v>
      </c>
      <c r="T51" s="24">
        <f t="shared" si="4"/>
        <v>6</v>
      </c>
      <c r="Z51" s="25">
        <f t="shared" si="12"/>
        <v>4.396064595</v>
      </c>
      <c r="AA51" s="26"/>
    </row>
    <row r="52">
      <c r="A52" s="16" t="s">
        <v>6</v>
      </c>
      <c r="B52" s="17">
        <v>51.0</v>
      </c>
      <c r="C52" s="24">
        <f t="shared" si="5"/>
        <v>1720.109968</v>
      </c>
      <c r="D52" s="25">
        <v>0.05</v>
      </c>
      <c r="E52" s="24">
        <f t="shared" si="6"/>
        <v>13.45794015</v>
      </c>
      <c r="F52" s="25">
        <v>0.02</v>
      </c>
      <c r="G52" s="24">
        <f t="shared" si="7"/>
        <v>1146.739979</v>
      </c>
      <c r="H52" s="25">
        <v>0.05</v>
      </c>
      <c r="I52" s="24">
        <f t="shared" si="8"/>
        <v>26.91588029</v>
      </c>
      <c r="J52" s="25">
        <v>0.02</v>
      </c>
      <c r="K52" s="25">
        <v>0.0</v>
      </c>
      <c r="L52" s="24" t="str">
        <f t="shared" ref="L52:O52" si="107">IF(L51="", "", 1 + MROUND(IFERROR(MINIFS(OFFSET(L51, -1, 0, -$B52, 1), OFFSET(L51, -1, 0, -$B52, 1), "&gt;0"), L51) + (LN(1 + $Z52) ^ U$2) * U$3, 1))</f>
        <v/>
      </c>
      <c r="M52" s="24">
        <f t="shared" si="107"/>
        <v>931</v>
      </c>
      <c r="N52" s="24" t="str">
        <f t="shared" si="107"/>
        <v/>
      </c>
      <c r="O52" s="24">
        <f t="shared" si="107"/>
        <v>511</v>
      </c>
      <c r="P52" s="24">
        <f t="shared" ref="P52:S52" si="108">L52*$Y$2</f>
        <v>0</v>
      </c>
      <c r="Q52" s="24">
        <f t="shared" si="108"/>
        <v>232.75</v>
      </c>
      <c r="R52" s="24">
        <f t="shared" si="108"/>
        <v>0</v>
      </c>
      <c r="S52" s="24">
        <f t="shared" si="108"/>
        <v>127.75</v>
      </c>
      <c r="T52" s="24">
        <f t="shared" si="4"/>
        <v>6</v>
      </c>
      <c r="Z52" s="25">
        <f t="shared" si="12"/>
        <v>4.584926856</v>
      </c>
      <c r="AA52" s="26"/>
    </row>
    <row r="53">
      <c r="A53" s="16" t="s">
        <v>6</v>
      </c>
      <c r="B53" s="17">
        <v>52.0</v>
      </c>
      <c r="C53" s="24">
        <f t="shared" si="5"/>
        <v>1806.115466</v>
      </c>
      <c r="D53" s="25">
        <v>0.05</v>
      </c>
      <c r="E53" s="24">
        <f t="shared" si="6"/>
        <v>13.72709895</v>
      </c>
      <c r="F53" s="25">
        <v>0.02</v>
      </c>
      <c r="G53" s="24">
        <f t="shared" si="7"/>
        <v>1204.076978</v>
      </c>
      <c r="H53" s="25">
        <v>0.05</v>
      </c>
      <c r="I53" s="24">
        <f t="shared" si="8"/>
        <v>27.4541979</v>
      </c>
      <c r="J53" s="25">
        <v>0.02</v>
      </c>
      <c r="K53" s="25">
        <v>0.0</v>
      </c>
      <c r="L53" s="24" t="str">
        <f t="shared" ref="L53:O53" si="109">IF(L52="", "", 1 + MROUND(IFERROR(MINIFS(OFFSET(L52, -1, 0, -$B53, 1), OFFSET(L52, -1, 0, -$B53, 1), "&gt;0"), L52) + (LN(1 + $Z53) ^ U$2) * U$3, 1))</f>
        <v/>
      </c>
      <c r="M53" s="24">
        <f t="shared" si="109"/>
        <v>962</v>
      </c>
      <c r="N53" s="24" t="str">
        <f t="shared" si="109"/>
        <v/>
      </c>
      <c r="O53" s="24">
        <f t="shared" si="109"/>
        <v>527</v>
      </c>
      <c r="P53" s="24">
        <f t="shared" ref="P53:S53" si="110">L53*$Y$2</f>
        <v>0</v>
      </c>
      <c r="Q53" s="24">
        <f t="shared" si="110"/>
        <v>240.5</v>
      </c>
      <c r="R53" s="24">
        <f t="shared" si="110"/>
        <v>0</v>
      </c>
      <c r="S53" s="24">
        <f t="shared" si="110"/>
        <v>131.75</v>
      </c>
      <c r="T53" s="24">
        <f t="shared" si="4"/>
        <v>6</v>
      </c>
      <c r="Z53" s="25">
        <f t="shared" si="12"/>
        <v>4.780399296</v>
      </c>
      <c r="AA53" s="26"/>
    </row>
    <row r="54">
      <c r="A54" s="16" t="s">
        <v>6</v>
      </c>
      <c r="B54" s="17">
        <v>53.0</v>
      </c>
      <c r="C54" s="24">
        <f t="shared" si="5"/>
        <v>1896.42124</v>
      </c>
      <c r="D54" s="25">
        <v>0.05</v>
      </c>
      <c r="E54" s="24">
        <f t="shared" si="6"/>
        <v>14.00164093</v>
      </c>
      <c r="F54" s="25">
        <v>0.02</v>
      </c>
      <c r="G54" s="24">
        <f t="shared" si="7"/>
        <v>1264.280826</v>
      </c>
      <c r="H54" s="25">
        <v>0.05</v>
      </c>
      <c r="I54" s="24">
        <f t="shared" si="8"/>
        <v>28.00328185</v>
      </c>
      <c r="J54" s="25">
        <v>0.02</v>
      </c>
      <c r="K54" s="25">
        <v>0.0</v>
      </c>
      <c r="L54" s="24" t="str">
        <f t="shared" ref="L54:O54" si="111">IF(L53="", "", 1 + MROUND(IFERROR(MINIFS(OFFSET(L53, -1, 0, -$B54, 1), OFFSET(L53, -1, 0, -$B54, 1), "&gt;0"), L53) + (LN(1 + $Z54) ^ U$2) * U$3, 1))</f>
        <v/>
      </c>
      <c r="M54" s="24">
        <f t="shared" si="111"/>
        <v>993</v>
      </c>
      <c r="N54" s="24" t="str">
        <f t="shared" si="111"/>
        <v/>
      </c>
      <c r="O54" s="24">
        <f t="shared" si="111"/>
        <v>543</v>
      </c>
      <c r="P54" s="24">
        <f t="shared" ref="P54:S54" si="112">L54*$Y$2</f>
        <v>0</v>
      </c>
      <c r="Q54" s="24">
        <f t="shared" si="112"/>
        <v>248.25</v>
      </c>
      <c r="R54" s="24">
        <f t="shared" si="112"/>
        <v>0</v>
      </c>
      <c r="S54" s="24">
        <f t="shared" si="112"/>
        <v>135.75</v>
      </c>
      <c r="T54" s="24">
        <f t="shared" si="4"/>
        <v>6</v>
      </c>
      <c r="Z54" s="25">
        <f t="shared" si="12"/>
        <v>4.982713271</v>
      </c>
      <c r="AA54" s="26"/>
    </row>
    <row r="55">
      <c r="A55" s="16" t="s">
        <v>6</v>
      </c>
      <c r="B55" s="17">
        <v>54.0</v>
      </c>
      <c r="C55" s="24">
        <f t="shared" si="5"/>
        <v>1991.242302</v>
      </c>
      <c r="D55" s="25">
        <v>0.05</v>
      </c>
      <c r="E55" s="24">
        <f t="shared" si="6"/>
        <v>14.28167375</v>
      </c>
      <c r="F55" s="25">
        <v>0.02</v>
      </c>
      <c r="G55" s="24">
        <f t="shared" si="7"/>
        <v>1327.494868</v>
      </c>
      <c r="H55" s="25">
        <v>0.05</v>
      </c>
      <c r="I55" s="24">
        <f t="shared" si="8"/>
        <v>28.56334749</v>
      </c>
      <c r="J55" s="25">
        <v>0.02</v>
      </c>
      <c r="K55" s="25">
        <v>0.0</v>
      </c>
      <c r="L55" s="24" t="str">
        <f t="shared" ref="L55:O55" si="113">IF(L54="", "", 1 + MROUND(IFERROR(MINIFS(OFFSET(L54, -1, 0, -$B55, 1), OFFSET(L54, -1, 0, -$B55, 1), "&gt;0"), L54) + (LN(1 + $Z55) ^ U$2) * U$3, 1))</f>
        <v/>
      </c>
      <c r="M55" s="24">
        <f t="shared" si="113"/>
        <v>1024</v>
      </c>
      <c r="N55" s="24" t="str">
        <f t="shared" si="113"/>
        <v/>
      </c>
      <c r="O55" s="24">
        <f t="shared" si="113"/>
        <v>559</v>
      </c>
      <c r="P55" s="24">
        <f t="shared" ref="P55:S55" si="114">L55*$Y$2</f>
        <v>0</v>
      </c>
      <c r="Q55" s="24">
        <f t="shared" si="114"/>
        <v>256</v>
      </c>
      <c r="R55" s="24">
        <f t="shared" si="114"/>
        <v>0</v>
      </c>
      <c r="S55" s="24">
        <f t="shared" si="114"/>
        <v>139.75</v>
      </c>
      <c r="T55" s="24">
        <f t="shared" si="4"/>
        <v>6</v>
      </c>
      <c r="Z55" s="25">
        <f t="shared" si="12"/>
        <v>5.192108235</v>
      </c>
      <c r="AA55" s="26"/>
    </row>
    <row r="56">
      <c r="A56" s="16" t="s">
        <v>6</v>
      </c>
      <c r="B56" s="17">
        <v>55.0</v>
      </c>
      <c r="C56" s="24">
        <f t="shared" si="5"/>
        <v>2090.804417</v>
      </c>
      <c r="D56" s="25">
        <v>0.05</v>
      </c>
      <c r="E56" s="24">
        <f t="shared" si="6"/>
        <v>14.56730722</v>
      </c>
      <c r="F56" s="25">
        <v>0.02</v>
      </c>
      <c r="G56" s="24">
        <f t="shared" si="7"/>
        <v>1393.869611</v>
      </c>
      <c r="H56" s="25">
        <v>0.05</v>
      </c>
      <c r="I56" s="24">
        <f t="shared" si="8"/>
        <v>29.13461444</v>
      </c>
      <c r="J56" s="25">
        <v>0.02</v>
      </c>
      <c r="K56" s="25">
        <v>0.0</v>
      </c>
      <c r="L56" s="24" t="str">
        <f t="shared" ref="L56:O56" si="115">IF(L55="", "", 1 + MROUND(IFERROR(MINIFS(OFFSET(L55, -1, 0, -$B56, 1), OFFSET(L55, -1, 0, -$B56, 1), "&gt;0"), L55) + (LN(1 + $Z56) ^ U$2) * U$3, 1))</f>
        <v/>
      </c>
      <c r="M56" s="24">
        <f t="shared" si="115"/>
        <v>1056</v>
      </c>
      <c r="N56" s="24" t="str">
        <f t="shared" si="115"/>
        <v/>
      </c>
      <c r="O56" s="24">
        <f t="shared" si="115"/>
        <v>575</v>
      </c>
      <c r="P56" s="24">
        <f t="shared" ref="P56:S56" si="116">L56*$Y$2</f>
        <v>0</v>
      </c>
      <c r="Q56" s="24">
        <f t="shared" si="116"/>
        <v>264</v>
      </c>
      <c r="R56" s="24">
        <f t="shared" si="116"/>
        <v>0</v>
      </c>
      <c r="S56" s="24">
        <f t="shared" si="116"/>
        <v>143.75</v>
      </c>
      <c r="T56" s="24">
        <f t="shared" si="4"/>
        <v>7</v>
      </c>
      <c r="Z56" s="25">
        <f t="shared" si="12"/>
        <v>5.408832024</v>
      </c>
      <c r="AA56" s="26"/>
    </row>
    <row r="57">
      <c r="A57" s="16" t="s">
        <v>6</v>
      </c>
      <c r="B57" s="17">
        <v>56.0</v>
      </c>
      <c r="C57" s="24">
        <f t="shared" si="5"/>
        <v>2195.344637</v>
      </c>
      <c r="D57" s="25">
        <v>0.05</v>
      </c>
      <c r="E57" s="24">
        <f t="shared" si="6"/>
        <v>14.85865337</v>
      </c>
      <c r="F57" s="25">
        <v>0.02</v>
      </c>
      <c r="G57" s="24">
        <f t="shared" si="7"/>
        <v>1463.563092</v>
      </c>
      <c r="H57" s="25">
        <v>0.05</v>
      </c>
      <c r="I57" s="24">
        <f t="shared" si="8"/>
        <v>29.71730673</v>
      </c>
      <c r="J57" s="25">
        <v>0.02</v>
      </c>
      <c r="K57" s="25">
        <v>0.0</v>
      </c>
      <c r="L57" s="24" t="str">
        <f t="shared" ref="L57:O57" si="117">IF(L56="", "", 1 + MROUND(IFERROR(MINIFS(OFFSET(L56, -1, 0, -$B57, 1), OFFSET(L56, -1, 0, -$B57, 1), "&gt;0"), L56) + (LN(1 + $Z57) ^ U$2) * U$3, 1))</f>
        <v/>
      </c>
      <c r="M57" s="24">
        <f t="shared" si="117"/>
        <v>1088</v>
      </c>
      <c r="N57" s="24" t="str">
        <f t="shared" si="117"/>
        <v/>
      </c>
      <c r="O57" s="24">
        <f t="shared" si="117"/>
        <v>592</v>
      </c>
      <c r="P57" s="24">
        <f t="shared" ref="P57:S57" si="118">L57*$Y$2</f>
        <v>0</v>
      </c>
      <c r="Q57" s="24">
        <f t="shared" si="118"/>
        <v>272</v>
      </c>
      <c r="R57" s="24">
        <f t="shared" si="118"/>
        <v>0</v>
      </c>
      <c r="S57" s="24">
        <f t="shared" si="118"/>
        <v>148</v>
      </c>
      <c r="T57" s="24">
        <f t="shared" si="4"/>
        <v>7</v>
      </c>
      <c r="Z57" s="25">
        <f t="shared" si="12"/>
        <v>5.633141145</v>
      </c>
      <c r="AA57" s="26"/>
    </row>
    <row r="58">
      <c r="A58" s="16" t="s">
        <v>6</v>
      </c>
      <c r="B58" s="17">
        <v>57.0</v>
      </c>
      <c r="C58" s="24">
        <f t="shared" si="5"/>
        <v>2305.111869</v>
      </c>
      <c r="D58" s="25">
        <v>0.05</v>
      </c>
      <c r="E58" s="24">
        <f t="shared" si="6"/>
        <v>15.15582643</v>
      </c>
      <c r="F58" s="25">
        <v>0.02</v>
      </c>
      <c r="G58" s="24">
        <f t="shared" si="7"/>
        <v>1536.741246</v>
      </c>
      <c r="H58" s="25">
        <v>0.05</v>
      </c>
      <c r="I58" s="24">
        <f t="shared" si="8"/>
        <v>30.31165286</v>
      </c>
      <c r="J58" s="25">
        <v>0.02</v>
      </c>
      <c r="K58" s="25">
        <v>0.0</v>
      </c>
      <c r="L58" s="24" t="str">
        <f t="shared" ref="L58:O58" si="119">IF(L57="", "", 1 + MROUND(IFERROR(MINIFS(OFFSET(L57, -1, 0, -$B58, 1), OFFSET(L57, -1, 0, -$B58, 1), "&gt;0"), L57) + (LN(1 + $Z58) ^ U$2) * U$3, 1))</f>
        <v/>
      </c>
      <c r="M58" s="24">
        <f t="shared" si="119"/>
        <v>1121</v>
      </c>
      <c r="N58" s="24" t="str">
        <f t="shared" si="119"/>
        <v/>
      </c>
      <c r="O58" s="24">
        <f t="shared" si="119"/>
        <v>609</v>
      </c>
      <c r="P58" s="24">
        <f t="shared" ref="P58:S58" si="120">L58*$Y$2</f>
        <v>0</v>
      </c>
      <c r="Q58" s="24">
        <f t="shared" si="120"/>
        <v>280.25</v>
      </c>
      <c r="R58" s="24">
        <f t="shared" si="120"/>
        <v>0</v>
      </c>
      <c r="S58" s="24">
        <f t="shared" si="120"/>
        <v>152.25</v>
      </c>
      <c r="T58" s="24">
        <f t="shared" si="4"/>
        <v>7</v>
      </c>
      <c r="Z58" s="25">
        <f t="shared" si="12"/>
        <v>5.865301085</v>
      </c>
      <c r="AA58" s="26"/>
    </row>
    <row r="59">
      <c r="A59" s="16" t="s">
        <v>6</v>
      </c>
      <c r="B59" s="17">
        <v>58.0</v>
      </c>
      <c r="C59" s="24">
        <f t="shared" si="5"/>
        <v>2420.367463</v>
      </c>
      <c r="D59" s="25">
        <v>0.05</v>
      </c>
      <c r="E59" s="24">
        <f t="shared" si="6"/>
        <v>15.45894296</v>
      </c>
      <c r="F59" s="25">
        <v>0.02</v>
      </c>
      <c r="G59" s="24">
        <f t="shared" si="7"/>
        <v>1613.578309</v>
      </c>
      <c r="H59" s="25">
        <v>0.05</v>
      </c>
      <c r="I59" s="24">
        <f t="shared" si="8"/>
        <v>30.91788592</v>
      </c>
      <c r="J59" s="25">
        <v>0.02</v>
      </c>
      <c r="K59" s="25">
        <v>0.0</v>
      </c>
      <c r="L59" s="24" t="str">
        <f t="shared" ref="L59:O59" si="121">IF(L58="", "", 1 + MROUND(IFERROR(MINIFS(OFFSET(L58, -1, 0, -$B59, 1), OFFSET(L58, -1, 0, -$B59, 1), "&gt;0"), L58) + (LN(1 + $Z59) ^ U$2) * U$3, 1))</f>
        <v/>
      </c>
      <c r="M59" s="24">
        <f t="shared" si="121"/>
        <v>1154</v>
      </c>
      <c r="N59" s="24" t="str">
        <f t="shared" si="121"/>
        <v/>
      </c>
      <c r="O59" s="24">
        <f t="shared" si="121"/>
        <v>626</v>
      </c>
      <c r="P59" s="24">
        <f t="shared" ref="P59:S59" si="122">L59*$Y$2</f>
        <v>0</v>
      </c>
      <c r="Q59" s="24">
        <f t="shared" si="122"/>
        <v>288.5</v>
      </c>
      <c r="R59" s="24">
        <f t="shared" si="122"/>
        <v>0</v>
      </c>
      <c r="S59" s="24">
        <f t="shared" si="122"/>
        <v>156.5</v>
      </c>
      <c r="T59" s="24">
        <f t="shared" si="4"/>
        <v>7</v>
      </c>
      <c r="Z59" s="25">
        <f t="shared" si="12"/>
        <v>6.105586623</v>
      </c>
      <c r="AA59" s="26"/>
    </row>
    <row r="60">
      <c r="A60" s="16" t="s">
        <v>6</v>
      </c>
      <c r="B60" s="17">
        <v>59.0</v>
      </c>
      <c r="C60" s="24">
        <f t="shared" si="5"/>
        <v>2541.385836</v>
      </c>
      <c r="D60" s="25">
        <v>0.05</v>
      </c>
      <c r="E60" s="24">
        <f t="shared" si="6"/>
        <v>15.76812182</v>
      </c>
      <c r="F60" s="25">
        <v>0.02</v>
      </c>
      <c r="G60" s="24">
        <f t="shared" si="7"/>
        <v>1694.257224</v>
      </c>
      <c r="H60" s="25">
        <v>0.05</v>
      </c>
      <c r="I60" s="24">
        <f t="shared" si="8"/>
        <v>31.53624364</v>
      </c>
      <c r="J60" s="25">
        <v>0.02</v>
      </c>
      <c r="K60" s="25">
        <v>0.0</v>
      </c>
      <c r="L60" s="24" t="str">
        <f t="shared" ref="L60:O60" si="123">IF(L59="", "", 1 + MROUND(IFERROR(MINIFS(OFFSET(L59, -1, 0, -$B60, 1), OFFSET(L59, -1, 0, -$B60, 1), "&gt;0"), L59) + (LN(1 + $Z60) ^ U$2) * U$3, 1))</f>
        <v/>
      </c>
      <c r="M60" s="24">
        <f t="shared" si="123"/>
        <v>1187</v>
      </c>
      <c r="N60" s="24" t="str">
        <f t="shared" si="123"/>
        <v/>
      </c>
      <c r="O60" s="24">
        <f t="shared" si="123"/>
        <v>643</v>
      </c>
      <c r="P60" s="24">
        <f t="shared" ref="P60:S60" si="124">L60*$Y$2</f>
        <v>0</v>
      </c>
      <c r="Q60" s="24">
        <f t="shared" si="124"/>
        <v>296.75</v>
      </c>
      <c r="R60" s="24">
        <f t="shared" si="124"/>
        <v>0</v>
      </c>
      <c r="S60" s="24">
        <f t="shared" si="124"/>
        <v>160.75</v>
      </c>
      <c r="T60" s="24">
        <f t="shared" si="4"/>
        <v>7</v>
      </c>
      <c r="Z60" s="25">
        <f t="shared" si="12"/>
        <v>6.354282154</v>
      </c>
      <c r="AA60" s="26"/>
    </row>
    <row r="61">
      <c r="A61" s="16" t="s">
        <v>6</v>
      </c>
      <c r="B61" s="17">
        <v>60.0</v>
      </c>
      <c r="C61" s="24">
        <f t="shared" si="5"/>
        <v>2668.455128</v>
      </c>
      <c r="D61" s="25">
        <v>0.05</v>
      </c>
      <c r="E61" s="24">
        <f t="shared" si="6"/>
        <v>16.08348426</v>
      </c>
      <c r="F61" s="25">
        <v>0.02</v>
      </c>
      <c r="G61" s="24">
        <f t="shared" si="7"/>
        <v>1778.970085</v>
      </c>
      <c r="H61" s="25">
        <v>0.05</v>
      </c>
      <c r="I61" s="24">
        <f t="shared" si="8"/>
        <v>32.16696851</v>
      </c>
      <c r="J61" s="25">
        <v>0.02</v>
      </c>
      <c r="K61" s="25">
        <v>0.0</v>
      </c>
      <c r="L61" s="24" t="str">
        <f t="shared" ref="L61:O61" si="125">IF(L60="", "", 1 + MROUND(IFERROR(MINIFS(OFFSET(L60, -1, 0, -$B61, 1), OFFSET(L60, -1, 0, -$B61, 1), "&gt;0"), L60) + (LN(1 + $Z61) ^ U$2) * U$3, 1))</f>
        <v/>
      </c>
      <c r="M61" s="24">
        <f t="shared" si="125"/>
        <v>1221</v>
      </c>
      <c r="N61" s="24" t="str">
        <f t="shared" si="125"/>
        <v/>
      </c>
      <c r="O61" s="24">
        <f t="shared" si="125"/>
        <v>660</v>
      </c>
      <c r="P61" s="24">
        <f t="shared" ref="P61:S61" si="126">L61*$Y$2</f>
        <v>0</v>
      </c>
      <c r="Q61" s="24">
        <f t="shared" si="126"/>
        <v>305.25</v>
      </c>
      <c r="R61" s="24">
        <f t="shared" si="126"/>
        <v>0</v>
      </c>
      <c r="S61" s="24">
        <f t="shared" si="126"/>
        <v>165</v>
      </c>
      <c r="T61" s="24">
        <f t="shared" si="4"/>
        <v>7</v>
      </c>
      <c r="Z61" s="25">
        <f t="shared" si="12"/>
        <v>6.61168203</v>
      </c>
      <c r="AA61" s="26"/>
    </row>
    <row r="62">
      <c r="A62" s="16" t="s">
        <v>6</v>
      </c>
      <c r="B62" s="17">
        <v>61.0</v>
      </c>
      <c r="C62" s="24">
        <f t="shared" si="5"/>
        <v>2801.877884</v>
      </c>
      <c r="D62" s="25">
        <v>0.05</v>
      </c>
      <c r="E62" s="24">
        <f t="shared" si="6"/>
        <v>16.40515394</v>
      </c>
      <c r="F62" s="25">
        <v>0.02</v>
      </c>
      <c r="G62" s="24">
        <f t="shared" si="7"/>
        <v>1867.918589</v>
      </c>
      <c r="H62" s="25">
        <v>0.05</v>
      </c>
      <c r="I62" s="24">
        <f t="shared" si="8"/>
        <v>32.81030788</v>
      </c>
      <c r="J62" s="25">
        <v>0.02</v>
      </c>
      <c r="K62" s="25">
        <v>0.0</v>
      </c>
      <c r="L62" s="24" t="str">
        <f t="shared" ref="L62:O62" si="127">IF(L61="", "", 1 + MROUND(IFERROR(MINIFS(OFFSET(L61, -1, 0, -$B62, 1), OFFSET(L61, -1, 0, -$B62, 1), "&gt;0"), L61) + (LN(1 + $Z62) ^ U$2) * U$3, 1))</f>
        <v/>
      </c>
      <c r="M62" s="24">
        <f t="shared" si="127"/>
        <v>1255</v>
      </c>
      <c r="N62" s="24" t="str">
        <f t="shared" si="127"/>
        <v/>
      </c>
      <c r="O62" s="24">
        <f t="shared" si="127"/>
        <v>678</v>
      </c>
      <c r="P62" s="24">
        <f t="shared" ref="P62:S62" si="128">L62*$Y$2</f>
        <v>0</v>
      </c>
      <c r="Q62" s="24">
        <f t="shared" si="128"/>
        <v>313.75</v>
      </c>
      <c r="R62" s="24">
        <f t="shared" si="128"/>
        <v>0</v>
      </c>
      <c r="S62" s="24">
        <f t="shared" si="128"/>
        <v>169.5</v>
      </c>
      <c r="T62" s="24">
        <f t="shared" si="4"/>
        <v>7</v>
      </c>
      <c r="Z62" s="25">
        <f t="shared" si="12"/>
        <v>6.878090901</v>
      </c>
      <c r="AA62" s="26"/>
    </row>
    <row r="63">
      <c r="A63" s="16" t="s">
        <v>6</v>
      </c>
      <c r="B63" s="17">
        <v>62.0</v>
      </c>
      <c r="C63" s="24">
        <f t="shared" si="5"/>
        <v>2941.971778</v>
      </c>
      <c r="D63" s="25">
        <v>0.05</v>
      </c>
      <c r="E63" s="24">
        <f t="shared" si="6"/>
        <v>16.73325702</v>
      </c>
      <c r="F63" s="25">
        <v>0.02</v>
      </c>
      <c r="G63" s="24">
        <f t="shared" si="7"/>
        <v>1961.314519</v>
      </c>
      <c r="H63" s="25">
        <v>0.05</v>
      </c>
      <c r="I63" s="24">
        <f t="shared" si="8"/>
        <v>33.46651404</v>
      </c>
      <c r="J63" s="25">
        <v>0.02</v>
      </c>
      <c r="K63" s="25">
        <v>0.0</v>
      </c>
      <c r="L63" s="24" t="str">
        <f t="shared" ref="L63:O63" si="129">IF(L62="", "", 1 + MROUND(IFERROR(MINIFS(OFFSET(L62, -1, 0, -$B63, 1), OFFSET(L62, -1, 0, -$B63, 1), "&gt;0"), L62) + (LN(1 + $Z63) ^ U$2) * U$3, 1))</f>
        <v/>
      </c>
      <c r="M63" s="24">
        <f t="shared" si="129"/>
        <v>1290</v>
      </c>
      <c r="N63" s="24" t="str">
        <f t="shared" si="129"/>
        <v/>
      </c>
      <c r="O63" s="24">
        <f t="shared" si="129"/>
        <v>696</v>
      </c>
      <c r="P63" s="24">
        <f t="shared" ref="P63:S63" si="130">L63*$Y$2</f>
        <v>0</v>
      </c>
      <c r="Q63" s="24">
        <f t="shared" si="130"/>
        <v>322.5</v>
      </c>
      <c r="R63" s="24">
        <f t="shared" si="130"/>
        <v>0</v>
      </c>
      <c r="S63" s="24">
        <f t="shared" si="130"/>
        <v>174</v>
      </c>
      <c r="T63" s="24">
        <f t="shared" si="4"/>
        <v>7</v>
      </c>
      <c r="Z63" s="25">
        <f t="shared" si="12"/>
        <v>7.153824082</v>
      </c>
      <c r="AA63" s="26"/>
    </row>
    <row r="64">
      <c r="A64" s="16" t="s">
        <v>6</v>
      </c>
      <c r="B64" s="17">
        <v>63.0</v>
      </c>
      <c r="C64" s="24">
        <f t="shared" si="5"/>
        <v>3089.070367</v>
      </c>
      <c r="D64" s="25">
        <v>0.05</v>
      </c>
      <c r="E64" s="24">
        <f t="shared" si="6"/>
        <v>17.06792216</v>
      </c>
      <c r="F64" s="25">
        <v>0.02</v>
      </c>
      <c r="G64" s="24">
        <f t="shared" si="7"/>
        <v>2059.380245</v>
      </c>
      <c r="H64" s="25">
        <v>0.05</v>
      </c>
      <c r="I64" s="24">
        <f t="shared" si="8"/>
        <v>34.13584432</v>
      </c>
      <c r="J64" s="25">
        <v>0.02</v>
      </c>
      <c r="K64" s="25">
        <v>0.0</v>
      </c>
      <c r="L64" s="24" t="str">
        <f t="shared" ref="L64:O64" si="131">IF(L63="", "", 1 + MROUND(IFERROR(MINIFS(OFFSET(L63, -1, 0, -$B64, 1), OFFSET(L63, -1, 0, -$B64, 1), "&gt;0"), L63) + (LN(1 + $Z64) ^ U$2) * U$3, 1))</f>
        <v/>
      </c>
      <c r="M64" s="24">
        <f t="shared" si="131"/>
        <v>1325</v>
      </c>
      <c r="N64" s="24" t="str">
        <f t="shared" si="131"/>
        <v/>
      </c>
      <c r="O64" s="24">
        <f t="shared" si="131"/>
        <v>714</v>
      </c>
      <c r="P64" s="24">
        <f t="shared" ref="P64:S64" si="132">L64*$Y$2</f>
        <v>0</v>
      </c>
      <c r="Q64" s="24">
        <f t="shared" si="132"/>
        <v>331.25</v>
      </c>
      <c r="R64" s="24">
        <f t="shared" si="132"/>
        <v>0</v>
      </c>
      <c r="S64" s="24">
        <f t="shared" si="132"/>
        <v>178.5</v>
      </c>
      <c r="T64" s="24">
        <f t="shared" si="4"/>
        <v>7</v>
      </c>
      <c r="Z64" s="25">
        <f t="shared" si="12"/>
        <v>7.439207925</v>
      </c>
      <c r="AA64" s="26"/>
    </row>
    <row r="65">
      <c r="A65" s="16" t="s">
        <v>6</v>
      </c>
      <c r="B65" s="17">
        <v>64.0</v>
      </c>
      <c r="C65" s="24">
        <f t="shared" si="5"/>
        <v>3243.523886</v>
      </c>
      <c r="D65" s="25">
        <v>0.05</v>
      </c>
      <c r="E65" s="24">
        <f t="shared" si="6"/>
        <v>17.4092806</v>
      </c>
      <c r="F65" s="25">
        <v>0.02</v>
      </c>
      <c r="G65" s="24">
        <f t="shared" si="7"/>
        <v>2162.349257</v>
      </c>
      <c r="H65" s="25">
        <v>0.05</v>
      </c>
      <c r="I65" s="24">
        <f t="shared" si="8"/>
        <v>34.81856121</v>
      </c>
      <c r="J65" s="25">
        <v>0.02</v>
      </c>
      <c r="K65" s="25">
        <v>0.0</v>
      </c>
      <c r="L65" s="24" t="str">
        <f t="shared" ref="L65:O65" si="133">IF(L64="", "", 1 + MROUND(IFERROR(MINIFS(OFFSET(L64, -1, 0, -$B65, 1), OFFSET(L64, -1, 0, -$B65, 1), "&gt;0"), L64) + (LN(1 + $Z65) ^ U$2) * U$3, 1))</f>
        <v/>
      </c>
      <c r="M65" s="24">
        <f t="shared" si="133"/>
        <v>1360</v>
      </c>
      <c r="N65" s="24" t="str">
        <f t="shared" si="133"/>
        <v/>
      </c>
      <c r="O65" s="24">
        <f t="shared" si="133"/>
        <v>732</v>
      </c>
      <c r="P65" s="24">
        <f t="shared" ref="P65:S65" si="134">L65*$Y$2</f>
        <v>0</v>
      </c>
      <c r="Q65" s="24">
        <f t="shared" si="134"/>
        <v>340</v>
      </c>
      <c r="R65" s="24">
        <f t="shared" si="134"/>
        <v>0</v>
      </c>
      <c r="S65" s="24">
        <f t="shared" si="134"/>
        <v>183</v>
      </c>
      <c r="T65" s="24">
        <f t="shared" si="4"/>
        <v>7</v>
      </c>
      <c r="Z65" s="25">
        <f t="shared" si="12"/>
        <v>7.734580203</v>
      </c>
      <c r="AA65" s="26"/>
    </row>
    <row r="66">
      <c r="A66" s="16" t="s">
        <v>6</v>
      </c>
      <c r="B66" s="17">
        <v>65.0</v>
      </c>
      <c r="C66" s="24">
        <f t="shared" si="5"/>
        <v>3405.70008</v>
      </c>
      <c r="D66" s="25">
        <v>0.05</v>
      </c>
      <c r="E66" s="24">
        <f t="shared" si="6"/>
        <v>17.75746622</v>
      </c>
      <c r="F66" s="25">
        <v>0.02</v>
      </c>
      <c r="G66" s="24">
        <f t="shared" si="7"/>
        <v>2270.46672</v>
      </c>
      <c r="H66" s="25">
        <v>0.05</v>
      </c>
      <c r="I66" s="24">
        <f t="shared" si="8"/>
        <v>35.51493243</v>
      </c>
      <c r="J66" s="25">
        <v>0.02</v>
      </c>
      <c r="K66" s="25">
        <v>0.0</v>
      </c>
      <c r="L66" s="24" t="str">
        <f t="shared" ref="L66:O66" si="135">IF(L65="", "", 1 + MROUND(IFERROR(MINIFS(OFFSET(L65, -1, 0, -$B66, 1), OFFSET(L65, -1, 0, -$B66, 1), "&gt;0"), L65) + (LN(1 + $Z66) ^ U$2) * U$3, 1))</f>
        <v/>
      </c>
      <c r="M66" s="24">
        <f t="shared" si="135"/>
        <v>1396</v>
      </c>
      <c r="N66" s="24" t="str">
        <f t="shared" si="135"/>
        <v/>
      </c>
      <c r="O66" s="24">
        <f t="shared" si="135"/>
        <v>750</v>
      </c>
      <c r="P66" s="24">
        <f t="shared" ref="P66:S66" si="136">L66*$Y$2</f>
        <v>0</v>
      </c>
      <c r="Q66" s="24">
        <f t="shared" si="136"/>
        <v>349</v>
      </c>
      <c r="R66" s="24">
        <f t="shared" si="136"/>
        <v>0</v>
      </c>
      <c r="S66" s="24">
        <f t="shared" si="136"/>
        <v>187.5</v>
      </c>
      <c r="T66" s="24">
        <f t="shared" si="4"/>
        <v>8</v>
      </c>
      <c r="Z66" s="25">
        <f t="shared" si="12"/>
        <v>8.04029051</v>
      </c>
      <c r="AA66" s="26"/>
    </row>
    <row r="67">
      <c r="A67" s="16" t="s">
        <v>6</v>
      </c>
      <c r="B67" s="17">
        <v>66.0</v>
      </c>
      <c r="C67" s="24">
        <f t="shared" si="5"/>
        <v>3575.985084</v>
      </c>
      <c r="D67" s="25">
        <v>0.05</v>
      </c>
      <c r="E67" s="24">
        <f t="shared" si="6"/>
        <v>18.11261554</v>
      </c>
      <c r="F67" s="25">
        <v>0.02</v>
      </c>
      <c r="G67" s="24">
        <f t="shared" si="7"/>
        <v>2383.990056</v>
      </c>
      <c r="H67" s="25">
        <v>0.05</v>
      </c>
      <c r="I67" s="24">
        <f t="shared" si="8"/>
        <v>36.22523108</v>
      </c>
      <c r="J67" s="25">
        <v>0.02</v>
      </c>
      <c r="K67" s="25">
        <v>0.0</v>
      </c>
      <c r="L67" s="24" t="str">
        <f t="shared" ref="L67:O67" si="137">IF(L66="", "", 1 + MROUND(IFERROR(MINIFS(OFFSET(L66, -1, 0, -$B67, 1), OFFSET(L66, -1, 0, -$B67, 1), "&gt;0"), L66) + (LN(1 + $Z67) ^ U$2) * U$3, 1))</f>
        <v/>
      </c>
      <c r="M67" s="24">
        <f t="shared" si="137"/>
        <v>1432</v>
      </c>
      <c r="N67" s="24" t="str">
        <f t="shared" si="137"/>
        <v/>
      </c>
      <c r="O67" s="24">
        <f t="shared" si="137"/>
        <v>769</v>
      </c>
      <c r="P67" s="24">
        <f t="shared" ref="P67:S67" si="138">L67*$Y$2</f>
        <v>0</v>
      </c>
      <c r="Q67" s="24">
        <f t="shared" si="138"/>
        <v>358</v>
      </c>
      <c r="R67" s="24">
        <f t="shared" si="138"/>
        <v>0</v>
      </c>
      <c r="S67" s="24">
        <f t="shared" si="138"/>
        <v>192.25</v>
      </c>
      <c r="T67" s="24">
        <f t="shared" si="4"/>
        <v>8</v>
      </c>
      <c r="Z67" s="25">
        <f t="shared" si="12"/>
        <v>8.356700677</v>
      </c>
      <c r="AA67" s="26"/>
    </row>
    <row r="68">
      <c r="A68" s="16" t="s">
        <v>6</v>
      </c>
      <c r="B68" s="17">
        <v>67.0</v>
      </c>
      <c r="C68" s="24">
        <f t="shared" si="5"/>
        <v>3754.784338</v>
      </c>
      <c r="D68" s="25">
        <v>0.05</v>
      </c>
      <c r="E68" s="24">
        <f t="shared" si="6"/>
        <v>18.47486785</v>
      </c>
      <c r="F68" s="25">
        <v>0.02</v>
      </c>
      <c r="G68" s="24">
        <f t="shared" si="7"/>
        <v>2503.189559</v>
      </c>
      <c r="H68" s="25">
        <v>0.05</v>
      </c>
      <c r="I68" s="24">
        <f t="shared" si="8"/>
        <v>36.9497357</v>
      </c>
      <c r="J68" s="25">
        <v>0.02</v>
      </c>
      <c r="K68" s="25">
        <v>0.0</v>
      </c>
      <c r="L68" s="24" t="str">
        <f t="shared" ref="L68:O68" si="139">IF(L67="", "", 1 + MROUND(IFERROR(MINIFS(OFFSET(L67, -1, 0, -$B68, 1), OFFSET(L67, -1, 0, -$B68, 1), "&gt;0"), L67) + (LN(1 + $Z68) ^ U$2) * U$3, 1))</f>
        <v/>
      </c>
      <c r="M68" s="24">
        <f t="shared" si="139"/>
        <v>1469</v>
      </c>
      <c r="N68" s="24" t="str">
        <f t="shared" si="139"/>
        <v/>
      </c>
      <c r="O68" s="24">
        <f t="shared" si="139"/>
        <v>788</v>
      </c>
      <c r="P68" s="24">
        <f t="shared" ref="P68:S68" si="140">L68*$Y$2</f>
        <v>0</v>
      </c>
      <c r="Q68" s="24">
        <f t="shared" si="140"/>
        <v>367.25</v>
      </c>
      <c r="R68" s="24">
        <f t="shared" si="140"/>
        <v>0</v>
      </c>
      <c r="S68" s="24">
        <f t="shared" si="140"/>
        <v>197</v>
      </c>
      <c r="T68" s="24">
        <f t="shared" si="4"/>
        <v>8</v>
      </c>
      <c r="Z68" s="25">
        <f t="shared" si="12"/>
        <v>8.684185201</v>
      </c>
      <c r="AA68" s="26"/>
    </row>
    <row r="69">
      <c r="A69" s="16" t="s">
        <v>6</v>
      </c>
      <c r="B69" s="17">
        <v>68.0</v>
      </c>
      <c r="C69" s="24">
        <f t="shared" si="5"/>
        <v>3942.523555</v>
      </c>
      <c r="D69" s="25">
        <v>0.05</v>
      </c>
      <c r="E69" s="24">
        <f t="shared" si="6"/>
        <v>18.84436521</v>
      </c>
      <c r="F69" s="25">
        <v>0.02</v>
      </c>
      <c r="G69" s="24">
        <f t="shared" si="7"/>
        <v>2628.349037</v>
      </c>
      <c r="H69" s="25">
        <v>0.05</v>
      </c>
      <c r="I69" s="24">
        <f t="shared" si="8"/>
        <v>37.68873042</v>
      </c>
      <c r="J69" s="25">
        <v>0.02</v>
      </c>
      <c r="K69" s="25">
        <v>0.0</v>
      </c>
      <c r="L69" s="24" t="str">
        <f t="shared" ref="L69:O69" si="141">IF(L68="", "", 1 + MROUND(IFERROR(MINIFS(OFFSET(L68, -1, 0, -$B69, 1), OFFSET(L68, -1, 0, -$B69, 1), "&gt;0"), L68) + (LN(1 + $Z69) ^ U$2) * U$3, 1))</f>
        <v/>
      </c>
      <c r="M69" s="24">
        <f t="shared" si="141"/>
        <v>1506</v>
      </c>
      <c r="N69" s="24" t="str">
        <f t="shared" si="141"/>
        <v/>
      </c>
      <c r="O69" s="24">
        <f t="shared" si="141"/>
        <v>807</v>
      </c>
      <c r="P69" s="24">
        <f t="shared" ref="P69:S69" si="142">L69*$Y$2</f>
        <v>0</v>
      </c>
      <c r="Q69" s="24">
        <f t="shared" si="142"/>
        <v>376.5</v>
      </c>
      <c r="R69" s="24">
        <f t="shared" si="142"/>
        <v>0</v>
      </c>
      <c r="S69" s="24">
        <f t="shared" si="142"/>
        <v>201.75</v>
      </c>
      <c r="T69" s="24">
        <f t="shared" si="4"/>
        <v>8</v>
      </c>
      <c r="Z69" s="25">
        <f t="shared" si="12"/>
        <v>9.023131683</v>
      </c>
      <c r="AA69" s="26"/>
    </row>
    <row r="70">
      <c r="A70" s="16" t="s">
        <v>6</v>
      </c>
      <c r="B70" s="17">
        <v>69.0</v>
      </c>
      <c r="C70" s="24">
        <f t="shared" si="5"/>
        <v>4139.649733</v>
      </c>
      <c r="D70" s="25">
        <v>0.05</v>
      </c>
      <c r="E70" s="24">
        <f t="shared" si="6"/>
        <v>19.22125251</v>
      </c>
      <c r="F70" s="25">
        <v>0.02</v>
      </c>
      <c r="G70" s="24">
        <f t="shared" si="7"/>
        <v>2759.766488</v>
      </c>
      <c r="H70" s="25">
        <v>0.05</v>
      </c>
      <c r="I70" s="24">
        <f t="shared" si="8"/>
        <v>38.44250503</v>
      </c>
      <c r="J70" s="25">
        <v>0.02</v>
      </c>
      <c r="K70" s="25">
        <v>0.0</v>
      </c>
      <c r="L70" s="24" t="str">
        <f t="shared" ref="L70:O70" si="143">IF(L69="", "", 1 + MROUND(IFERROR(MINIFS(OFFSET(L69, -1, 0, -$B70, 1), OFFSET(L69, -1, 0, -$B70, 1), "&gt;0"), L69) + (LN(1 + $Z70) ^ U$2) * U$3, 1))</f>
        <v/>
      </c>
      <c r="M70" s="24">
        <f t="shared" si="143"/>
        <v>1543</v>
      </c>
      <c r="N70" s="24" t="str">
        <f t="shared" si="143"/>
        <v/>
      </c>
      <c r="O70" s="24">
        <f t="shared" si="143"/>
        <v>826</v>
      </c>
      <c r="P70" s="24">
        <f t="shared" ref="P70:S70" si="144">L70*$Y$2</f>
        <v>0</v>
      </c>
      <c r="Q70" s="24">
        <f t="shared" si="144"/>
        <v>385.75</v>
      </c>
      <c r="R70" s="24">
        <f t="shared" si="144"/>
        <v>0</v>
      </c>
      <c r="S70" s="24">
        <f t="shared" si="144"/>
        <v>206.5</v>
      </c>
      <c r="T70" s="24">
        <f t="shared" si="4"/>
        <v>8</v>
      </c>
      <c r="Z70" s="25">
        <f t="shared" si="12"/>
        <v>9.373941292</v>
      </c>
      <c r="AA70" s="26"/>
    </row>
    <row r="71">
      <c r="A71" s="16" t="s">
        <v>6</v>
      </c>
      <c r="B71" s="17">
        <v>70.0</v>
      </c>
      <c r="C71" s="24">
        <f t="shared" si="5"/>
        <v>4346.632219</v>
      </c>
      <c r="D71" s="25">
        <v>0.05</v>
      </c>
      <c r="E71" s="24">
        <f t="shared" si="6"/>
        <v>19.60567756</v>
      </c>
      <c r="F71" s="25">
        <v>0.02</v>
      </c>
      <c r="G71" s="24">
        <f t="shared" si="7"/>
        <v>2897.754813</v>
      </c>
      <c r="H71" s="25">
        <v>0.05</v>
      </c>
      <c r="I71" s="24">
        <f t="shared" si="8"/>
        <v>39.21135513</v>
      </c>
      <c r="J71" s="25">
        <v>0.02</v>
      </c>
      <c r="K71" s="25">
        <v>0.0</v>
      </c>
      <c r="L71" s="24" t="str">
        <f t="shared" ref="L71:O71" si="145">IF(L70="", "", 1 + MROUND(IFERROR(MINIFS(OFFSET(L70, -1, 0, -$B71, 1), OFFSET(L70, -1, 0, -$B71, 1), "&gt;0"), L70) + (LN(1 + $Z71) ^ U$2) * U$3, 1))</f>
        <v/>
      </c>
      <c r="M71" s="24">
        <f t="shared" si="145"/>
        <v>1581</v>
      </c>
      <c r="N71" s="24" t="str">
        <f t="shared" si="145"/>
        <v/>
      </c>
      <c r="O71" s="24">
        <f t="shared" si="145"/>
        <v>845</v>
      </c>
      <c r="P71" s="24">
        <f t="shared" ref="P71:S71" si="146">L71*$Y$2</f>
        <v>0</v>
      </c>
      <c r="Q71" s="24">
        <f t="shared" si="146"/>
        <v>395.25</v>
      </c>
      <c r="R71" s="24">
        <f t="shared" si="146"/>
        <v>0</v>
      </c>
      <c r="S71" s="24">
        <f t="shared" si="146"/>
        <v>211.25</v>
      </c>
      <c r="T71" s="24">
        <f t="shared" si="4"/>
        <v>8</v>
      </c>
      <c r="Z71" s="25">
        <f t="shared" si="12"/>
        <v>9.737029237</v>
      </c>
      <c r="AA71" s="26"/>
    </row>
    <row r="72">
      <c r="A72" s="16" t="s">
        <v>6</v>
      </c>
      <c r="B72" s="17">
        <v>71.0</v>
      </c>
      <c r="C72" s="24">
        <f t="shared" si="5"/>
        <v>4563.96383</v>
      </c>
      <c r="D72" s="25">
        <v>0.05</v>
      </c>
      <c r="E72" s="24">
        <f t="shared" si="6"/>
        <v>19.99779111</v>
      </c>
      <c r="F72" s="25">
        <v>0.02</v>
      </c>
      <c r="G72" s="24">
        <f t="shared" si="7"/>
        <v>3042.642554</v>
      </c>
      <c r="H72" s="25">
        <v>0.05</v>
      </c>
      <c r="I72" s="24">
        <f t="shared" si="8"/>
        <v>39.99558223</v>
      </c>
      <c r="J72" s="25">
        <v>0.02</v>
      </c>
      <c r="K72" s="25">
        <v>0.0</v>
      </c>
      <c r="L72" s="24" t="str">
        <f t="shared" ref="L72:O72" si="147">IF(L71="", "", 1 + MROUND(IFERROR(MINIFS(OFFSET(L71, -1, 0, -$B72, 1), OFFSET(L71, -1, 0, -$B72, 1), "&gt;0"), L71) + (LN(1 + $Z72) ^ U$2) * U$3, 1))</f>
        <v/>
      </c>
      <c r="M72" s="24">
        <f t="shared" si="147"/>
        <v>1619</v>
      </c>
      <c r="N72" s="24" t="str">
        <f t="shared" si="147"/>
        <v/>
      </c>
      <c r="O72" s="24">
        <f t="shared" si="147"/>
        <v>865</v>
      </c>
      <c r="P72" s="24">
        <f t="shared" ref="P72:S72" si="148">L72*$Y$2</f>
        <v>0</v>
      </c>
      <c r="Q72" s="24">
        <f t="shared" si="148"/>
        <v>404.75</v>
      </c>
      <c r="R72" s="24">
        <f t="shared" si="148"/>
        <v>0</v>
      </c>
      <c r="S72" s="24">
        <f t="shared" si="148"/>
        <v>216.25</v>
      </c>
      <c r="T72" s="24">
        <f t="shared" si="4"/>
        <v>8</v>
      </c>
      <c r="Z72" s="25">
        <f t="shared" si="12"/>
        <v>10.11282526</v>
      </c>
      <c r="AA72" s="26"/>
    </row>
    <row r="73">
      <c r="A73" s="16" t="s">
        <v>6</v>
      </c>
      <c r="B73" s="17">
        <v>72.0</v>
      </c>
      <c r="C73" s="24">
        <f t="shared" si="5"/>
        <v>4792.162022</v>
      </c>
      <c r="D73" s="25">
        <v>0.05</v>
      </c>
      <c r="E73" s="24">
        <f t="shared" si="6"/>
        <v>20.39774694</v>
      </c>
      <c r="F73" s="25">
        <v>0.02</v>
      </c>
      <c r="G73" s="24">
        <f t="shared" si="7"/>
        <v>3194.774681</v>
      </c>
      <c r="H73" s="25">
        <v>0.05</v>
      </c>
      <c r="I73" s="24">
        <f t="shared" si="8"/>
        <v>40.79549387</v>
      </c>
      <c r="J73" s="25">
        <v>0.02</v>
      </c>
      <c r="K73" s="25">
        <v>0.0</v>
      </c>
      <c r="L73" s="24" t="str">
        <f t="shared" ref="L73:O73" si="149">IF(L72="", "", 1 + MROUND(IFERROR(MINIFS(OFFSET(L72, -1, 0, -$B73, 1), OFFSET(L72, -1, 0, -$B73, 1), "&gt;0"), L72) + (LN(1 + $Z73) ^ U$2) * U$3, 1))</f>
        <v/>
      </c>
      <c r="M73" s="24">
        <f t="shared" si="149"/>
        <v>1657</v>
      </c>
      <c r="N73" s="24" t="str">
        <f t="shared" si="149"/>
        <v/>
      </c>
      <c r="O73" s="24">
        <f t="shared" si="149"/>
        <v>885</v>
      </c>
      <c r="P73" s="24">
        <f t="shared" ref="P73:S73" si="150">L73*$Y$2</f>
        <v>0</v>
      </c>
      <c r="Q73" s="24">
        <f t="shared" si="150"/>
        <v>414.25</v>
      </c>
      <c r="R73" s="24">
        <f t="shared" si="150"/>
        <v>0</v>
      </c>
      <c r="S73" s="24">
        <f t="shared" si="150"/>
        <v>221.25</v>
      </c>
      <c r="T73" s="24">
        <f t="shared" si="4"/>
        <v>8</v>
      </c>
      <c r="Z73" s="25">
        <f t="shared" si="12"/>
        <v>10.50177414</v>
      </c>
      <c r="AA73" s="26"/>
    </row>
    <row r="74">
      <c r="A74" s="16" t="s">
        <v>6</v>
      </c>
      <c r="B74" s="17">
        <v>73.0</v>
      </c>
      <c r="C74" s="24">
        <f t="shared" si="5"/>
        <v>5031.770123</v>
      </c>
      <c r="D74" s="25">
        <v>0.05</v>
      </c>
      <c r="E74" s="24">
        <f t="shared" si="6"/>
        <v>20.80570188</v>
      </c>
      <c r="F74" s="25">
        <v>0.02</v>
      </c>
      <c r="G74" s="24">
        <f t="shared" si="7"/>
        <v>3354.513415</v>
      </c>
      <c r="H74" s="25">
        <v>0.05</v>
      </c>
      <c r="I74" s="24">
        <f t="shared" si="8"/>
        <v>41.61140375</v>
      </c>
      <c r="J74" s="25">
        <v>0.02</v>
      </c>
      <c r="K74" s="25">
        <v>0.0</v>
      </c>
      <c r="L74" s="24" t="str">
        <f t="shared" ref="L74:O74" si="151">IF(L73="", "", 1 + MROUND(IFERROR(MINIFS(OFFSET(L73, -1, 0, -$B74, 1), OFFSET(L73, -1, 0, -$B74, 1), "&gt;0"), L73) + (LN(1 + $Z74) ^ U$2) * U$3, 1))</f>
        <v/>
      </c>
      <c r="M74" s="24">
        <f t="shared" si="151"/>
        <v>1696</v>
      </c>
      <c r="N74" s="24" t="str">
        <f t="shared" si="151"/>
        <v/>
      </c>
      <c r="O74" s="24">
        <f t="shared" si="151"/>
        <v>905</v>
      </c>
      <c r="P74" s="24">
        <f t="shared" ref="P74:S74" si="152">L74*$Y$2</f>
        <v>0</v>
      </c>
      <c r="Q74" s="24">
        <f t="shared" si="152"/>
        <v>424</v>
      </c>
      <c r="R74" s="24">
        <f t="shared" si="152"/>
        <v>0</v>
      </c>
      <c r="S74" s="24">
        <f t="shared" si="152"/>
        <v>226.25</v>
      </c>
      <c r="T74" s="24">
        <f t="shared" si="4"/>
        <v>8</v>
      </c>
      <c r="Z74" s="25">
        <f t="shared" si="12"/>
        <v>10.90433624</v>
      </c>
      <c r="AA74" s="26"/>
    </row>
    <row r="75">
      <c r="A75" s="16" t="s">
        <v>6</v>
      </c>
      <c r="B75" s="17">
        <v>74.0</v>
      </c>
      <c r="C75" s="24">
        <f t="shared" si="5"/>
        <v>5283.358629</v>
      </c>
      <c r="D75" s="25">
        <v>0.05</v>
      </c>
      <c r="E75" s="24">
        <f t="shared" si="6"/>
        <v>21.22181591</v>
      </c>
      <c r="F75" s="25">
        <v>0.02</v>
      </c>
      <c r="G75" s="24">
        <f t="shared" si="7"/>
        <v>3522.239086</v>
      </c>
      <c r="H75" s="25">
        <v>0.05</v>
      </c>
      <c r="I75" s="24">
        <f t="shared" si="8"/>
        <v>42.44363183</v>
      </c>
      <c r="J75" s="25">
        <v>0.02</v>
      </c>
      <c r="K75" s="25">
        <v>0.0</v>
      </c>
      <c r="L75" s="24" t="str">
        <f t="shared" ref="L75:O75" si="153">IF(L74="", "", 1 + MROUND(IFERROR(MINIFS(OFFSET(L74, -1, 0, -$B75, 1), OFFSET(L74, -1, 0, -$B75, 1), "&gt;0"), L74) + (LN(1 + $Z75) ^ U$2) * U$3, 1))</f>
        <v/>
      </c>
      <c r="M75" s="24">
        <f t="shared" si="153"/>
        <v>1735</v>
      </c>
      <c r="N75" s="24" t="str">
        <f t="shared" si="153"/>
        <v/>
      </c>
      <c r="O75" s="24">
        <f t="shared" si="153"/>
        <v>925</v>
      </c>
      <c r="P75" s="24">
        <f t="shared" ref="P75:S75" si="154">L75*$Y$2</f>
        <v>0</v>
      </c>
      <c r="Q75" s="24">
        <f t="shared" si="154"/>
        <v>433.75</v>
      </c>
      <c r="R75" s="24">
        <f t="shared" si="154"/>
        <v>0</v>
      </c>
      <c r="S75" s="24">
        <f t="shared" si="154"/>
        <v>231.25</v>
      </c>
      <c r="T75" s="24">
        <f t="shared" si="4"/>
        <v>8</v>
      </c>
      <c r="Z75" s="25">
        <f t="shared" si="12"/>
        <v>11.32098801</v>
      </c>
      <c r="AA75" s="26"/>
    </row>
    <row r="76">
      <c r="A76" s="16" t="s">
        <v>6</v>
      </c>
      <c r="B76" s="17">
        <v>75.0</v>
      </c>
      <c r="C76" s="24">
        <f t="shared" si="5"/>
        <v>5547.526561</v>
      </c>
      <c r="D76" s="25">
        <v>0.05</v>
      </c>
      <c r="E76" s="24">
        <f t="shared" si="6"/>
        <v>21.64625223</v>
      </c>
      <c r="F76" s="25">
        <v>0.02</v>
      </c>
      <c r="G76" s="24">
        <f t="shared" si="7"/>
        <v>3698.35104</v>
      </c>
      <c r="H76" s="25">
        <v>0.05</v>
      </c>
      <c r="I76" s="24">
        <f t="shared" si="8"/>
        <v>43.29250446</v>
      </c>
      <c r="J76" s="25">
        <v>0.02</v>
      </c>
      <c r="K76" s="25">
        <v>0.0</v>
      </c>
      <c r="L76" s="24" t="str">
        <f t="shared" ref="L76:O76" si="155">IF(L75="", "", 1 + MROUND(IFERROR(MINIFS(OFFSET(L75, -1, 0, -$B76, 1), OFFSET(L75, -1, 0, -$B76, 1), "&gt;0"), L75) + (LN(1 + $Z76) ^ U$2) * U$3, 1))</f>
        <v/>
      </c>
      <c r="M76" s="24">
        <f t="shared" si="155"/>
        <v>1774</v>
      </c>
      <c r="N76" s="24" t="str">
        <f t="shared" si="155"/>
        <v/>
      </c>
      <c r="O76" s="24">
        <f t="shared" si="155"/>
        <v>945</v>
      </c>
      <c r="P76" s="24">
        <f t="shared" ref="P76:S76" si="156">L76*$Y$2</f>
        <v>0</v>
      </c>
      <c r="Q76" s="24">
        <f t="shared" si="156"/>
        <v>443.5</v>
      </c>
      <c r="R76" s="24">
        <f t="shared" si="156"/>
        <v>0</v>
      </c>
      <c r="S76" s="24">
        <f t="shared" si="156"/>
        <v>236.25</v>
      </c>
      <c r="T76" s="24">
        <f t="shared" si="4"/>
        <v>9</v>
      </c>
      <c r="Z76" s="25">
        <f t="shared" si="12"/>
        <v>11.75222259</v>
      </c>
      <c r="AA76" s="26"/>
    </row>
    <row r="77">
      <c r="A77" s="16" t="s">
        <v>6</v>
      </c>
      <c r="B77" s="17">
        <v>76.0</v>
      </c>
      <c r="C77" s="24">
        <f t="shared" si="5"/>
        <v>5824.902889</v>
      </c>
      <c r="D77" s="25">
        <v>0.05</v>
      </c>
      <c r="E77" s="24">
        <f t="shared" si="6"/>
        <v>22.07917728</v>
      </c>
      <c r="F77" s="25">
        <v>0.02</v>
      </c>
      <c r="G77" s="24">
        <f t="shared" si="7"/>
        <v>3883.268592</v>
      </c>
      <c r="H77" s="25">
        <v>0.05</v>
      </c>
      <c r="I77" s="24">
        <f t="shared" si="8"/>
        <v>44.15835455</v>
      </c>
      <c r="J77" s="25">
        <v>0.02</v>
      </c>
      <c r="K77" s="25">
        <v>0.0</v>
      </c>
      <c r="L77" s="24" t="str">
        <f t="shared" ref="L77:O77" si="157">IF(L76="", "", 1 + MROUND(IFERROR(MINIFS(OFFSET(L76, -1, 0, -$B77, 1), OFFSET(L76, -1, 0, -$B77, 1), "&gt;0"), L76) + (LN(1 + $Z77) ^ U$2) * U$3, 1))</f>
        <v/>
      </c>
      <c r="M77" s="24">
        <f t="shared" si="157"/>
        <v>1814</v>
      </c>
      <c r="N77" s="24" t="str">
        <f t="shared" si="157"/>
        <v/>
      </c>
      <c r="O77" s="24">
        <f t="shared" si="157"/>
        <v>965</v>
      </c>
      <c r="P77" s="24">
        <f t="shared" ref="P77:S77" si="158">L77*$Y$2</f>
        <v>0</v>
      </c>
      <c r="Q77" s="24">
        <f t="shared" si="158"/>
        <v>453.5</v>
      </c>
      <c r="R77" s="24">
        <f t="shared" si="158"/>
        <v>0</v>
      </c>
      <c r="S77" s="24">
        <f t="shared" si="158"/>
        <v>241.25</v>
      </c>
      <c r="T77" s="24">
        <f t="shared" si="4"/>
        <v>9</v>
      </c>
      <c r="Z77" s="25">
        <f t="shared" si="12"/>
        <v>12.19855038</v>
      </c>
      <c r="AA77" s="26"/>
    </row>
    <row r="78">
      <c r="A78" s="16" t="s">
        <v>6</v>
      </c>
      <c r="B78" s="17">
        <v>77.0</v>
      </c>
      <c r="C78" s="24">
        <f t="shared" si="5"/>
        <v>6116.148033</v>
      </c>
      <c r="D78" s="25">
        <v>0.05</v>
      </c>
      <c r="E78" s="24">
        <f t="shared" si="6"/>
        <v>22.52076082</v>
      </c>
      <c r="F78" s="25">
        <v>0.02</v>
      </c>
      <c r="G78" s="24">
        <f t="shared" si="7"/>
        <v>4077.432022</v>
      </c>
      <c r="H78" s="25">
        <v>0.05</v>
      </c>
      <c r="I78" s="24">
        <f t="shared" si="8"/>
        <v>45.04152164</v>
      </c>
      <c r="J78" s="25">
        <v>0.02</v>
      </c>
      <c r="K78" s="25">
        <v>0.0</v>
      </c>
      <c r="L78" s="24" t="str">
        <f t="shared" ref="L78:O78" si="159">IF(L77="", "", 1 + MROUND(IFERROR(MINIFS(OFFSET(L77, -1, 0, -$B78, 1), OFFSET(L77, -1, 0, -$B78, 1), "&gt;0"), L77) + (LN(1 + $Z78) ^ U$2) * U$3, 1))</f>
        <v/>
      </c>
      <c r="M78" s="24">
        <f t="shared" si="159"/>
        <v>1854</v>
      </c>
      <c r="N78" s="24" t="str">
        <f t="shared" si="159"/>
        <v/>
      </c>
      <c r="O78" s="24">
        <f t="shared" si="159"/>
        <v>986</v>
      </c>
      <c r="P78" s="24">
        <f t="shared" ref="P78:S78" si="160">L78*$Y$2</f>
        <v>0</v>
      </c>
      <c r="Q78" s="24">
        <f t="shared" si="160"/>
        <v>463.5</v>
      </c>
      <c r="R78" s="24">
        <f t="shared" si="160"/>
        <v>0</v>
      </c>
      <c r="S78" s="24">
        <f t="shared" si="160"/>
        <v>246.5</v>
      </c>
      <c r="T78" s="24">
        <f t="shared" si="4"/>
        <v>9</v>
      </c>
      <c r="Z78" s="25">
        <f t="shared" si="12"/>
        <v>12.66049964</v>
      </c>
      <c r="AA78" s="26"/>
    </row>
    <row r="79">
      <c r="A79" s="16" t="s">
        <v>6</v>
      </c>
      <c r="B79" s="17">
        <v>78.0</v>
      </c>
      <c r="C79" s="24">
        <f t="shared" si="5"/>
        <v>6421.955435</v>
      </c>
      <c r="D79" s="25">
        <v>0.05</v>
      </c>
      <c r="E79" s="24">
        <f t="shared" si="6"/>
        <v>22.97117604</v>
      </c>
      <c r="F79" s="25">
        <v>0.02</v>
      </c>
      <c r="G79" s="24">
        <f t="shared" si="7"/>
        <v>4281.303623</v>
      </c>
      <c r="H79" s="25">
        <v>0.05</v>
      </c>
      <c r="I79" s="24">
        <f t="shared" si="8"/>
        <v>45.94235208</v>
      </c>
      <c r="J79" s="25">
        <v>0.02</v>
      </c>
      <c r="K79" s="25">
        <v>0.0</v>
      </c>
      <c r="L79" s="24" t="str">
        <f t="shared" ref="L79:O79" si="161">IF(L78="", "", 1 + MROUND(IFERROR(MINIFS(OFFSET(L78, -1, 0, -$B79, 1), OFFSET(L78, -1, 0, -$B79, 1), "&gt;0"), L78) + (LN(1 + $Z79) ^ U$2) * U$3, 1))</f>
        <v/>
      </c>
      <c r="M79" s="24">
        <f t="shared" si="161"/>
        <v>1895</v>
      </c>
      <c r="N79" s="24" t="str">
        <f t="shared" si="161"/>
        <v/>
      </c>
      <c r="O79" s="24">
        <f t="shared" si="161"/>
        <v>1007</v>
      </c>
      <c r="P79" s="24">
        <f t="shared" ref="P79:S79" si="162">L79*$Y$2</f>
        <v>0</v>
      </c>
      <c r="Q79" s="24">
        <f t="shared" si="162"/>
        <v>473.75</v>
      </c>
      <c r="R79" s="24">
        <f t="shared" si="162"/>
        <v>0</v>
      </c>
      <c r="S79" s="24">
        <f t="shared" si="162"/>
        <v>251.75</v>
      </c>
      <c r="T79" s="24">
        <f t="shared" si="4"/>
        <v>9</v>
      </c>
      <c r="Z79" s="25">
        <f t="shared" si="12"/>
        <v>13.13861713</v>
      </c>
      <c r="AA79" s="26"/>
    </row>
    <row r="80">
      <c r="A80" s="16" t="s">
        <v>6</v>
      </c>
      <c r="B80" s="17">
        <v>79.0</v>
      </c>
      <c r="C80" s="24">
        <f t="shared" si="5"/>
        <v>6743.053206</v>
      </c>
      <c r="D80" s="25">
        <v>0.05</v>
      </c>
      <c r="E80" s="24">
        <f t="shared" si="6"/>
        <v>23.43059956</v>
      </c>
      <c r="F80" s="25">
        <v>0.02</v>
      </c>
      <c r="G80" s="24">
        <f t="shared" si="7"/>
        <v>4495.368804</v>
      </c>
      <c r="H80" s="25">
        <v>0.05</v>
      </c>
      <c r="I80" s="24">
        <f t="shared" si="8"/>
        <v>46.86119912</v>
      </c>
      <c r="J80" s="25">
        <v>0.02</v>
      </c>
      <c r="K80" s="25">
        <v>0.0</v>
      </c>
      <c r="L80" s="24" t="str">
        <f t="shared" ref="L80:O80" si="163">IF(L79="", "", 1 + MROUND(IFERROR(MINIFS(OFFSET(L79, -1, 0, -$B80, 1), OFFSET(L79, -1, 0, -$B80, 1), "&gt;0"), L79) + (LN(1 + $Z80) ^ U$2) * U$3, 1))</f>
        <v/>
      </c>
      <c r="M80" s="24">
        <f t="shared" si="163"/>
        <v>1936</v>
      </c>
      <c r="N80" s="24" t="str">
        <f t="shared" si="163"/>
        <v/>
      </c>
      <c r="O80" s="24">
        <f t="shared" si="163"/>
        <v>1028</v>
      </c>
      <c r="P80" s="24">
        <f t="shared" ref="P80:S80" si="164">L80*$Y$2</f>
        <v>0</v>
      </c>
      <c r="Q80" s="24">
        <f t="shared" si="164"/>
        <v>484</v>
      </c>
      <c r="R80" s="24">
        <f t="shared" si="164"/>
        <v>0</v>
      </c>
      <c r="S80" s="24">
        <f t="shared" si="164"/>
        <v>257</v>
      </c>
      <c r="T80" s="24">
        <f t="shared" si="4"/>
        <v>9</v>
      </c>
      <c r="Z80" s="25">
        <f t="shared" si="12"/>
        <v>13.63346873</v>
      </c>
      <c r="AA80" s="26"/>
    </row>
    <row r="81">
      <c r="A81" s="16" t="s">
        <v>6</v>
      </c>
      <c r="B81" s="17">
        <v>80.0</v>
      </c>
      <c r="C81" s="24">
        <f t="shared" si="5"/>
        <v>7080.205867</v>
      </c>
      <c r="D81" s="25">
        <v>0.05</v>
      </c>
      <c r="E81" s="24">
        <f t="shared" si="6"/>
        <v>23.89921155</v>
      </c>
      <c r="F81" s="25">
        <v>0.02</v>
      </c>
      <c r="G81" s="24">
        <f t="shared" si="7"/>
        <v>4720.137244</v>
      </c>
      <c r="H81" s="25">
        <v>0.05</v>
      </c>
      <c r="I81" s="24">
        <f t="shared" si="8"/>
        <v>47.7984231</v>
      </c>
      <c r="J81" s="25">
        <v>0.02</v>
      </c>
      <c r="K81" s="25">
        <v>0.0</v>
      </c>
      <c r="L81" s="24" t="str">
        <f t="shared" ref="L81:O81" si="165">IF(L80="", "", 1 + MROUND(IFERROR(MINIFS(OFFSET(L80, -1, 0, -$B81, 1), OFFSET(L80, -1, 0, -$B81, 1), "&gt;0"), L80) + (LN(1 + $Z81) ^ U$2) * U$3, 1))</f>
        <v/>
      </c>
      <c r="M81" s="24">
        <f t="shared" si="165"/>
        <v>1977</v>
      </c>
      <c r="N81" s="24" t="str">
        <f t="shared" si="165"/>
        <v/>
      </c>
      <c r="O81" s="24">
        <f t="shared" si="165"/>
        <v>1049</v>
      </c>
      <c r="P81" s="24">
        <f t="shared" ref="P81:S81" si="166">L81*$Y$2</f>
        <v>0</v>
      </c>
      <c r="Q81" s="24">
        <f t="shared" si="166"/>
        <v>494.25</v>
      </c>
      <c r="R81" s="24">
        <f t="shared" si="166"/>
        <v>0</v>
      </c>
      <c r="S81" s="24">
        <f t="shared" si="166"/>
        <v>262.25</v>
      </c>
      <c r="T81" s="24">
        <f t="shared" si="4"/>
        <v>9</v>
      </c>
      <c r="Z81" s="25">
        <f t="shared" si="12"/>
        <v>14.14564013</v>
      </c>
      <c r="AA81" s="26"/>
    </row>
    <row r="82">
      <c r="A82" s="16" t="s">
        <v>6</v>
      </c>
      <c r="B82" s="17">
        <v>81.0</v>
      </c>
      <c r="C82" s="24">
        <f t="shared" si="5"/>
        <v>7434.21616</v>
      </c>
      <c r="D82" s="25">
        <v>0.05</v>
      </c>
      <c r="E82" s="24">
        <f t="shared" si="6"/>
        <v>24.37719578</v>
      </c>
      <c r="F82" s="25">
        <v>0.02</v>
      </c>
      <c r="G82" s="24">
        <f t="shared" si="7"/>
        <v>4956.144107</v>
      </c>
      <c r="H82" s="25">
        <v>0.05</v>
      </c>
      <c r="I82" s="24">
        <f t="shared" si="8"/>
        <v>48.75439156</v>
      </c>
      <c r="J82" s="25">
        <v>0.02</v>
      </c>
      <c r="K82" s="25">
        <v>0.0</v>
      </c>
      <c r="L82" s="24" t="str">
        <f t="shared" ref="L82:O82" si="167">IF(L81="", "", 1 + MROUND(IFERROR(MINIFS(OFFSET(L81, -1, 0, -$B82, 1), OFFSET(L81, -1, 0, -$B82, 1), "&gt;0"), L81) + (LN(1 + $Z82) ^ U$2) * U$3, 1))</f>
        <v/>
      </c>
      <c r="M82" s="24">
        <f t="shared" si="167"/>
        <v>2019</v>
      </c>
      <c r="N82" s="24" t="str">
        <f t="shared" si="167"/>
        <v/>
      </c>
      <c r="O82" s="24">
        <f t="shared" si="167"/>
        <v>1070</v>
      </c>
      <c r="P82" s="24">
        <f t="shared" ref="P82:S82" si="168">L82*$Y$2</f>
        <v>0</v>
      </c>
      <c r="Q82" s="24">
        <f t="shared" si="168"/>
        <v>504.75</v>
      </c>
      <c r="R82" s="24">
        <f t="shared" si="168"/>
        <v>0</v>
      </c>
      <c r="S82" s="24">
        <f t="shared" si="168"/>
        <v>267.5</v>
      </c>
      <c r="T82" s="24">
        <f t="shared" si="4"/>
        <v>9</v>
      </c>
      <c r="Z82" s="25">
        <f t="shared" si="12"/>
        <v>14.67573754</v>
      </c>
      <c r="AA82" s="26"/>
    </row>
    <row r="83">
      <c r="A83" s="16" t="s">
        <v>6</v>
      </c>
      <c r="B83" s="17">
        <v>82.0</v>
      </c>
      <c r="C83" s="24">
        <f t="shared" si="5"/>
        <v>7805.926968</v>
      </c>
      <c r="D83" s="25">
        <v>0.05</v>
      </c>
      <c r="E83" s="24">
        <f t="shared" si="6"/>
        <v>24.8647397</v>
      </c>
      <c r="F83" s="25">
        <v>0.02</v>
      </c>
      <c r="G83" s="24">
        <f t="shared" si="7"/>
        <v>5203.951312</v>
      </c>
      <c r="H83" s="25">
        <v>0.05</v>
      </c>
      <c r="I83" s="24">
        <f t="shared" si="8"/>
        <v>49.72947939</v>
      </c>
      <c r="J83" s="25">
        <v>0.02</v>
      </c>
      <c r="K83" s="25">
        <v>0.0</v>
      </c>
      <c r="L83" s="24" t="str">
        <f t="shared" ref="L83:O83" si="169">IF(L82="", "", 1 + MROUND(IFERROR(MINIFS(OFFSET(L82, -1, 0, -$B83, 1), OFFSET(L82, -1, 0, -$B83, 1), "&gt;0"), L82) + (LN(1 + $Z83) ^ U$2) * U$3, 1))</f>
        <v/>
      </c>
      <c r="M83" s="24">
        <f t="shared" si="169"/>
        <v>2061</v>
      </c>
      <c r="N83" s="24" t="str">
        <f t="shared" si="169"/>
        <v/>
      </c>
      <c r="O83" s="24">
        <f t="shared" si="169"/>
        <v>1091</v>
      </c>
      <c r="P83" s="24">
        <f t="shared" ref="P83:S83" si="170">L83*$Y$2</f>
        <v>0</v>
      </c>
      <c r="Q83" s="24">
        <f t="shared" si="170"/>
        <v>515.25</v>
      </c>
      <c r="R83" s="24">
        <f t="shared" si="170"/>
        <v>0</v>
      </c>
      <c r="S83" s="24">
        <f t="shared" si="170"/>
        <v>272.75</v>
      </c>
      <c r="T83" s="24">
        <f t="shared" si="4"/>
        <v>9</v>
      </c>
      <c r="Z83" s="25">
        <f t="shared" si="12"/>
        <v>15.22438835</v>
      </c>
      <c r="AA83" s="26"/>
    </row>
    <row r="84">
      <c r="A84" s="16" t="s">
        <v>6</v>
      </c>
      <c r="B84" s="17">
        <v>83.0</v>
      </c>
      <c r="C84" s="24">
        <f t="shared" si="5"/>
        <v>8196.223316</v>
      </c>
      <c r="D84" s="25">
        <v>0.05</v>
      </c>
      <c r="E84" s="24">
        <f t="shared" si="6"/>
        <v>25.36203449</v>
      </c>
      <c r="F84" s="25">
        <v>0.02</v>
      </c>
      <c r="G84" s="24">
        <f t="shared" si="7"/>
        <v>5464.148878</v>
      </c>
      <c r="H84" s="25">
        <v>0.05</v>
      </c>
      <c r="I84" s="24">
        <f t="shared" si="8"/>
        <v>50.72406898</v>
      </c>
      <c r="J84" s="25">
        <v>0.02</v>
      </c>
      <c r="K84" s="25">
        <v>0.0</v>
      </c>
      <c r="L84" s="24" t="str">
        <f t="shared" ref="L84:O84" si="171">IF(L83="", "", 1 + MROUND(IFERROR(MINIFS(OFFSET(L83, -1, 0, -$B84, 1), OFFSET(L83, -1, 0, -$B84, 1), "&gt;0"), L83) + (LN(1 + $Z84) ^ U$2) * U$3, 1))</f>
        <v/>
      </c>
      <c r="M84" s="24">
        <f t="shared" si="171"/>
        <v>2103</v>
      </c>
      <c r="N84" s="24" t="str">
        <f t="shared" si="171"/>
        <v/>
      </c>
      <c r="O84" s="24">
        <f t="shared" si="171"/>
        <v>1113</v>
      </c>
      <c r="P84" s="24">
        <f t="shared" ref="P84:S84" si="172">L84*$Y$2</f>
        <v>0</v>
      </c>
      <c r="Q84" s="24">
        <f t="shared" si="172"/>
        <v>525.75</v>
      </c>
      <c r="R84" s="24">
        <f t="shared" si="172"/>
        <v>0</v>
      </c>
      <c r="S84" s="24">
        <f t="shared" si="172"/>
        <v>278.25</v>
      </c>
      <c r="T84" s="24">
        <f t="shared" si="4"/>
        <v>9</v>
      </c>
      <c r="Z84" s="25">
        <f t="shared" si="12"/>
        <v>15.79224195</v>
      </c>
      <c r="AA84" s="26"/>
    </row>
    <row r="85">
      <c r="A85" s="16" t="s">
        <v>6</v>
      </c>
      <c r="B85" s="17">
        <v>84.0</v>
      </c>
      <c r="C85" s="24">
        <f t="shared" si="5"/>
        <v>8606.034482</v>
      </c>
      <c r="D85" s="25">
        <v>0.05</v>
      </c>
      <c r="E85" s="24">
        <f t="shared" si="6"/>
        <v>25.86927518</v>
      </c>
      <c r="F85" s="25">
        <v>0.02</v>
      </c>
      <c r="G85" s="24">
        <f t="shared" si="7"/>
        <v>5737.356322</v>
      </c>
      <c r="H85" s="25">
        <v>0.05</v>
      </c>
      <c r="I85" s="24">
        <f t="shared" si="8"/>
        <v>51.73855036</v>
      </c>
      <c r="J85" s="25">
        <v>0.02</v>
      </c>
      <c r="K85" s="25">
        <v>0.0</v>
      </c>
      <c r="L85" s="24" t="str">
        <f t="shared" ref="L85:O85" si="173">IF(L84="", "", 1 + MROUND(IFERROR(MINIFS(OFFSET(L84, -1, 0, -$B85, 1), OFFSET(L84, -1, 0, -$B85, 1), "&gt;0"), L84) + (LN(1 + $Z85) ^ U$2) * U$3, 1))</f>
        <v/>
      </c>
      <c r="M85" s="24">
        <f t="shared" si="173"/>
        <v>2146</v>
      </c>
      <c r="N85" s="24" t="str">
        <f t="shared" si="173"/>
        <v/>
      </c>
      <c r="O85" s="24">
        <f t="shared" si="173"/>
        <v>1135</v>
      </c>
      <c r="P85" s="24">
        <f t="shared" ref="P85:S85" si="174">L85*$Y$2</f>
        <v>0</v>
      </c>
      <c r="Q85" s="24">
        <f t="shared" si="174"/>
        <v>536.5</v>
      </c>
      <c r="R85" s="24">
        <f t="shared" si="174"/>
        <v>0</v>
      </c>
      <c r="S85" s="24">
        <f t="shared" si="174"/>
        <v>283.75</v>
      </c>
      <c r="T85" s="24">
        <f t="shared" si="4"/>
        <v>9</v>
      </c>
      <c r="Z85" s="25">
        <f t="shared" si="12"/>
        <v>16.37997041</v>
      </c>
      <c r="AA85" s="26"/>
    </row>
    <row r="86">
      <c r="A86" s="16" t="s">
        <v>6</v>
      </c>
      <c r="B86" s="17">
        <v>85.0</v>
      </c>
      <c r="C86" s="24">
        <f t="shared" si="5"/>
        <v>9036.336206</v>
      </c>
      <c r="D86" s="25">
        <v>0.05</v>
      </c>
      <c r="E86" s="24">
        <f t="shared" si="6"/>
        <v>26.38666068</v>
      </c>
      <c r="F86" s="25">
        <v>0.02</v>
      </c>
      <c r="G86" s="24">
        <f t="shared" si="7"/>
        <v>6024.224138</v>
      </c>
      <c r="H86" s="25">
        <v>0.05</v>
      </c>
      <c r="I86" s="24">
        <f t="shared" si="8"/>
        <v>52.77332137</v>
      </c>
      <c r="J86" s="25">
        <v>0.02</v>
      </c>
      <c r="K86" s="25">
        <v>0.0</v>
      </c>
      <c r="L86" s="24" t="str">
        <f t="shared" ref="L86:O86" si="175">IF(L85="", "", 1 + MROUND(IFERROR(MINIFS(OFFSET(L85, -1, 0, -$B86, 1), OFFSET(L85, -1, 0, -$B86, 1), "&gt;0"), L85) + (LN(1 + $Z86) ^ U$2) * U$3, 1))</f>
        <v/>
      </c>
      <c r="M86" s="24">
        <f t="shared" si="175"/>
        <v>2189</v>
      </c>
      <c r="N86" s="24" t="str">
        <f t="shared" si="175"/>
        <v/>
      </c>
      <c r="O86" s="24">
        <f t="shared" si="175"/>
        <v>1157</v>
      </c>
      <c r="P86" s="24">
        <f t="shared" ref="P86:S86" si="176">L86*$Y$2</f>
        <v>0</v>
      </c>
      <c r="Q86" s="24">
        <f t="shared" si="176"/>
        <v>547.25</v>
      </c>
      <c r="R86" s="24">
        <f t="shared" si="176"/>
        <v>0</v>
      </c>
      <c r="S86" s="24">
        <f t="shared" si="176"/>
        <v>289.25</v>
      </c>
      <c r="T86" s="24">
        <f t="shared" si="4"/>
        <v>10</v>
      </c>
      <c r="Z86" s="25">
        <f t="shared" si="12"/>
        <v>16.98826938</v>
      </c>
      <c r="AA86" s="26"/>
    </row>
    <row r="87">
      <c r="A87" s="16" t="s">
        <v>6</v>
      </c>
      <c r="B87" s="17">
        <v>86.0</v>
      </c>
      <c r="C87" s="24">
        <f t="shared" si="5"/>
        <v>9488.153017</v>
      </c>
      <c r="D87" s="25">
        <v>0.05</v>
      </c>
      <c r="E87" s="24">
        <f t="shared" si="6"/>
        <v>26.9143939</v>
      </c>
      <c r="F87" s="25">
        <v>0.02</v>
      </c>
      <c r="G87" s="24">
        <f t="shared" si="7"/>
        <v>6325.435344</v>
      </c>
      <c r="H87" s="25">
        <v>0.05</v>
      </c>
      <c r="I87" s="24">
        <f t="shared" si="8"/>
        <v>53.82878779</v>
      </c>
      <c r="J87" s="25">
        <v>0.02</v>
      </c>
      <c r="K87" s="25">
        <v>0.0</v>
      </c>
      <c r="L87" s="24" t="str">
        <f t="shared" ref="L87:O87" si="177">IF(L86="", "", 1 + MROUND(IFERROR(MINIFS(OFFSET(L86, -1, 0, -$B87, 1), OFFSET(L86, -1, 0, -$B87, 1), "&gt;0"), L86) + (LN(1 + $Z87) ^ U$2) * U$3, 1))</f>
        <v/>
      </c>
      <c r="M87" s="24">
        <f t="shared" si="177"/>
        <v>2232</v>
      </c>
      <c r="N87" s="24" t="str">
        <f t="shared" si="177"/>
        <v/>
      </c>
      <c r="O87" s="24">
        <f t="shared" si="177"/>
        <v>1179</v>
      </c>
      <c r="P87" s="24">
        <f t="shared" ref="P87:S87" si="178">L87*$Y$2</f>
        <v>0</v>
      </c>
      <c r="Q87" s="24">
        <f t="shared" si="178"/>
        <v>558</v>
      </c>
      <c r="R87" s="24">
        <f t="shared" si="178"/>
        <v>0</v>
      </c>
      <c r="S87" s="24">
        <f t="shared" si="178"/>
        <v>294.75</v>
      </c>
      <c r="T87" s="24">
        <f t="shared" si="4"/>
        <v>10</v>
      </c>
      <c r="Z87" s="25">
        <f t="shared" si="12"/>
        <v>17.61785881</v>
      </c>
      <c r="AA87" s="26"/>
    </row>
    <row r="88">
      <c r="A88" s="16" t="s">
        <v>6</v>
      </c>
      <c r="B88" s="17">
        <v>87.0</v>
      </c>
      <c r="C88" s="24">
        <f t="shared" si="5"/>
        <v>9962.560668</v>
      </c>
      <c r="D88" s="25">
        <v>0.05</v>
      </c>
      <c r="E88" s="24">
        <f t="shared" si="6"/>
        <v>27.45268178</v>
      </c>
      <c r="F88" s="25">
        <v>0.02</v>
      </c>
      <c r="G88" s="24">
        <f t="shared" si="7"/>
        <v>6641.707112</v>
      </c>
      <c r="H88" s="25">
        <v>0.05</v>
      </c>
      <c r="I88" s="24">
        <f t="shared" si="8"/>
        <v>54.90536355</v>
      </c>
      <c r="J88" s="25">
        <v>0.02</v>
      </c>
      <c r="K88" s="25">
        <v>0.0</v>
      </c>
      <c r="L88" s="24" t="str">
        <f t="shared" ref="L88:O88" si="179">IF(L87="", "", 1 + MROUND(IFERROR(MINIFS(OFFSET(L87, -1, 0, -$B88, 1), OFFSET(L87, -1, 0, -$B88, 1), "&gt;0"), L87) + (LN(1 + $Z88) ^ U$2) * U$3, 1))</f>
        <v/>
      </c>
      <c r="M88" s="24">
        <f t="shared" si="179"/>
        <v>2276</v>
      </c>
      <c r="N88" s="24" t="str">
        <f t="shared" si="179"/>
        <v/>
      </c>
      <c r="O88" s="24">
        <f t="shared" si="179"/>
        <v>1201</v>
      </c>
      <c r="P88" s="24">
        <f t="shared" ref="P88:S88" si="180">L88*$Y$2</f>
        <v>0</v>
      </c>
      <c r="Q88" s="24">
        <f t="shared" si="180"/>
        <v>569</v>
      </c>
      <c r="R88" s="24">
        <f t="shared" si="180"/>
        <v>0</v>
      </c>
      <c r="S88" s="24">
        <f t="shared" si="180"/>
        <v>300.25</v>
      </c>
      <c r="T88" s="24">
        <f t="shared" si="4"/>
        <v>10</v>
      </c>
      <c r="Z88" s="25">
        <f t="shared" si="12"/>
        <v>18.26948387</v>
      </c>
      <c r="AA88" s="26"/>
    </row>
    <row r="89">
      <c r="A89" s="16" t="s">
        <v>6</v>
      </c>
      <c r="B89" s="17">
        <v>88.0</v>
      </c>
      <c r="C89" s="24">
        <f t="shared" si="5"/>
        <v>10460.6887</v>
      </c>
      <c r="D89" s="25">
        <v>0.05</v>
      </c>
      <c r="E89" s="24">
        <f t="shared" si="6"/>
        <v>28.00173541</v>
      </c>
      <c r="F89" s="25">
        <v>0.02</v>
      </c>
      <c r="G89" s="24">
        <f t="shared" si="7"/>
        <v>6973.792467</v>
      </c>
      <c r="H89" s="25">
        <v>0.05</v>
      </c>
      <c r="I89" s="24">
        <f t="shared" si="8"/>
        <v>56.00347082</v>
      </c>
      <c r="J89" s="25">
        <v>0.02</v>
      </c>
      <c r="K89" s="25">
        <v>0.0</v>
      </c>
      <c r="L89" s="24" t="str">
        <f t="shared" ref="L89:O89" si="181">IF(L88="", "", 1 + MROUND(IFERROR(MINIFS(OFFSET(L88, -1, 0, -$B89, 1), OFFSET(L88, -1, 0, -$B89, 1), "&gt;0"), L88) + (LN(1 + $Z89) ^ U$2) * U$3, 1))</f>
        <v/>
      </c>
      <c r="M89" s="24">
        <f t="shared" si="181"/>
        <v>2320</v>
      </c>
      <c r="N89" s="24" t="str">
        <f t="shared" si="181"/>
        <v/>
      </c>
      <c r="O89" s="24">
        <f t="shared" si="181"/>
        <v>1224</v>
      </c>
      <c r="P89" s="24">
        <f t="shared" ref="P89:S89" si="182">L89*$Y$2</f>
        <v>0</v>
      </c>
      <c r="Q89" s="24">
        <f t="shared" si="182"/>
        <v>580</v>
      </c>
      <c r="R89" s="24">
        <f t="shared" si="182"/>
        <v>0</v>
      </c>
      <c r="S89" s="24">
        <f t="shared" si="182"/>
        <v>306</v>
      </c>
      <c r="T89" s="24">
        <f t="shared" si="4"/>
        <v>10</v>
      </c>
      <c r="Z89" s="25">
        <f t="shared" si="12"/>
        <v>18.9439158</v>
      </c>
      <c r="AA89" s="26"/>
    </row>
    <row r="90">
      <c r="A90" s="16" t="s">
        <v>6</v>
      </c>
      <c r="B90" s="17">
        <v>89.0</v>
      </c>
      <c r="C90" s="24">
        <f t="shared" si="5"/>
        <v>10983.72314</v>
      </c>
      <c r="D90" s="25">
        <v>0.05</v>
      </c>
      <c r="E90" s="24">
        <f t="shared" si="6"/>
        <v>28.56177012</v>
      </c>
      <c r="F90" s="25">
        <v>0.02</v>
      </c>
      <c r="G90" s="24">
        <f t="shared" si="7"/>
        <v>7322.482091</v>
      </c>
      <c r="H90" s="25">
        <v>0.05</v>
      </c>
      <c r="I90" s="24">
        <f t="shared" si="8"/>
        <v>57.12354024</v>
      </c>
      <c r="J90" s="25">
        <v>0.02</v>
      </c>
      <c r="K90" s="25">
        <v>0.0</v>
      </c>
      <c r="L90" s="24" t="str">
        <f t="shared" ref="L90:O90" si="183">IF(L89="", "", 1 + MROUND(IFERROR(MINIFS(OFFSET(L89, -1, 0, -$B90, 1), OFFSET(L89, -1, 0, -$B90, 1), "&gt;0"), L89) + (LN(1 + $Z90) ^ U$2) * U$3, 1))</f>
        <v/>
      </c>
      <c r="M90" s="24">
        <f t="shared" si="183"/>
        <v>2364</v>
      </c>
      <c r="N90" s="24" t="str">
        <f t="shared" si="183"/>
        <v/>
      </c>
      <c r="O90" s="24">
        <f t="shared" si="183"/>
        <v>1247</v>
      </c>
      <c r="P90" s="24">
        <f t="shared" ref="P90:S90" si="184">L90*$Y$2</f>
        <v>0</v>
      </c>
      <c r="Q90" s="24">
        <f t="shared" si="184"/>
        <v>591</v>
      </c>
      <c r="R90" s="24">
        <f t="shared" si="184"/>
        <v>0</v>
      </c>
      <c r="S90" s="24">
        <f t="shared" si="184"/>
        <v>311.75</v>
      </c>
      <c r="T90" s="24">
        <f t="shared" si="4"/>
        <v>10</v>
      </c>
      <c r="Z90" s="25">
        <f t="shared" si="12"/>
        <v>19.64195285</v>
      </c>
      <c r="AA90" s="26"/>
    </row>
    <row r="91">
      <c r="A91" s="16" t="s">
        <v>6</v>
      </c>
      <c r="B91" s="17">
        <v>90.0</v>
      </c>
      <c r="C91" s="24">
        <f t="shared" si="5"/>
        <v>11532.90929</v>
      </c>
      <c r="D91" s="25">
        <v>0.05</v>
      </c>
      <c r="E91" s="24">
        <f t="shared" si="6"/>
        <v>29.13300552</v>
      </c>
      <c r="F91" s="25">
        <v>0.02</v>
      </c>
      <c r="G91" s="24">
        <f t="shared" si="7"/>
        <v>7688.606195</v>
      </c>
      <c r="H91" s="25">
        <v>0.05</v>
      </c>
      <c r="I91" s="24">
        <f t="shared" si="8"/>
        <v>58.26601104</v>
      </c>
      <c r="J91" s="25">
        <v>0.02</v>
      </c>
      <c r="K91" s="25">
        <v>0.0</v>
      </c>
      <c r="L91" s="24" t="str">
        <f t="shared" ref="L91:O91" si="185">IF(L90="", "", 1 + MROUND(IFERROR(MINIFS(OFFSET(L90, -1, 0, -$B91, 1), OFFSET(L90, -1, 0, -$B91, 1), "&gt;0"), L90) + (LN(1 + $Z91) ^ U$2) * U$3, 1))</f>
        <v/>
      </c>
      <c r="M91" s="24">
        <f t="shared" si="185"/>
        <v>2409</v>
      </c>
      <c r="N91" s="24" t="str">
        <f t="shared" si="185"/>
        <v/>
      </c>
      <c r="O91" s="24">
        <f t="shared" si="185"/>
        <v>1270</v>
      </c>
      <c r="P91" s="24">
        <f t="shared" ref="P91:S91" si="186">L91*$Y$2</f>
        <v>0</v>
      </c>
      <c r="Q91" s="24">
        <f t="shared" si="186"/>
        <v>602.25</v>
      </c>
      <c r="R91" s="24">
        <f t="shared" si="186"/>
        <v>0</v>
      </c>
      <c r="S91" s="24">
        <f t="shared" si="186"/>
        <v>317.5</v>
      </c>
      <c r="T91" s="24">
        <f t="shared" si="4"/>
        <v>10</v>
      </c>
      <c r="Z91" s="25">
        <f t="shared" si="12"/>
        <v>20.3644212</v>
      </c>
      <c r="AA91" s="26"/>
    </row>
    <row r="92">
      <c r="A92" s="16" t="s">
        <v>6</v>
      </c>
      <c r="B92" s="17">
        <v>91.0</v>
      </c>
      <c r="C92" s="24">
        <f t="shared" si="5"/>
        <v>12109.55476</v>
      </c>
      <c r="D92" s="25">
        <v>0.05</v>
      </c>
      <c r="E92" s="24">
        <f t="shared" si="6"/>
        <v>29.71566563</v>
      </c>
      <c r="F92" s="25">
        <v>0.02</v>
      </c>
      <c r="G92" s="24">
        <f t="shared" si="7"/>
        <v>8073.036505</v>
      </c>
      <c r="H92" s="25">
        <v>0.05</v>
      </c>
      <c r="I92" s="24">
        <f t="shared" si="8"/>
        <v>59.43133126</v>
      </c>
      <c r="J92" s="25">
        <v>0.02</v>
      </c>
      <c r="K92" s="25">
        <v>0.0</v>
      </c>
      <c r="L92" s="24" t="str">
        <f t="shared" ref="L92:O92" si="187">IF(L91="", "", 1 + MROUND(IFERROR(MINIFS(OFFSET(L91, -1, 0, -$B92, 1), OFFSET(L91, -1, 0, -$B92, 1), "&gt;0"), L91) + (LN(1 + $Z92) ^ U$2) * U$3, 1))</f>
        <v/>
      </c>
      <c r="M92" s="24">
        <f t="shared" si="187"/>
        <v>2454</v>
      </c>
      <c r="N92" s="24" t="str">
        <f t="shared" si="187"/>
        <v/>
      </c>
      <c r="O92" s="24">
        <f t="shared" si="187"/>
        <v>1293</v>
      </c>
      <c r="P92" s="24">
        <f t="shared" ref="P92:S92" si="188">L92*$Y$2</f>
        <v>0</v>
      </c>
      <c r="Q92" s="24">
        <f t="shared" si="188"/>
        <v>613.5</v>
      </c>
      <c r="R92" s="24">
        <f t="shared" si="188"/>
        <v>0</v>
      </c>
      <c r="S92" s="24">
        <f t="shared" si="188"/>
        <v>323.25</v>
      </c>
      <c r="T92" s="24">
        <f t="shared" si="4"/>
        <v>10</v>
      </c>
      <c r="Z92" s="25">
        <f t="shared" si="12"/>
        <v>21.11217595</v>
      </c>
      <c r="AA92" s="26"/>
    </row>
    <row r="93">
      <c r="A93" s="16" t="s">
        <v>6</v>
      </c>
      <c r="B93" s="17">
        <v>92.0</v>
      </c>
      <c r="C93" s="24">
        <f t="shared" si="5"/>
        <v>12715.0325</v>
      </c>
      <c r="D93" s="25">
        <v>0.05</v>
      </c>
      <c r="E93" s="24">
        <f t="shared" si="6"/>
        <v>30.30997894</v>
      </c>
      <c r="F93" s="25">
        <v>0.02</v>
      </c>
      <c r="G93" s="24">
        <f t="shared" si="7"/>
        <v>8476.68833</v>
      </c>
      <c r="H93" s="25">
        <v>0.05</v>
      </c>
      <c r="I93" s="24">
        <f t="shared" si="8"/>
        <v>60.61995789</v>
      </c>
      <c r="J93" s="25">
        <v>0.02</v>
      </c>
      <c r="K93" s="25">
        <v>0.0</v>
      </c>
      <c r="L93" s="24" t="str">
        <f t="shared" ref="L93:O93" si="189">IF(L92="", "", 1 + MROUND(IFERROR(MINIFS(OFFSET(L92, -1, 0, -$B93, 1), OFFSET(L92, -1, 0, -$B93, 1), "&gt;0"), L92) + (LN(1 + $Z93) ^ U$2) * U$3, 1))</f>
        <v/>
      </c>
      <c r="M93" s="24">
        <f t="shared" si="189"/>
        <v>2499</v>
      </c>
      <c r="N93" s="24" t="str">
        <f t="shared" si="189"/>
        <v/>
      </c>
      <c r="O93" s="24">
        <f t="shared" si="189"/>
        <v>1316</v>
      </c>
      <c r="P93" s="24">
        <f t="shared" ref="P93:S93" si="190">L93*$Y$2</f>
        <v>0</v>
      </c>
      <c r="Q93" s="24">
        <f t="shared" si="190"/>
        <v>624.75</v>
      </c>
      <c r="R93" s="24">
        <f t="shared" si="190"/>
        <v>0</v>
      </c>
      <c r="S93" s="24">
        <f t="shared" si="190"/>
        <v>329</v>
      </c>
      <c r="T93" s="24">
        <f t="shared" si="4"/>
        <v>10</v>
      </c>
      <c r="Z93" s="25">
        <f t="shared" si="12"/>
        <v>21.8861021</v>
      </c>
      <c r="AA93" s="26"/>
    </row>
    <row r="94">
      <c r="A94" s="16" t="s">
        <v>6</v>
      </c>
      <c r="B94" s="17">
        <v>93.0</v>
      </c>
      <c r="C94" s="24">
        <f t="shared" si="5"/>
        <v>13350.78412</v>
      </c>
      <c r="D94" s="25">
        <v>0.05</v>
      </c>
      <c r="E94" s="24">
        <f t="shared" si="6"/>
        <v>30.91617852</v>
      </c>
      <c r="F94" s="25">
        <v>0.02</v>
      </c>
      <c r="G94" s="24">
        <f t="shared" si="7"/>
        <v>8900.522747</v>
      </c>
      <c r="H94" s="25">
        <v>0.05</v>
      </c>
      <c r="I94" s="24">
        <f t="shared" si="8"/>
        <v>61.83235705</v>
      </c>
      <c r="J94" s="25">
        <v>0.02</v>
      </c>
      <c r="K94" s="25">
        <v>0.0</v>
      </c>
      <c r="L94" s="24" t="str">
        <f t="shared" ref="L94:O94" si="191">IF(L93="", "", 1 + MROUND(IFERROR(MINIFS(OFFSET(L93, -1, 0, -$B94, 1), OFFSET(L93, -1, 0, -$B94, 1), "&gt;0"), L93) + (LN(1 + $Z94) ^ U$2) * U$3, 1))</f>
        <v/>
      </c>
      <c r="M94" s="24">
        <f t="shared" si="191"/>
        <v>2545</v>
      </c>
      <c r="N94" s="24" t="str">
        <f t="shared" si="191"/>
        <v/>
      </c>
      <c r="O94" s="24">
        <f t="shared" si="191"/>
        <v>1339</v>
      </c>
      <c r="P94" s="24">
        <f t="shared" ref="P94:S94" si="192">L94*$Y$2</f>
        <v>0</v>
      </c>
      <c r="Q94" s="24">
        <f t="shared" si="192"/>
        <v>636.25</v>
      </c>
      <c r="R94" s="24">
        <f t="shared" si="192"/>
        <v>0</v>
      </c>
      <c r="S94" s="24">
        <f t="shared" si="192"/>
        <v>334.75</v>
      </c>
      <c r="T94" s="24">
        <f t="shared" si="4"/>
        <v>10</v>
      </c>
      <c r="Z94" s="25">
        <f t="shared" si="12"/>
        <v>22.68711568</v>
      </c>
      <c r="AA94" s="26"/>
    </row>
    <row r="95">
      <c r="A95" s="16" t="s">
        <v>6</v>
      </c>
      <c r="B95" s="17">
        <v>94.0</v>
      </c>
      <c r="C95" s="24">
        <f t="shared" si="5"/>
        <v>14018.32333</v>
      </c>
      <c r="D95" s="25">
        <v>0.05</v>
      </c>
      <c r="E95" s="24">
        <f t="shared" si="6"/>
        <v>31.53450209</v>
      </c>
      <c r="F95" s="25">
        <v>0.02</v>
      </c>
      <c r="G95" s="24">
        <f t="shared" si="7"/>
        <v>9345.548884</v>
      </c>
      <c r="H95" s="25">
        <v>0.05</v>
      </c>
      <c r="I95" s="24">
        <f t="shared" si="8"/>
        <v>63.06900419</v>
      </c>
      <c r="J95" s="25">
        <v>0.02</v>
      </c>
      <c r="K95" s="25">
        <v>0.0</v>
      </c>
      <c r="L95" s="24" t="str">
        <f t="shared" ref="L95:O95" si="193">IF(L94="", "", 1 + MROUND(IFERROR(MINIFS(OFFSET(L94, -1, 0, -$B95, 1), OFFSET(L94, -1, 0, -$B95, 1), "&gt;0"), L94) + (LN(1 + $Z95) ^ U$2) * U$3, 1))</f>
        <v/>
      </c>
      <c r="M95" s="24">
        <f t="shared" si="193"/>
        <v>2591</v>
      </c>
      <c r="N95" s="24" t="str">
        <f t="shared" si="193"/>
        <v/>
      </c>
      <c r="O95" s="24">
        <f t="shared" si="193"/>
        <v>1363</v>
      </c>
      <c r="P95" s="24">
        <f t="shared" ref="P95:S95" si="194">L95*$Y$2</f>
        <v>0</v>
      </c>
      <c r="Q95" s="24">
        <f t="shared" si="194"/>
        <v>647.75</v>
      </c>
      <c r="R95" s="24">
        <f t="shared" si="194"/>
        <v>0</v>
      </c>
      <c r="S95" s="24">
        <f t="shared" si="194"/>
        <v>340.75</v>
      </c>
      <c r="T95" s="24">
        <f t="shared" si="4"/>
        <v>10</v>
      </c>
      <c r="Z95" s="25">
        <f t="shared" si="12"/>
        <v>23.51616473</v>
      </c>
      <c r="AA95" s="26"/>
    </row>
    <row r="96">
      <c r="A96" s="16" t="s">
        <v>6</v>
      </c>
      <c r="B96" s="17">
        <v>95.0</v>
      </c>
      <c r="C96" s="24">
        <f t="shared" si="5"/>
        <v>14719.23949</v>
      </c>
      <c r="D96" s="25">
        <v>0.05</v>
      </c>
      <c r="E96" s="24">
        <f t="shared" si="6"/>
        <v>32.16519214</v>
      </c>
      <c r="F96" s="25">
        <v>0.02</v>
      </c>
      <c r="G96" s="24">
        <f t="shared" si="7"/>
        <v>9812.826328</v>
      </c>
      <c r="H96" s="25">
        <v>0.05</v>
      </c>
      <c r="I96" s="24">
        <f t="shared" si="8"/>
        <v>64.33038427</v>
      </c>
      <c r="J96" s="25">
        <v>0.02</v>
      </c>
      <c r="K96" s="25">
        <v>0.0</v>
      </c>
      <c r="L96" s="24" t="str">
        <f t="shared" ref="L96:O96" si="195">IF(L95="", "", 1 + MROUND(IFERROR(MINIFS(OFFSET(L95, -1, 0, -$B96, 1), OFFSET(L95, -1, 0, -$B96, 1), "&gt;0"), L95) + (LN(1 + $Z96) ^ U$2) * U$3, 1))</f>
        <v/>
      </c>
      <c r="M96" s="24">
        <f t="shared" si="195"/>
        <v>2637</v>
      </c>
      <c r="N96" s="24" t="str">
        <f t="shared" si="195"/>
        <v/>
      </c>
      <c r="O96" s="24">
        <f t="shared" si="195"/>
        <v>1387</v>
      </c>
      <c r="P96" s="24">
        <f t="shared" ref="P96:S96" si="196">L96*$Y$2</f>
        <v>0</v>
      </c>
      <c r="Q96" s="24">
        <f t="shared" si="196"/>
        <v>659.25</v>
      </c>
      <c r="R96" s="24">
        <f t="shared" si="196"/>
        <v>0</v>
      </c>
      <c r="S96" s="24">
        <f t="shared" si="196"/>
        <v>346.75</v>
      </c>
      <c r="T96" s="24">
        <f t="shared" si="4"/>
        <v>11</v>
      </c>
      <c r="Z96" s="25">
        <f t="shared" si="12"/>
        <v>24.37423049</v>
      </c>
      <c r="AA96" s="26"/>
    </row>
    <row r="97">
      <c r="A97" s="16" t="s">
        <v>6</v>
      </c>
      <c r="B97" s="17">
        <v>96.0</v>
      </c>
      <c r="C97" s="24">
        <f t="shared" si="5"/>
        <v>15455.20147</v>
      </c>
      <c r="D97" s="25">
        <v>0.05</v>
      </c>
      <c r="E97" s="24">
        <f t="shared" si="6"/>
        <v>32.80849598</v>
      </c>
      <c r="F97" s="25">
        <v>0.02</v>
      </c>
      <c r="G97" s="24">
        <f t="shared" si="7"/>
        <v>10303.46764</v>
      </c>
      <c r="H97" s="25">
        <v>0.05</v>
      </c>
      <c r="I97" s="24">
        <f t="shared" si="8"/>
        <v>65.61699196</v>
      </c>
      <c r="J97" s="25">
        <v>0.02</v>
      </c>
      <c r="K97" s="25">
        <v>0.0</v>
      </c>
      <c r="L97" s="24" t="str">
        <f t="shared" ref="L97:O97" si="197">IF(L96="", "", 1 + MROUND(IFERROR(MINIFS(OFFSET(L96, -1, 0, -$B97, 1), OFFSET(L96, -1, 0, -$B97, 1), "&gt;0"), L96) + (LN(1 + $Z97) ^ U$2) * U$3, 1))</f>
        <v/>
      </c>
      <c r="M97" s="24">
        <f t="shared" si="197"/>
        <v>2684</v>
      </c>
      <c r="N97" s="24" t="str">
        <f t="shared" si="197"/>
        <v/>
      </c>
      <c r="O97" s="24">
        <f t="shared" si="197"/>
        <v>1411</v>
      </c>
      <c r="P97" s="24">
        <f t="shared" ref="P97:S97" si="198">L97*$Y$2</f>
        <v>0</v>
      </c>
      <c r="Q97" s="24">
        <f t="shared" si="198"/>
        <v>671</v>
      </c>
      <c r="R97" s="24">
        <f t="shared" si="198"/>
        <v>0</v>
      </c>
      <c r="S97" s="24">
        <f t="shared" si="198"/>
        <v>352.75</v>
      </c>
      <c r="T97" s="24">
        <f t="shared" si="4"/>
        <v>11</v>
      </c>
      <c r="Z97" s="25">
        <f t="shared" si="12"/>
        <v>25.26232856</v>
      </c>
      <c r="AA97" s="26"/>
    </row>
    <row r="98">
      <c r="A98" s="16" t="s">
        <v>6</v>
      </c>
      <c r="B98" s="17">
        <v>97.0</v>
      </c>
      <c r="C98" s="24">
        <f t="shared" si="5"/>
        <v>16227.96154</v>
      </c>
      <c r="D98" s="25">
        <v>0.05</v>
      </c>
      <c r="E98" s="24">
        <f t="shared" si="6"/>
        <v>33.4646659</v>
      </c>
      <c r="F98" s="25">
        <v>0.02</v>
      </c>
      <c r="G98" s="24">
        <f t="shared" si="7"/>
        <v>10818.64103</v>
      </c>
      <c r="H98" s="25">
        <v>0.05</v>
      </c>
      <c r="I98" s="24">
        <f t="shared" si="8"/>
        <v>66.9293318</v>
      </c>
      <c r="J98" s="25">
        <v>0.02</v>
      </c>
      <c r="K98" s="25">
        <v>0.0</v>
      </c>
      <c r="L98" s="24" t="str">
        <f t="shared" ref="L98:O98" si="199">IF(L97="", "", 1 + MROUND(IFERROR(MINIFS(OFFSET(L97, -1, 0, -$B98, 1), OFFSET(L97, -1, 0, -$B98, 1), "&gt;0"), L97) + (LN(1 + $Z98) ^ U$2) * U$3, 1))</f>
        <v/>
      </c>
      <c r="M98" s="24">
        <f t="shared" si="199"/>
        <v>2731</v>
      </c>
      <c r="N98" s="24" t="str">
        <f t="shared" si="199"/>
        <v/>
      </c>
      <c r="O98" s="24">
        <f t="shared" si="199"/>
        <v>1435</v>
      </c>
      <c r="P98" s="24">
        <f t="shared" ref="P98:S98" si="200">L98*$Y$2</f>
        <v>0</v>
      </c>
      <c r="Q98" s="24">
        <f t="shared" si="200"/>
        <v>682.75</v>
      </c>
      <c r="R98" s="24">
        <f t="shared" si="200"/>
        <v>0</v>
      </c>
      <c r="S98" s="24">
        <f t="shared" si="200"/>
        <v>358.75</v>
      </c>
      <c r="T98" s="24">
        <f t="shared" si="4"/>
        <v>11</v>
      </c>
      <c r="Z98" s="25">
        <f t="shared" si="12"/>
        <v>26.18151006</v>
      </c>
      <c r="AA98" s="26"/>
    </row>
    <row r="99">
      <c r="A99" s="16" t="s">
        <v>6</v>
      </c>
      <c r="B99" s="17">
        <v>98.0</v>
      </c>
      <c r="C99" s="24">
        <f t="shared" si="5"/>
        <v>17039.35962</v>
      </c>
      <c r="D99" s="25">
        <v>0.05</v>
      </c>
      <c r="E99" s="24">
        <f t="shared" si="6"/>
        <v>34.13395922</v>
      </c>
      <c r="F99" s="25">
        <v>0.02</v>
      </c>
      <c r="G99" s="24">
        <f t="shared" si="7"/>
        <v>11359.57308</v>
      </c>
      <c r="H99" s="25">
        <v>0.05</v>
      </c>
      <c r="I99" s="24">
        <f t="shared" si="8"/>
        <v>68.26791843</v>
      </c>
      <c r="J99" s="25">
        <v>0.02</v>
      </c>
      <c r="K99" s="25">
        <v>0.0</v>
      </c>
      <c r="L99" s="24" t="str">
        <f t="shared" ref="L99:O99" si="201">IF(L98="", "", 1 + MROUND(IFERROR(MINIFS(OFFSET(L98, -1, 0, -$B99, 1), OFFSET(L98, -1, 0, -$B99, 1), "&gt;0"), L98) + (LN(1 + $Z99) ^ U$2) * U$3, 1))</f>
        <v/>
      </c>
      <c r="M99" s="24">
        <f t="shared" si="201"/>
        <v>2778</v>
      </c>
      <c r="N99" s="24" t="str">
        <f t="shared" si="201"/>
        <v/>
      </c>
      <c r="O99" s="24">
        <f t="shared" si="201"/>
        <v>1459</v>
      </c>
      <c r="P99" s="24">
        <f t="shared" ref="P99:S99" si="202">L99*$Y$2</f>
        <v>0</v>
      </c>
      <c r="Q99" s="24">
        <f t="shared" si="202"/>
        <v>694.5</v>
      </c>
      <c r="R99" s="24">
        <f t="shared" si="202"/>
        <v>0</v>
      </c>
      <c r="S99" s="24">
        <f t="shared" si="202"/>
        <v>364.75</v>
      </c>
      <c r="T99" s="24">
        <f t="shared" si="4"/>
        <v>11</v>
      </c>
      <c r="Z99" s="25">
        <f t="shared" si="12"/>
        <v>27.13286291</v>
      </c>
      <c r="AA99" s="26"/>
    </row>
    <row r="100">
      <c r="A100" s="16" t="s">
        <v>6</v>
      </c>
      <c r="B100" s="17">
        <v>99.0</v>
      </c>
      <c r="C100" s="24">
        <f t="shared" si="5"/>
        <v>17891.3276</v>
      </c>
      <c r="D100" s="25">
        <v>0.05</v>
      </c>
      <c r="E100" s="24">
        <f t="shared" si="6"/>
        <v>34.8166384</v>
      </c>
      <c r="F100" s="25">
        <v>0.02</v>
      </c>
      <c r="G100" s="24">
        <f t="shared" si="7"/>
        <v>11927.55173</v>
      </c>
      <c r="H100" s="25">
        <v>0.05</v>
      </c>
      <c r="I100" s="24">
        <f t="shared" si="8"/>
        <v>69.6332768</v>
      </c>
      <c r="J100" s="25">
        <v>0.02</v>
      </c>
      <c r="K100" s="25">
        <v>0.0</v>
      </c>
      <c r="L100" s="24" t="str">
        <f t="shared" ref="L100:O100" si="203">IF(L99="", "", 1 + MROUND(IFERROR(MINIFS(OFFSET(L99, -1, 0, -$B100, 1), OFFSET(L99, -1, 0, -$B100, 1), "&gt;0"), L99) + (LN(1 + $Z100) ^ U$2) * U$3, 1))</f>
        <v/>
      </c>
      <c r="M100" s="24">
        <f t="shared" si="203"/>
        <v>2826</v>
      </c>
      <c r="N100" s="24" t="str">
        <f t="shared" si="203"/>
        <v/>
      </c>
      <c r="O100" s="24">
        <f t="shared" si="203"/>
        <v>1483</v>
      </c>
      <c r="P100" s="24">
        <f t="shared" ref="P100:S100" si="204">L100*$Y$2</f>
        <v>0</v>
      </c>
      <c r="Q100" s="24">
        <f t="shared" si="204"/>
        <v>706.5</v>
      </c>
      <c r="R100" s="24">
        <f t="shared" si="204"/>
        <v>0</v>
      </c>
      <c r="S100" s="24">
        <f t="shared" si="204"/>
        <v>370.75</v>
      </c>
      <c r="T100" s="24">
        <f t="shared" si="4"/>
        <v>11</v>
      </c>
      <c r="Z100" s="25">
        <f t="shared" si="12"/>
        <v>28.11751311</v>
      </c>
      <c r="AA100" s="26"/>
    </row>
    <row r="101">
      <c r="A101" s="16" t="s">
        <v>6</v>
      </c>
      <c r="B101" s="17">
        <v>100.0</v>
      </c>
      <c r="C101" s="24">
        <f t="shared" si="5"/>
        <v>18785.89398</v>
      </c>
      <c r="D101" s="25">
        <v>0.05</v>
      </c>
      <c r="E101" s="24">
        <f t="shared" si="6"/>
        <v>35.51297117</v>
      </c>
      <c r="F101" s="25">
        <v>0.02</v>
      </c>
      <c r="G101" s="24">
        <f t="shared" si="7"/>
        <v>12523.92932</v>
      </c>
      <c r="H101" s="25">
        <v>0.05</v>
      </c>
      <c r="I101" s="24">
        <f t="shared" si="8"/>
        <v>71.02594234</v>
      </c>
      <c r="J101" s="25">
        <v>0.02</v>
      </c>
      <c r="K101" s="25">
        <v>0.0</v>
      </c>
      <c r="L101" s="24" t="str">
        <f t="shared" ref="L101:O101" si="205">IF(L100="", "", 1 + MROUND(IFERROR(MINIFS(OFFSET(L100, -1, 0, -$B101, 1), OFFSET(L100, -1, 0, -$B101, 1), "&gt;0"), L100) + (LN(1 + $Z101) ^ U$2) * U$3, 1))</f>
        <v/>
      </c>
      <c r="M101" s="24">
        <f t="shared" si="205"/>
        <v>2874</v>
      </c>
      <c r="N101" s="24" t="str">
        <f t="shared" si="205"/>
        <v/>
      </c>
      <c r="O101" s="24">
        <f t="shared" si="205"/>
        <v>1508</v>
      </c>
      <c r="P101" s="24">
        <f t="shared" ref="P101:S101" si="206">L101*$Y$2</f>
        <v>0</v>
      </c>
      <c r="Q101" s="24">
        <f t="shared" si="206"/>
        <v>718.5</v>
      </c>
      <c r="R101" s="24">
        <f t="shared" si="206"/>
        <v>0</v>
      </c>
      <c r="S101" s="24">
        <f t="shared" si="206"/>
        <v>377</v>
      </c>
      <c r="T101" s="24">
        <f t="shared" si="4"/>
        <v>11</v>
      </c>
      <c r="Z101" s="25">
        <f t="shared" si="12"/>
        <v>29.13662607</v>
      </c>
      <c r="AA101" s="26"/>
    </row>
    <row r="102">
      <c r="A102" s="16" t="s">
        <v>6</v>
      </c>
      <c r="B102" s="17">
        <v>101.0</v>
      </c>
      <c r="C102" s="24">
        <f t="shared" si="5"/>
        <v>19725.18868</v>
      </c>
      <c r="D102" s="25">
        <v>0.05</v>
      </c>
      <c r="E102" s="24">
        <f t="shared" si="6"/>
        <v>36.22323059</v>
      </c>
      <c r="F102" s="25">
        <v>0.02</v>
      </c>
      <c r="G102" s="24">
        <f t="shared" si="7"/>
        <v>13150.12578</v>
      </c>
      <c r="H102" s="25">
        <v>0.05</v>
      </c>
      <c r="I102" s="24">
        <f t="shared" si="8"/>
        <v>72.44646118</v>
      </c>
      <c r="J102" s="25">
        <v>0.02</v>
      </c>
      <c r="K102" s="25">
        <v>0.0</v>
      </c>
      <c r="L102" s="29">
        <f>M102*10</f>
        <v>29220</v>
      </c>
      <c r="M102" s="24">
        <f t="shared" ref="M102:O102" si="207">IF(M101="", "", 1 + MROUND(IFERROR(MINIFS(OFFSET(M101, -1, 0, -$B102, 1), OFFSET(M101, -1, 0, -$B102, 1), "&gt;0"), M101) + (LN(1 + $Z102) ^ V$2) * V$3, 1))</f>
        <v>2922</v>
      </c>
      <c r="N102" s="24" t="str">
        <f t="shared" si="207"/>
        <v/>
      </c>
      <c r="O102" s="24">
        <f t="shared" si="207"/>
        <v>1533</v>
      </c>
      <c r="P102" s="24">
        <f t="shared" ref="P102:S102" si="208">L102*$Y$2</f>
        <v>7305</v>
      </c>
      <c r="Q102" s="24">
        <f t="shared" si="208"/>
        <v>730.5</v>
      </c>
      <c r="R102" s="24">
        <f t="shared" si="208"/>
        <v>0</v>
      </c>
      <c r="S102" s="24">
        <f t="shared" si="208"/>
        <v>383.25</v>
      </c>
      <c r="T102" s="24">
        <f t="shared" si="4"/>
        <v>11</v>
      </c>
      <c r="Z102" s="25">
        <f t="shared" si="12"/>
        <v>30.19140798</v>
      </c>
      <c r="AA102" s="26"/>
    </row>
    <row r="103">
      <c r="A103" s="16" t="s">
        <v>6</v>
      </c>
      <c r="B103" s="17">
        <v>102.0</v>
      </c>
      <c r="C103" s="24">
        <f t="shared" si="5"/>
        <v>20711.44811</v>
      </c>
      <c r="D103" s="25">
        <v>0.05</v>
      </c>
      <c r="E103" s="24">
        <f t="shared" si="6"/>
        <v>36.9476952</v>
      </c>
      <c r="F103" s="25">
        <v>0.02</v>
      </c>
      <c r="G103" s="24">
        <f t="shared" si="7"/>
        <v>13807.63207</v>
      </c>
      <c r="H103" s="25">
        <v>0.05</v>
      </c>
      <c r="I103" s="24">
        <f t="shared" si="8"/>
        <v>73.89539041</v>
      </c>
      <c r="J103" s="25">
        <v>0.02</v>
      </c>
      <c r="K103" s="25">
        <v>0.0</v>
      </c>
      <c r="L103" s="24">
        <f t="shared" ref="L103:O103" si="209">IF(L102="", "", 1 + MROUND(IFERROR(MINIFS(OFFSET(L102, -1, 0, -$B103, 1), OFFSET(L102, -1, 0, -$B103, 1), "&gt;0"), L102) + (LN(1 + $Z103) ^ U$2) * U$3, 1))</f>
        <v>29819</v>
      </c>
      <c r="M103" s="24">
        <f t="shared" si="209"/>
        <v>2971</v>
      </c>
      <c r="N103" s="24" t="str">
        <f t="shared" si="209"/>
        <v/>
      </c>
      <c r="O103" s="24">
        <f t="shared" si="209"/>
        <v>1558</v>
      </c>
      <c r="P103" s="24">
        <f t="shared" ref="P103:S103" si="210">L103*$Y$2</f>
        <v>7454.75</v>
      </c>
      <c r="Q103" s="24">
        <f t="shared" si="210"/>
        <v>742.75</v>
      </c>
      <c r="R103" s="24">
        <f t="shared" si="210"/>
        <v>0</v>
      </c>
      <c r="S103" s="24">
        <f t="shared" si="210"/>
        <v>389.5</v>
      </c>
      <c r="T103" s="24">
        <f t="shared" si="4"/>
        <v>11</v>
      </c>
      <c r="Z103" s="25">
        <f t="shared" si="12"/>
        <v>31.28310726</v>
      </c>
      <c r="AA103" s="26"/>
    </row>
    <row r="104">
      <c r="A104" s="16" t="s">
        <v>6</v>
      </c>
      <c r="B104" s="17">
        <v>103.0</v>
      </c>
      <c r="C104" s="24">
        <f t="shared" si="5"/>
        <v>21747.02052</v>
      </c>
      <c r="D104" s="25">
        <v>0.05</v>
      </c>
      <c r="E104" s="24">
        <f t="shared" si="6"/>
        <v>37.68664911</v>
      </c>
      <c r="F104" s="25">
        <v>0.02</v>
      </c>
      <c r="G104" s="24">
        <f t="shared" si="7"/>
        <v>14498.01368</v>
      </c>
      <c r="H104" s="25">
        <v>0.05</v>
      </c>
      <c r="I104" s="24">
        <f t="shared" si="8"/>
        <v>75.37329821</v>
      </c>
      <c r="J104" s="25">
        <v>0.02</v>
      </c>
      <c r="K104" s="25">
        <v>0.0</v>
      </c>
      <c r="L104" s="24">
        <f t="shared" ref="L104:O104" si="211">IF(L103="", "", 1 + MROUND(IFERROR(MINIFS(OFFSET(L103, -1, 0, -$B104, 1), OFFSET(L103, -1, 0, -$B104, 1), "&gt;0"), L103) + (LN(1 + $Z104) ^ U$2) * U$3, 1))</f>
        <v>30422</v>
      </c>
      <c r="M104" s="24">
        <f t="shared" si="211"/>
        <v>3020</v>
      </c>
      <c r="N104" s="24" t="str">
        <f t="shared" si="211"/>
        <v/>
      </c>
      <c r="O104" s="24">
        <f t="shared" si="211"/>
        <v>1583</v>
      </c>
      <c r="P104" s="24">
        <f t="shared" ref="P104:S104" si="212">L104*$Y$2</f>
        <v>7605.5</v>
      </c>
      <c r="Q104" s="24">
        <f t="shared" si="212"/>
        <v>755</v>
      </c>
      <c r="R104" s="24">
        <f t="shared" si="212"/>
        <v>0</v>
      </c>
      <c r="S104" s="24">
        <f t="shared" si="212"/>
        <v>395.75</v>
      </c>
      <c r="T104" s="24">
        <f t="shared" si="4"/>
        <v>11</v>
      </c>
      <c r="Z104" s="25">
        <f t="shared" si="12"/>
        <v>32.41301602</v>
      </c>
      <c r="AA104" s="26"/>
    </row>
    <row r="105">
      <c r="A105" s="16" t="s">
        <v>6</v>
      </c>
      <c r="B105" s="17">
        <v>104.0</v>
      </c>
      <c r="C105" s="24">
        <f t="shared" si="5"/>
        <v>22834.37154</v>
      </c>
      <c r="D105" s="25">
        <v>0.05</v>
      </c>
      <c r="E105" s="24">
        <f t="shared" si="6"/>
        <v>38.44038209</v>
      </c>
      <c r="F105" s="25">
        <v>0.02</v>
      </c>
      <c r="G105" s="24">
        <f t="shared" si="7"/>
        <v>15222.91436</v>
      </c>
      <c r="H105" s="25">
        <v>0.05</v>
      </c>
      <c r="I105" s="24">
        <f t="shared" si="8"/>
        <v>76.88076418</v>
      </c>
      <c r="J105" s="25">
        <v>0.02</v>
      </c>
      <c r="K105" s="25">
        <v>0.0</v>
      </c>
      <c r="L105" s="24">
        <f t="shared" ref="L105:O105" si="213">IF(L104="", "", 1 + MROUND(IFERROR(MINIFS(OFFSET(L104, -1, 0, -$B105, 1), OFFSET(L104, -1, 0, -$B105, 1), "&gt;0"), L104) + (LN(1 + $Z105) ^ U$2) * U$3, 1))</f>
        <v>31029</v>
      </c>
      <c r="M105" s="24">
        <f t="shared" si="213"/>
        <v>3069</v>
      </c>
      <c r="N105" s="24" t="str">
        <f t="shared" si="213"/>
        <v/>
      </c>
      <c r="O105" s="24">
        <f t="shared" si="213"/>
        <v>1608</v>
      </c>
      <c r="P105" s="24">
        <f t="shared" ref="P105:S105" si="214">L105*$Y$2</f>
        <v>7757.25</v>
      </c>
      <c r="Q105" s="24">
        <f t="shared" si="214"/>
        <v>767.25</v>
      </c>
      <c r="R105" s="24">
        <f t="shared" si="214"/>
        <v>0</v>
      </c>
      <c r="S105" s="24">
        <f t="shared" si="214"/>
        <v>402</v>
      </c>
      <c r="T105" s="24">
        <f t="shared" si="4"/>
        <v>11</v>
      </c>
      <c r="Z105" s="25">
        <f t="shared" si="12"/>
        <v>33.58247158</v>
      </c>
      <c r="AA105" s="26"/>
    </row>
    <row r="106">
      <c r="A106" s="16" t="s">
        <v>6</v>
      </c>
      <c r="B106" s="17">
        <v>105.0</v>
      </c>
      <c r="C106" s="24">
        <f t="shared" si="5"/>
        <v>23976.09012</v>
      </c>
      <c r="D106" s="25">
        <v>0.05</v>
      </c>
      <c r="E106" s="24">
        <f t="shared" si="6"/>
        <v>39.20918973</v>
      </c>
      <c r="F106" s="25">
        <v>0.02</v>
      </c>
      <c r="G106" s="24">
        <f t="shared" si="7"/>
        <v>15984.06008</v>
      </c>
      <c r="H106" s="25">
        <v>0.05</v>
      </c>
      <c r="I106" s="24">
        <f t="shared" si="8"/>
        <v>78.41837946</v>
      </c>
      <c r="J106" s="25">
        <v>0.02</v>
      </c>
      <c r="K106" s="25">
        <v>0.0</v>
      </c>
      <c r="L106" s="24">
        <f t="shared" ref="L106:O106" si="215">IF(L105="", "", 1 + MROUND(IFERROR(MINIFS(OFFSET(L105, -1, 0, -$B106, 1), OFFSET(L105, -1, 0, -$B106, 1), "&gt;0"), L105) + (LN(1 + $Z106) ^ U$2) * U$3, 1))</f>
        <v>31640</v>
      </c>
      <c r="M106" s="24">
        <f t="shared" si="215"/>
        <v>3119</v>
      </c>
      <c r="N106" s="24" t="str">
        <f t="shared" si="215"/>
        <v/>
      </c>
      <c r="O106" s="24">
        <f t="shared" si="215"/>
        <v>1633</v>
      </c>
      <c r="P106" s="24">
        <f t="shared" ref="P106:S106" si="216">L106*$Y$2</f>
        <v>7910</v>
      </c>
      <c r="Q106" s="24">
        <f t="shared" si="216"/>
        <v>779.75</v>
      </c>
      <c r="R106" s="24">
        <f t="shared" si="216"/>
        <v>0</v>
      </c>
      <c r="S106" s="24">
        <f t="shared" si="216"/>
        <v>408.25</v>
      </c>
      <c r="T106" s="24">
        <f t="shared" si="4"/>
        <v>12</v>
      </c>
      <c r="Z106" s="25">
        <f t="shared" si="12"/>
        <v>34.79285808</v>
      </c>
      <c r="AA106" s="26"/>
    </row>
    <row r="107">
      <c r="A107" s="16" t="s">
        <v>6</v>
      </c>
      <c r="B107" s="17">
        <v>106.0</v>
      </c>
      <c r="C107" s="24">
        <f t="shared" si="5"/>
        <v>25174.89463</v>
      </c>
      <c r="D107" s="25">
        <v>0.05</v>
      </c>
      <c r="E107" s="24">
        <f t="shared" si="6"/>
        <v>39.99337353</v>
      </c>
      <c r="F107" s="25">
        <v>0.02</v>
      </c>
      <c r="G107" s="24">
        <f t="shared" si="7"/>
        <v>16783.26308</v>
      </c>
      <c r="H107" s="25">
        <v>0.05</v>
      </c>
      <c r="I107" s="24">
        <f t="shared" si="8"/>
        <v>79.98674705</v>
      </c>
      <c r="J107" s="25">
        <v>0.02</v>
      </c>
      <c r="K107" s="25">
        <v>0.0</v>
      </c>
      <c r="L107" s="24">
        <f t="shared" ref="L107:O107" si="217">IF(L106="", "", 1 + MROUND(IFERROR(MINIFS(OFFSET(L106, -1, 0, -$B107, 1), OFFSET(L106, -1, 0, -$B107, 1), "&gt;0"), L106) + (LN(1 + $Z107) ^ U$2) * U$3, 1))</f>
        <v>32255</v>
      </c>
      <c r="M107" s="24">
        <f t="shared" si="217"/>
        <v>3169</v>
      </c>
      <c r="N107" s="24" t="str">
        <f t="shared" si="217"/>
        <v/>
      </c>
      <c r="O107" s="24">
        <f t="shared" si="217"/>
        <v>1659</v>
      </c>
      <c r="P107" s="24">
        <f t="shared" ref="P107:S107" si="218">L107*$Y$2</f>
        <v>8063.75</v>
      </c>
      <c r="Q107" s="24">
        <f t="shared" si="218"/>
        <v>792.25</v>
      </c>
      <c r="R107" s="24">
        <f t="shared" si="218"/>
        <v>0</v>
      </c>
      <c r="S107" s="24">
        <f t="shared" si="218"/>
        <v>414.75</v>
      </c>
      <c r="T107" s="24">
        <f t="shared" si="4"/>
        <v>12</v>
      </c>
      <c r="Z107" s="25">
        <f t="shared" si="12"/>
        <v>36.04560812</v>
      </c>
      <c r="AA107" s="26"/>
    </row>
    <row r="108">
      <c r="A108" s="16" t="s">
        <v>6</v>
      </c>
      <c r="B108" s="17">
        <v>107.0</v>
      </c>
      <c r="C108" s="24">
        <f t="shared" si="5"/>
        <v>26433.63936</v>
      </c>
      <c r="D108" s="25">
        <v>0.05</v>
      </c>
      <c r="E108" s="24">
        <f t="shared" si="6"/>
        <v>40.793241</v>
      </c>
      <c r="F108" s="25">
        <v>0.02</v>
      </c>
      <c r="G108" s="24">
        <f t="shared" si="7"/>
        <v>17622.42624</v>
      </c>
      <c r="H108" s="25">
        <v>0.05</v>
      </c>
      <c r="I108" s="24">
        <f t="shared" si="8"/>
        <v>81.58648199</v>
      </c>
      <c r="J108" s="25">
        <v>0.02</v>
      </c>
      <c r="K108" s="25">
        <v>0.0</v>
      </c>
      <c r="L108" s="24">
        <f t="shared" ref="L108:O108" si="219">IF(L107="", "", 1 + MROUND(IFERROR(MINIFS(OFFSET(L107, -1, 0, -$B108, 1), OFFSET(L107, -1, 0, -$B108, 1), "&gt;0"), L107) + (LN(1 + $Z108) ^ U$2) * U$3, 1))</f>
        <v>32874</v>
      </c>
      <c r="M108" s="24">
        <f t="shared" si="219"/>
        <v>3219</v>
      </c>
      <c r="N108" s="24" t="str">
        <f t="shared" si="219"/>
        <v/>
      </c>
      <c r="O108" s="24">
        <f t="shared" si="219"/>
        <v>1685</v>
      </c>
      <c r="P108" s="24">
        <f t="shared" ref="P108:S108" si="220">L108*$Y$2</f>
        <v>8218.5</v>
      </c>
      <c r="Q108" s="24">
        <f t="shared" si="220"/>
        <v>804.75</v>
      </c>
      <c r="R108" s="24">
        <f t="shared" si="220"/>
        <v>0</v>
      </c>
      <c r="S108" s="24">
        <f t="shared" si="220"/>
        <v>421.25</v>
      </c>
      <c r="T108" s="24">
        <f t="shared" si="4"/>
        <v>12</v>
      </c>
      <c r="Z108" s="25">
        <f t="shared" si="12"/>
        <v>37.3422044</v>
      </c>
      <c r="AA108" s="26"/>
    </row>
    <row r="109">
      <c r="A109" s="16" t="s">
        <v>6</v>
      </c>
      <c r="B109" s="17">
        <v>108.0</v>
      </c>
      <c r="C109" s="24">
        <f t="shared" si="5"/>
        <v>27755.32132</v>
      </c>
      <c r="D109" s="25">
        <v>0.05</v>
      </c>
      <c r="E109" s="24">
        <f t="shared" si="6"/>
        <v>41.60910582</v>
      </c>
      <c r="F109" s="25">
        <v>0.02</v>
      </c>
      <c r="G109" s="24">
        <f t="shared" si="7"/>
        <v>18503.54755</v>
      </c>
      <c r="H109" s="25">
        <v>0.05</v>
      </c>
      <c r="I109" s="24">
        <f t="shared" si="8"/>
        <v>83.21821163</v>
      </c>
      <c r="J109" s="25">
        <v>0.02</v>
      </c>
      <c r="K109" s="25">
        <v>0.0</v>
      </c>
      <c r="L109" s="24">
        <f t="shared" ref="L109:O109" si="221">IF(L108="", "", 1 + MROUND(IFERROR(MINIFS(OFFSET(L108, -1, 0, -$B109, 1), OFFSET(L108, -1, 0, -$B109, 1), "&gt;0"), L108) + (LN(1 + $Z109) ^ U$2) * U$3, 1))</f>
        <v>33497</v>
      </c>
      <c r="M109" s="24">
        <f t="shared" si="221"/>
        <v>3270</v>
      </c>
      <c r="N109" s="24" t="str">
        <f t="shared" si="221"/>
        <v/>
      </c>
      <c r="O109" s="24">
        <f t="shared" si="221"/>
        <v>1711</v>
      </c>
      <c r="P109" s="24">
        <f t="shared" ref="P109:S109" si="222">L109*$Y$2</f>
        <v>8374.25</v>
      </c>
      <c r="Q109" s="24">
        <f t="shared" si="222"/>
        <v>817.5</v>
      </c>
      <c r="R109" s="24">
        <f t="shared" si="222"/>
        <v>0</v>
      </c>
      <c r="S109" s="24">
        <f t="shared" si="222"/>
        <v>427.75</v>
      </c>
      <c r="T109" s="24">
        <f t="shared" si="4"/>
        <v>12</v>
      </c>
      <c r="Z109" s="25">
        <f t="shared" si="12"/>
        <v>38.68418155</v>
      </c>
      <c r="AA109" s="26"/>
    </row>
    <row r="110">
      <c r="A110" s="16" t="s">
        <v>6</v>
      </c>
      <c r="B110" s="17">
        <v>109.0</v>
      </c>
      <c r="C110" s="24">
        <f t="shared" si="5"/>
        <v>29143.08739</v>
      </c>
      <c r="D110" s="25">
        <v>0.05</v>
      </c>
      <c r="E110" s="24">
        <f t="shared" si="6"/>
        <v>42.44128793</v>
      </c>
      <c r="F110" s="25">
        <v>0.02</v>
      </c>
      <c r="G110" s="24">
        <f t="shared" si="7"/>
        <v>19428.72493</v>
      </c>
      <c r="H110" s="25">
        <v>0.05</v>
      </c>
      <c r="I110" s="24">
        <f t="shared" si="8"/>
        <v>84.88257586</v>
      </c>
      <c r="J110" s="25">
        <v>0.02</v>
      </c>
      <c r="K110" s="25">
        <v>0.0</v>
      </c>
      <c r="L110" s="24">
        <f t="shared" ref="L110:O110" si="223">IF(L109="", "", 1 + MROUND(IFERROR(MINIFS(OFFSET(L109, -1, 0, -$B110, 1), OFFSET(L109, -1, 0, -$B110, 1), "&gt;0"), L109) + (LN(1 + $Z110) ^ U$2) * U$3, 1))</f>
        <v>34125</v>
      </c>
      <c r="M110" s="24">
        <f t="shared" si="223"/>
        <v>3321</v>
      </c>
      <c r="N110" s="24" t="str">
        <f t="shared" si="223"/>
        <v/>
      </c>
      <c r="O110" s="24">
        <f t="shared" si="223"/>
        <v>1737</v>
      </c>
      <c r="P110" s="24">
        <f t="shared" ref="P110:S110" si="224">L110*$Y$2</f>
        <v>8531.25</v>
      </c>
      <c r="Q110" s="24">
        <f t="shared" si="224"/>
        <v>830.25</v>
      </c>
      <c r="R110" s="24">
        <f t="shared" si="224"/>
        <v>0</v>
      </c>
      <c r="S110" s="24">
        <f t="shared" si="224"/>
        <v>434.25</v>
      </c>
      <c r="T110" s="24">
        <f t="shared" si="4"/>
        <v>12</v>
      </c>
      <c r="Z110" s="25">
        <f t="shared" si="12"/>
        <v>40.07312791</v>
      </c>
      <c r="AA110" s="26"/>
    </row>
    <row r="111">
      <c r="A111" s="16" t="s">
        <v>6</v>
      </c>
      <c r="B111" s="17">
        <v>110.0</v>
      </c>
      <c r="C111" s="24">
        <f t="shared" si="5"/>
        <v>30600.24176</v>
      </c>
      <c r="D111" s="25">
        <v>0.05</v>
      </c>
      <c r="E111" s="24">
        <f t="shared" si="6"/>
        <v>43.29011369</v>
      </c>
      <c r="F111" s="25">
        <v>0.02</v>
      </c>
      <c r="G111" s="24">
        <f t="shared" si="7"/>
        <v>20400.16117</v>
      </c>
      <c r="H111" s="25">
        <v>0.05</v>
      </c>
      <c r="I111" s="24">
        <f t="shared" si="8"/>
        <v>86.58022738</v>
      </c>
      <c r="J111" s="25">
        <v>0.02</v>
      </c>
      <c r="K111" s="25">
        <v>0.0</v>
      </c>
      <c r="L111" s="24">
        <f t="shared" ref="L111:O111" si="225">IF(L110="", "", 1 + MROUND(IFERROR(MINIFS(OFFSET(L110, -1, 0, -$B111, 1), OFFSET(L110, -1, 0, -$B111, 1), "&gt;0"), L110) + (LN(1 + $Z111) ^ U$2) * U$3, 1))</f>
        <v>34757</v>
      </c>
      <c r="M111" s="24">
        <f t="shared" si="225"/>
        <v>3372</v>
      </c>
      <c r="N111" s="24" t="str">
        <f t="shared" si="225"/>
        <v/>
      </c>
      <c r="O111" s="24">
        <f t="shared" si="225"/>
        <v>1763</v>
      </c>
      <c r="P111" s="24">
        <f t="shared" ref="P111:S111" si="226">L111*$Y$2</f>
        <v>8689.25</v>
      </c>
      <c r="Q111" s="24">
        <f t="shared" si="226"/>
        <v>843</v>
      </c>
      <c r="R111" s="24">
        <f t="shared" si="226"/>
        <v>0</v>
      </c>
      <c r="S111" s="24">
        <f t="shared" si="226"/>
        <v>440.75</v>
      </c>
      <c r="T111" s="24">
        <f t="shared" si="4"/>
        <v>12</v>
      </c>
      <c r="Z111" s="25">
        <f t="shared" si="12"/>
        <v>41.51068738</v>
      </c>
      <c r="AA111" s="26"/>
    </row>
    <row r="112">
      <c r="A112" s="16" t="s">
        <v>6</v>
      </c>
      <c r="B112" s="17">
        <v>111.0</v>
      </c>
      <c r="C112" s="24">
        <f t="shared" si="5"/>
        <v>32130.25385</v>
      </c>
      <c r="D112" s="25">
        <v>0.05</v>
      </c>
      <c r="E112" s="24">
        <f t="shared" si="6"/>
        <v>44.15591596</v>
      </c>
      <c r="F112" s="25">
        <v>0.02</v>
      </c>
      <c r="G112" s="24">
        <f t="shared" si="7"/>
        <v>21420.16923</v>
      </c>
      <c r="H112" s="25">
        <v>0.05</v>
      </c>
      <c r="I112" s="24">
        <f t="shared" si="8"/>
        <v>88.31183193</v>
      </c>
      <c r="J112" s="25">
        <v>0.02</v>
      </c>
      <c r="K112" s="25">
        <v>0.0</v>
      </c>
      <c r="L112" s="24">
        <f t="shared" ref="L112:O112" si="227">IF(L111="", "", 1 + MROUND(IFERROR(MINIFS(OFFSET(L111, -1, 0, -$B112, 1), OFFSET(L111, -1, 0, -$B112, 1), "&gt;0"), L111) + (LN(1 + $Z112) ^ U$2) * U$3, 1))</f>
        <v>35393</v>
      </c>
      <c r="M112" s="24">
        <f t="shared" si="227"/>
        <v>3424</v>
      </c>
      <c r="N112" s="24" t="str">
        <f t="shared" si="227"/>
        <v/>
      </c>
      <c r="O112" s="24">
        <f t="shared" si="227"/>
        <v>1789</v>
      </c>
      <c r="P112" s="24">
        <f t="shared" ref="P112:S112" si="228">L112*$Y$2</f>
        <v>8848.25</v>
      </c>
      <c r="Q112" s="24">
        <f t="shared" si="228"/>
        <v>856</v>
      </c>
      <c r="R112" s="24">
        <f t="shared" si="228"/>
        <v>0</v>
      </c>
      <c r="S112" s="24">
        <f t="shared" si="228"/>
        <v>447.25</v>
      </c>
      <c r="T112" s="24">
        <f t="shared" si="4"/>
        <v>12</v>
      </c>
      <c r="Z112" s="25">
        <f t="shared" si="12"/>
        <v>42.99856144</v>
      </c>
      <c r="AA112" s="26"/>
    </row>
    <row r="113">
      <c r="A113" s="16" t="s">
        <v>6</v>
      </c>
      <c r="B113" s="17">
        <v>112.0</v>
      </c>
      <c r="C113" s="24">
        <f t="shared" si="5"/>
        <v>33736.76654</v>
      </c>
      <c r="D113" s="25">
        <v>0.05</v>
      </c>
      <c r="E113" s="24">
        <f t="shared" si="6"/>
        <v>45.03903428</v>
      </c>
      <c r="F113" s="25">
        <v>0.02</v>
      </c>
      <c r="G113" s="24">
        <f t="shared" si="7"/>
        <v>22491.17769</v>
      </c>
      <c r="H113" s="25">
        <v>0.05</v>
      </c>
      <c r="I113" s="24">
        <f t="shared" si="8"/>
        <v>90.07806857</v>
      </c>
      <c r="J113" s="25">
        <v>0.02</v>
      </c>
      <c r="K113" s="25">
        <v>0.0</v>
      </c>
      <c r="L113" s="24">
        <f t="shared" ref="L113:O113" si="229">IF(L112="", "", 1 + MROUND(IFERROR(MINIFS(OFFSET(L112, -1, 0, -$B113, 1), OFFSET(L112, -1, 0, -$B113, 1), "&gt;0"), L112) + (LN(1 + $Z113) ^ U$2) * U$3, 1))</f>
        <v>36033</v>
      </c>
      <c r="M113" s="24">
        <f t="shared" si="229"/>
        <v>3476</v>
      </c>
      <c r="N113" s="24" t="str">
        <f t="shared" si="229"/>
        <v/>
      </c>
      <c r="O113" s="24">
        <f t="shared" si="229"/>
        <v>1816</v>
      </c>
      <c r="P113" s="24">
        <f t="shared" ref="P113:S113" si="230">L113*$Y$2</f>
        <v>9008.25</v>
      </c>
      <c r="Q113" s="24">
        <f t="shared" si="230"/>
        <v>869</v>
      </c>
      <c r="R113" s="24">
        <f t="shared" si="230"/>
        <v>0</v>
      </c>
      <c r="S113" s="24">
        <f t="shared" si="230"/>
        <v>454</v>
      </c>
      <c r="T113" s="24">
        <f t="shared" si="4"/>
        <v>12</v>
      </c>
      <c r="Z113" s="25">
        <f t="shared" si="12"/>
        <v>44.53851109</v>
      </c>
      <c r="AA113" s="26"/>
    </row>
    <row r="114">
      <c r="A114" s="16" t="s">
        <v>6</v>
      </c>
      <c r="B114" s="17">
        <v>113.0</v>
      </c>
      <c r="C114" s="24">
        <f t="shared" si="5"/>
        <v>35423.60487</v>
      </c>
      <c r="D114" s="25">
        <v>0.05</v>
      </c>
      <c r="E114" s="24">
        <f t="shared" si="6"/>
        <v>45.93981497</v>
      </c>
      <c r="F114" s="25">
        <v>0.02</v>
      </c>
      <c r="G114" s="24">
        <f t="shared" si="7"/>
        <v>23615.73658</v>
      </c>
      <c r="H114" s="25">
        <v>0.05</v>
      </c>
      <c r="I114" s="24">
        <f t="shared" si="8"/>
        <v>91.87962994</v>
      </c>
      <c r="J114" s="25">
        <v>0.02</v>
      </c>
      <c r="K114" s="25">
        <v>0.0</v>
      </c>
      <c r="L114" s="24">
        <f t="shared" ref="L114:O114" si="231">IF(L113="", "", 1 + MROUND(IFERROR(MINIFS(OFFSET(L113, -1, 0, -$B114, 1), OFFSET(L113, -1, 0, -$B114, 1), "&gt;0"), L113) + (LN(1 + $Z114) ^ U$2) * U$3, 1))</f>
        <v>36677</v>
      </c>
      <c r="M114" s="24">
        <f t="shared" si="231"/>
        <v>3528</v>
      </c>
      <c r="N114" s="24" t="str">
        <f t="shared" si="231"/>
        <v/>
      </c>
      <c r="O114" s="24">
        <f t="shared" si="231"/>
        <v>1843</v>
      </c>
      <c r="P114" s="24">
        <f t="shared" ref="P114:S114" si="232">L114*$Y$2</f>
        <v>9169.25</v>
      </c>
      <c r="Q114" s="24">
        <f t="shared" si="232"/>
        <v>882</v>
      </c>
      <c r="R114" s="24">
        <f t="shared" si="232"/>
        <v>0</v>
      </c>
      <c r="S114" s="24">
        <f t="shared" si="232"/>
        <v>460.75</v>
      </c>
      <c r="T114" s="24">
        <f t="shared" si="4"/>
        <v>12</v>
      </c>
      <c r="Z114" s="25">
        <f t="shared" si="12"/>
        <v>46.13235898</v>
      </c>
      <c r="AA114" s="26"/>
    </row>
    <row r="115">
      <c r="A115" s="16" t="s">
        <v>6</v>
      </c>
      <c r="B115" s="17">
        <v>114.0</v>
      </c>
      <c r="C115" s="24">
        <f t="shared" si="5"/>
        <v>37194.78511</v>
      </c>
      <c r="D115" s="25">
        <v>0.05</v>
      </c>
      <c r="E115" s="24">
        <f t="shared" si="6"/>
        <v>46.85861127</v>
      </c>
      <c r="F115" s="25">
        <v>0.02</v>
      </c>
      <c r="G115" s="24">
        <f t="shared" si="7"/>
        <v>24796.52341</v>
      </c>
      <c r="H115" s="25">
        <v>0.05</v>
      </c>
      <c r="I115" s="24">
        <f t="shared" si="8"/>
        <v>93.71722254</v>
      </c>
      <c r="J115" s="25">
        <v>0.02</v>
      </c>
      <c r="K115" s="25">
        <v>0.0</v>
      </c>
      <c r="L115" s="24">
        <f t="shared" ref="L115:O115" si="233">IF(L114="", "", 1 + MROUND(IFERROR(MINIFS(OFFSET(L114, -1, 0, -$B115, 1), OFFSET(L114, -1, 0, -$B115, 1), "&gt;0"), L114) + (LN(1 + $Z115) ^ U$2) * U$3, 1))</f>
        <v>37325</v>
      </c>
      <c r="M115" s="24">
        <f t="shared" si="233"/>
        <v>3581</v>
      </c>
      <c r="N115" s="24" t="str">
        <f t="shared" si="233"/>
        <v/>
      </c>
      <c r="O115" s="24">
        <f t="shared" si="233"/>
        <v>1870</v>
      </c>
      <c r="P115" s="24">
        <f t="shared" ref="P115:S115" si="234">L115*$Y$2</f>
        <v>9331.25</v>
      </c>
      <c r="Q115" s="24">
        <f t="shared" si="234"/>
        <v>895.25</v>
      </c>
      <c r="R115" s="24">
        <f t="shared" si="234"/>
        <v>0</v>
      </c>
      <c r="S115" s="24">
        <f t="shared" si="234"/>
        <v>467.5</v>
      </c>
      <c r="T115" s="24">
        <f t="shared" si="4"/>
        <v>12</v>
      </c>
      <c r="Z115" s="25">
        <f t="shared" si="12"/>
        <v>47.78199155</v>
      </c>
      <c r="AA115" s="26"/>
    </row>
    <row r="116">
      <c r="A116" s="16" t="s">
        <v>6</v>
      </c>
      <c r="B116" s="17">
        <v>115.0</v>
      </c>
      <c r="C116" s="24">
        <f t="shared" si="5"/>
        <v>39054.52437</v>
      </c>
      <c r="D116" s="25">
        <v>0.05</v>
      </c>
      <c r="E116" s="24">
        <f t="shared" si="6"/>
        <v>47.79578349</v>
      </c>
      <c r="F116" s="25">
        <v>0.02</v>
      </c>
      <c r="G116" s="24">
        <f t="shared" si="7"/>
        <v>26036.34958</v>
      </c>
      <c r="H116" s="25">
        <v>0.05</v>
      </c>
      <c r="I116" s="24">
        <f t="shared" si="8"/>
        <v>95.59156699</v>
      </c>
      <c r="J116" s="25">
        <v>0.02</v>
      </c>
      <c r="K116" s="25">
        <v>0.0</v>
      </c>
      <c r="L116" s="24">
        <f t="shared" ref="L116:O116" si="235">IF(L115="", "", 1 + MROUND(IFERROR(MINIFS(OFFSET(L115, -1, 0, -$B116, 1), OFFSET(L115, -1, 0, -$B116, 1), "&gt;0"), L115) + (LN(1 + $Z116) ^ U$2) * U$3, 1))</f>
        <v>37977</v>
      </c>
      <c r="M116" s="24">
        <f t="shared" si="235"/>
        <v>3634</v>
      </c>
      <c r="N116" s="24" t="str">
        <f t="shared" si="235"/>
        <v/>
      </c>
      <c r="O116" s="24">
        <f t="shared" si="235"/>
        <v>1897</v>
      </c>
      <c r="P116" s="24">
        <f t="shared" ref="P116:S116" si="236">L116*$Y$2</f>
        <v>9494.25</v>
      </c>
      <c r="Q116" s="24">
        <f t="shared" si="236"/>
        <v>908.5</v>
      </c>
      <c r="R116" s="24">
        <f t="shared" si="236"/>
        <v>0</v>
      </c>
      <c r="S116" s="24">
        <f t="shared" si="236"/>
        <v>474.25</v>
      </c>
      <c r="T116" s="24">
        <f t="shared" si="4"/>
        <v>13</v>
      </c>
      <c r="Z116" s="25">
        <f t="shared" si="12"/>
        <v>49.48936125</v>
      </c>
      <c r="AA116" s="26"/>
    </row>
    <row r="117">
      <c r="A117" s="16" t="s">
        <v>6</v>
      </c>
      <c r="B117" s="17">
        <v>116.0</v>
      </c>
      <c r="C117" s="24">
        <f t="shared" si="5"/>
        <v>41007.25058</v>
      </c>
      <c r="D117" s="25">
        <v>0.05</v>
      </c>
      <c r="E117" s="24">
        <f t="shared" si="6"/>
        <v>48.75169916</v>
      </c>
      <c r="F117" s="25">
        <v>0.02</v>
      </c>
      <c r="G117" s="24">
        <f t="shared" si="7"/>
        <v>27338.16706</v>
      </c>
      <c r="H117" s="25">
        <v>0.05</v>
      </c>
      <c r="I117" s="24">
        <f t="shared" si="8"/>
        <v>97.50339833</v>
      </c>
      <c r="J117" s="25">
        <v>0.02</v>
      </c>
      <c r="K117" s="25">
        <v>0.0</v>
      </c>
      <c r="L117" s="24">
        <f t="shared" ref="L117:O117" si="237">IF(L116="", "", 1 + MROUND(IFERROR(MINIFS(OFFSET(L116, -1, 0, -$B117, 1), OFFSET(L116, -1, 0, -$B117, 1), "&gt;0"), L116) + (LN(1 + $Z117) ^ U$2) * U$3, 1))</f>
        <v>38633</v>
      </c>
      <c r="M117" s="24">
        <f t="shared" si="237"/>
        <v>3687</v>
      </c>
      <c r="N117" s="24" t="str">
        <f t="shared" si="237"/>
        <v/>
      </c>
      <c r="O117" s="24">
        <f t="shared" si="237"/>
        <v>1924</v>
      </c>
      <c r="P117" s="24">
        <f t="shared" ref="P117:S117" si="238">L117*$Y$2</f>
        <v>9658.25</v>
      </c>
      <c r="Q117" s="24">
        <f t="shared" si="238"/>
        <v>921.75</v>
      </c>
      <c r="R117" s="24">
        <f t="shared" si="238"/>
        <v>0</v>
      </c>
      <c r="S117" s="24">
        <f t="shared" si="238"/>
        <v>481</v>
      </c>
      <c r="T117" s="24">
        <f t="shared" si="4"/>
        <v>13</v>
      </c>
      <c r="Z117" s="25">
        <f t="shared" si="12"/>
        <v>51.25648889</v>
      </c>
      <c r="AA117" s="26"/>
    </row>
    <row r="118">
      <c r="A118" s="16" t="s">
        <v>6</v>
      </c>
      <c r="B118" s="17">
        <v>117.0</v>
      </c>
      <c r="C118" s="24">
        <f t="shared" si="5"/>
        <v>43057.61311</v>
      </c>
      <c r="D118" s="25">
        <v>0.05</v>
      </c>
      <c r="E118" s="24">
        <f t="shared" si="6"/>
        <v>49.72673315</v>
      </c>
      <c r="F118" s="25">
        <v>0.02</v>
      </c>
      <c r="G118" s="24">
        <f t="shared" si="7"/>
        <v>28705.07541</v>
      </c>
      <c r="H118" s="25">
        <v>0.05</v>
      </c>
      <c r="I118" s="24">
        <f t="shared" si="8"/>
        <v>99.4534663</v>
      </c>
      <c r="J118" s="25">
        <v>0.02</v>
      </c>
      <c r="K118" s="25">
        <v>0.0</v>
      </c>
      <c r="L118" s="24">
        <f t="shared" ref="L118:O118" si="239">IF(L117="", "", 1 + MROUND(IFERROR(MINIFS(OFFSET(L117, -1, 0, -$B118, 1), OFFSET(L117, -1, 0, -$B118, 1), "&gt;0"), L117) + (LN(1 + $Z118) ^ U$2) * U$3, 1))</f>
        <v>39293</v>
      </c>
      <c r="M118" s="24">
        <f t="shared" si="239"/>
        <v>3741</v>
      </c>
      <c r="N118" s="24" t="str">
        <f t="shared" si="239"/>
        <v/>
      </c>
      <c r="O118" s="24">
        <f t="shared" si="239"/>
        <v>1951</v>
      </c>
      <c r="P118" s="24">
        <f t="shared" ref="P118:S118" si="240">L118*$Y$2</f>
        <v>9823.25</v>
      </c>
      <c r="Q118" s="24">
        <f t="shared" si="240"/>
        <v>935.25</v>
      </c>
      <c r="R118" s="24">
        <f t="shared" si="240"/>
        <v>0</v>
      </c>
      <c r="S118" s="24">
        <f t="shared" si="240"/>
        <v>487.75</v>
      </c>
      <c r="T118" s="24">
        <f t="shared" si="4"/>
        <v>13</v>
      </c>
      <c r="Z118" s="25">
        <f t="shared" si="12"/>
        <v>53.08546601</v>
      </c>
      <c r="AA118" s="26"/>
    </row>
    <row r="119">
      <c r="A119" s="16" t="s">
        <v>6</v>
      </c>
      <c r="B119" s="17">
        <v>118.0</v>
      </c>
      <c r="C119" s="24">
        <f t="shared" si="5"/>
        <v>45210.49377</v>
      </c>
      <c r="D119" s="25">
        <v>0.05</v>
      </c>
      <c r="E119" s="24">
        <f t="shared" si="6"/>
        <v>50.72126781</v>
      </c>
      <c r="F119" s="25">
        <v>0.02</v>
      </c>
      <c r="G119" s="24">
        <f t="shared" si="7"/>
        <v>30140.32918</v>
      </c>
      <c r="H119" s="25">
        <v>0.05</v>
      </c>
      <c r="I119" s="24">
        <f t="shared" si="8"/>
        <v>101.4425356</v>
      </c>
      <c r="J119" s="25">
        <v>0.02</v>
      </c>
      <c r="K119" s="25">
        <v>0.0</v>
      </c>
      <c r="L119" s="24">
        <f t="shared" ref="L119:O119" si="241">IF(L118="", "", 1 + MROUND(IFERROR(MINIFS(OFFSET(L118, -1, 0, -$B119, 1), OFFSET(L118, -1, 0, -$B119, 1), "&gt;0"), L118) + (LN(1 + $Z119) ^ U$2) * U$3, 1))</f>
        <v>39957</v>
      </c>
      <c r="M119" s="24">
        <f t="shared" si="241"/>
        <v>3795</v>
      </c>
      <c r="N119" s="24" t="str">
        <f t="shared" si="241"/>
        <v/>
      </c>
      <c r="O119" s="24">
        <f t="shared" si="241"/>
        <v>1979</v>
      </c>
      <c r="P119" s="24">
        <f t="shared" ref="P119:S119" si="242">L119*$Y$2</f>
        <v>9989.25</v>
      </c>
      <c r="Q119" s="24">
        <f t="shared" si="242"/>
        <v>948.75</v>
      </c>
      <c r="R119" s="24">
        <f t="shared" si="242"/>
        <v>0</v>
      </c>
      <c r="S119" s="24">
        <f t="shared" si="242"/>
        <v>494.75</v>
      </c>
      <c r="T119" s="24">
        <f t="shared" si="4"/>
        <v>13</v>
      </c>
      <c r="Z119" s="25">
        <f t="shared" si="12"/>
        <v>54.97845732</v>
      </c>
      <c r="AA119" s="26"/>
    </row>
    <row r="120">
      <c r="A120" s="16" t="s">
        <v>6</v>
      </c>
      <c r="B120" s="17">
        <v>119.0</v>
      </c>
      <c r="C120" s="24">
        <f t="shared" si="5"/>
        <v>47471.01846</v>
      </c>
      <c r="D120" s="25">
        <v>0.05</v>
      </c>
      <c r="E120" s="24">
        <f t="shared" si="6"/>
        <v>51.73569317</v>
      </c>
      <c r="F120" s="25">
        <v>0.02</v>
      </c>
      <c r="G120" s="24">
        <f t="shared" si="7"/>
        <v>31647.34564</v>
      </c>
      <c r="H120" s="25">
        <v>0.05</v>
      </c>
      <c r="I120" s="24">
        <f t="shared" si="8"/>
        <v>103.4713863</v>
      </c>
      <c r="J120" s="25">
        <v>0.02</v>
      </c>
      <c r="K120" s="25">
        <v>0.0</v>
      </c>
      <c r="L120" s="24">
        <f t="shared" ref="L120:O120" si="243">IF(L119="", "", 1 + MROUND(IFERROR(MINIFS(OFFSET(L119, -1, 0, -$B120, 1), OFFSET(L119, -1, 0, -$B120, 1), "&gt;0"), L119) + (LN(1 + $Z120) ^ U$2) * U$3, 1))</f>
        <v>40625</v>
      </c>
      <c r="M120" s="24">
        <f t="shared" si="243"/>
        <v>3849</v>
      </c>
      <c r="N120" s="24" t="str">
        <f t="shared" si="243"/>
        <v/>
      </c>
      <c r="O120" s="24">
        <f t="shared" si="243"/>
        <v>2007</v>
      </c>
      <c r="P120" s="24">
        <f t="shared" ref="P120:S120" si="244">L120*$Y$2</f>
        <v>10156.25</v>
      </c>
      <c r="Q120" s="24">
        <f t="shared" si="244"/>
        <v>962.25</v>
      </c>
      <c r="R120" s="24">
        <f t="shared" si="244"/>
        <v>0</v>
      </c>
      <c r="S120" s="24">
        <f t="shared" si="244"/>
        <v>501.75</v>
      </c>
      <c r="T120" s="24">
        <f t="shared" si="4"/>
        <v>13</v>
      </c>
      <c r="Z120" s="25">
        <f t="shared" si="12"/>
        <v>56.93770332</v>
      </c>
      <c r="AA120" s="26"/>
    </row>
    <row r="121">
      <c r="A121" s="16" t="s">
        <v>6</v>
      </c>
      <c r="B121" s="17">
        <v>120.0</v>
      </c>
      <c r="C121" s="24">
        <f t="shared" si="5"/>
        <v>49844.56938</v>
      </c>
      <c r="D121" s="25">
        <v>0.05</v>
      </c>
      <c r="E121" s="24">
        <f t="shared" si="6"/>
        <v>52.77040703</v>
      </c>
      <c r="F121" s="25">
        <v>0.02</v>
      </c>
      <c r="G121" s="24">
        <f t="shared" si="7"/>
        <v>33229.71292</v>
      </c>
      <c r="H121" s="25">
        <v>0.05</v>
      </c>
      <c r="I121" s="24">
        <f t="shared" si="8"/>
        <v>105.5408141</v>
      </c>
      <c r="J121" s="25">
        <v>0.02</v>
      </c>
      <c r="K121" s="25">
        <v>0.0</v>
      </c>
      <c r="L121" s="24">
        <f t="shared" ref="L121:O121" si="245">IF(L120="", "", 1 + MROUND(IFERROR(MINIFS(OFFSET(L120, -1, 0, -$B121, 1), OFFSET(L120, -1, 0, -$B121, 1), "&gt;0"), L120) + (LN(1 + $Z121) ^ U$2) * U$3, 1))</f>
        <v>41297</v>
      </c>
      <c r="M121" s="24">
        <f t="shared" si="245"/>
        <v>3904</v>
      </c>
      <c r="N121" s="24" t="str">
        <f t="shared" si="245"/>
        <v/>
      </c>
      <c r="O121" s="24">
        <f t="shared" si="245"/>
        <v>2035</v>
      </c>
      <c r="P121" s="24">
        <f t="shared" ref="P121:S121" si="246">L121*$Y$2</f>
        <v>10324.25</v>
      </c>
      <c r="Q121" s="24">
        <f t="shared" si="246"/>
        <v>976</v>
      </c>
      <c r="R121" s="24">
        <f t="shared" si="246"/>
        <v>0</v>
      </c>
      <c r="S121" s="24">
        <f t="shared" si="246"/>
        <v>508.75</v>
      </c>
      <c r="T121" s="24">
        <f t="shared" si="4"/>
        <v>13</v>
      </c>
      <c r="Z121" s="25">
        <f t="shared" si="12"/>
        <v>58.96552294</v>
      </c>
      <c r="AA121" s="26"/>
    </row>
    <row r="122">
      <c r="A122" s="16" t="s">
        <v>6</v>
      </c>
      <c r="B122" s="17">
        <v>121.0</v>
      </c>
      <c r="C122" s="24">
        <f t="shared" si="5"/>
        <v>52336.79785</v>
      </c>
      <c r="D122" s="25">
        <v>0.05</v>
      </c>
      <c r="E122" s="24">
        <f t="shared" si="6"/>
        <v>53.82581517</v>
      </c>
      <c r="F122" s="25">
        <v>0.02</v>
      </c>
      <c r="G122" s="24">
        <f t="shared" si="7"/>
        <v>34891.19857</v>
      </c>
      <c r="H122" s="25">
        <v>0.05</v>
      </c>
      <c r="I122" s="24">
        <f t="shared" si="8"/>
        <v>107.6516303</v>
      </c>
      <c r="J122" s="25">
        <v>0.02</v>
      </c>
      <c r="K122" s="25">
        <v>0.0</v>
      </c>
      <c r="L122" s="24">
        <f t="shared" ref="L122:O122" si="247">IF(L121="", "", 1 + MROUND(IFERROR(MINIFS(OFFSET(L121, -1, 0, -$B122, 1), OFFSET(L121, -1, 0, -$B122, 1), "&gt;0"), L121) + (LN(1 + $Z122) ^ U$2) * U$3, 1))</f>
        <v>41972</v>
      </c>
      <c r="M122" s="24">
        <f t="shared" si="247"/>
        <v>3959</v>
      </c>
      <c r="N122" s="24" t="str">
        <f t="shared" si="247"/>
        <v/>
      </c>
      <c r="O122" s="24">
        <f t="shared" si="247"/>
        <v>2063</v>
      </c>
      <c r="P122" s="24">
        <f t="shared" ref="P122:S122" si="248">L122*$Y$2</f>
        <v>10493</v>
      </c>
      <c r="Q122" s="24">
        <f t="shared" si="248"/>
        <v>989.75</v>
      </c>
      <c r="R122" s="24">
        <f t="shared" si="248"/>
        <v>0</v>
      </c>
      <c r="S122" s="24">
        <f t="shared" si="248"/>
        <v>515.75</v>
      </c>
      <c r="T122" s="24">
        <f t="shared" si="4"/>
        <v>13</v>
      </c>
      <c r="Z122" s="25">
        <f t="shared" si="12"/>
        <v>61.06431624</v>
      </c>
      <c r="AA122" s="26"/>
    </row>
    <row r="123">
      <c r="A123" s="16" t="s">
        <v>6</v>
      </c>
      <c r="B123" s="17">
        <v>122.0</v>
      </c>
      <c r="C123" s="24">
        <f t="shared" si="5"/>
        <v>54953.63774</v>
      </c>
      <c r="D123" s="25">
        <v>0.05</v>
      </c>
      <c r="E123" s="24">
        <f t="shared" si="6"/>
        <v>54.90233147</v>
      </c>
      <c r="F123" s="25">
        <v>0.02</v>
      </c>
      <c r="G123" s="24">
        <f t="shared" si="7"/>
        <v>36635.7585</v>
      </c>
      <c r="H123" s="25">
        <v>0.05</v>
      </c>
      <c r="I123" s="24">
        <f t="shared" si="8"/>
        <v>109.8046629</v>
      </c>
      <c r="J123" s="25">
        <v>0.02</v>
      </c>
      <c r="K123" s="25">
        <v>0.0</v>
      </c>
      <c r="L123" s="24">
        <f t="shared" ref="L123:O123" si="249">IF(L122="", "", 1 + MROUND(IFERROR(MINIFS(OFFSET(L122, -1, 0, -$B123, 1), OFFSET(L122, -1, 0, -$B123, 1), "&gt;0"), L122) + (LN(1 + $Z123) ^ U$2) * U$3, 1))</f>
        <v>42651</v>
      </c>
      <c r="M123" s="24">
        <f t="shared" si="249"/>
        <v>4014</v>
      </c>
      <c r="N123" s="24" t="str">
        <f t="shared" si="249"/>
        <v/>
      </c>
      <c r="O123" s="24">
        <f t="shared" si="249"/>
        <v>2091</v>
      </c>
      <c r="P123" s="24">
        <f t="shared" ref="P123:S123" si="250">L123*$Y$2</f>
        <v>10662.75</v>
      </c>
      <c r="Q123" s="24">
        <f t="shared" si="250"/>
        <v>1003.5</v>
      </c>
      <c r="R123" s="24">
        <f t="shared" si="250"/>
        <v>0</v>
      </c>
      <c r="S123" s="24">
        <f t="shared" si="250"/>
        <v>522.75</v>
      </c>
      <c r="T123" s="24">
        <f t="shared" si="4"/>
        <v>13</v>
      </c>
      <c r="Z123" s="25">
        <f t="shared" si="12"/>
        <v>63.23656731</v>
      </c>
      <c r="AA123" s="26"/>
    </row>
    <row r="124">
      <c r="A124" s="16" t="s">
        <v>6</v>
      </c>
      <c r="B124" s="17">
        <v>123.0</v>
      </c>
      <c r="C124" s="24">
        <f t="shared" si="5"/>
        <v>57701.31963</v>
      </c>
      <c r="D124" s="25">
        <v>0.05</v>
      </c>
      <c r="E124" s="24">
        <f t="shared" si="6"/>
        <v>56.0003781</v>
      </c>
      <c r="F124" s="25">
        <v>0.02</v>
      </c>
      <c r="G124" s="24">
        <f t="shared" si="7"/>
        <v>38467.54642</v>
      </c>
      <c r="H124" s="25">
        <v>0.05</v>
      </c>
      <c r="I124" s="24">
        <f t="shared" si="8"/>
        <v>112.0007562</v>
      </c>
      <c r="J124" s="25">
        <v>0.02</v>
      </c>
      <c r="K124" s="25">
        <v>0.0</v>
      </c>
      <c r="L124" s="24">
        <f t="shared" ref="L124:O124" si="251">IF(L123="", "", 1 + MROUND(IFERROR(MINIFS(OFFSET(L123, -1, 0, -$B124, 1), OFFSET(L123, -1, 0, -$B124, 1), "&gt;0"), L123) + (LN(1 + $Z124) ^ U$2) * U$3, 1))</f>
        <v>43334</v>
      </c>
      <c r="M124" s="24">
        <f t="shared" si="251"/>
        <v>4070</v>
      </c>
      <c r="N124" s="24" t="str">
        <f t="shared" si="251"/>
        <v/>
      </c>
      <c r="O124" s="24">
        <f t="shared" si="251"/>
        <v>2119</v>
      </c>
      <c r="P124" s="24">
        <f t="shared" ref="P124:S124" si="252">L124*$Y$2</f>
        <v>10833.5</v>
      </c>
      <c r="Q124" s="24">
        <f t="shared" si="252"/>
        <v>1017.5</v>
      </c>
      <c r="R124" s="24">
        <f t="shared" si="252"/>
        <v>0</v>
      </c>
      <c r="S124" s="24">
        <f t="shared" si="252"/>
        <v>529.75</v>
      </c>
      <c r="T124" s="24">
        <f t="shared" si="4"/>
        <v>13</v>
      </c>
      <c r="Z124" s="25">
        <f t="shared" si="12"/>
        <v>65.48484716</v>
      </c>
      <c r="AA124" s="26"/>
    </row>
    <row r="125">
      <c r="A125" s="16" t="s">
        <v>6</v>
      </c>
      <c r="B125" s="17">
        <v>124.0</v>
      </c>
      <c r="C125" s="24">
        <f t="shared" si="5"/>
        <v>60586.38561</v>
      </c>
      <c r="D125" s="25">
        <v>0.05</v>
      </c>
      <c r="E125" s="24">
        <f t="shared" si="6"/>
        <v>57.12038567</v>
      </c>
      <c r="F125" s="25">
        <v>0.02</v>
      </c>
      <c r="G125" s="24">
        <f t="shared" si="7"/>
        <v>40390.92374</v>
      </c>
      <c r="H125" s="25">
        <v>0.05</v>
      </c>
      <c r="I125" s="24">
        <f t="shared" si="8"/>
        <v>114.2407713</v>
      </c>
      <c r="J125" s="25">
        <v>0.02</v>
      </c>
      <c r="K125" s="25">
        <v>0.0</v>
      </c>
      <c r="L125" s="24">
        <f t="shared" ref="L125:O125" si="253">IF(L124="", "", 1 + MROUND(IFERROR(MINIFS(OFFSET(L124, -1, 0, -$B125, 1), OFFSET(L124, -1, 0, -$B125, 1), "&gt;0"), L124) + (LN(1 + $Z125) ^ U$2) * U$3, 1))</f>
        <v>44021</v>
      </c>
      <c r="M125" s="24">
        <f t="shared" si="253"/>
        <v>4126</v>
      </c>
      <c r="N125" s="24" t="str">
        <f t="shared" si="253"/>
        <v/>
      </c>
      <c r="O125" s="24">
        <f t="shared" si="253"/>
        <v>2147</v>
      </c>
      <c r="P125" s="24">
        <f t="shared" ref="P125:S125" si="254">L125*$Y$2</f>
        <v>11005.25</v>
      </c>
      <c r="Q125" s="24">
        <f t="shared" si="254"/>
        <v>1031.5</v>
      </c>
      <c r="R125" s="24">
        <f t="shared" si="254"/>
        <v>0</v>
      </c>
      <c r="S125" s="24">
        <f t="shared" si="254"/>
        <v>536.75</v>
      </c>
      <c r="T125" s="24">
        <f t="shared" si="4"/>
        <v>13</v>
      </c>
      <c r="Z125" s="25">
        <f t="shared" si="12"/>
        <v>67.81181682</v>
      </c>
      <c r="AA125" s="26"/>
    </row>
    <row r="126">
      <c r="A126" s="16" t="s">
        <v>6</v>
      </c>
      <c r="B126" s="17">
        <v>125.0</v>
      </c>
      <c r="C126" s="24">
        <f t="shared" si="5"/>
        <v>63615.70489</v>
      </c>
      <c r="D126" s="25">
        <v>0.05</v>
      </c>
      <c r="E126" s="24">
        <f t="shared" si="6"/>
        <v>58.26279338</v>
      </c>
      <c r="F126" s="25">
        <v>0.02</v>
      </c>
      <c r="G126" s="24">
        <f t="shared" si="7"/>
        <v>42410.46993</v>
      </c>
      <c r="H126" s="25">
        <v>0.05</v>
      </c>
      <c r="I126" s="24">
        <f t="shared" si="8"/>
        <v>116.5255868</v>
      </c>
      <c r="J126" s="25">
        <v>0.02</v>
      </c>
      <c r="K126" s="25">
        <v>0.0</v>
      </c>
      <c r="L126" s="24">
        <f t="shared" ref="L126:O126" si="255">IF(L125="", "", 1 + MROUND(IFERROR(MINIFS(OFFSET(L125, -1, 0, -$B126, 1), OFFSET(L125, -1, 0, -$B126, 1), "&gt;0"), L125) + (LN(1 + $Z126) ^ U$2) * U$3, 1))</f>
        <v>44712</v>
      </c>
      <c r="M126" s="24">
        <f t="shared" si="255"/>
        <v>4182</v>
      </c>
      <c r="N126" s="24" t="str">
        <f t="shared" si="255"/>
        <v/>
      </c>
      <c r="O126" s="24">
        <f t="shared" si="255"/>
        <v>2176</v>
      </c>
      <c r="P126" s="24">
        <f t="shared" ref="P126:S126" si="256">L126*$Y$2</f>
        <v>11178</v>
      </c>
      <c r="Q126" s="24">
        <f t="shared" si="256"/>
        <v>1045.5</v>
      </c>
      <c r="R126" s="24">
        <f t="shared" si="256"/>
        <v>0</v>
      </c>
      <c r="S126" s="24">
        <f t="shared" si="256"/>
        <v>544</v>
      </c>
      <c r="T126" s="24">
        <f t="shared" si="4"/>
        <v>14</v>
      </c>
      <c r="Z126" s="25">
        <f t="shared" si="12"/>
        <v>70.2202304</v>
      </c>
      <c r="AA126" s="26"/>
    </row>
    <row r="127">
      <c r="A127" s="16" t="s">
        <v>6</v>
      </c>
      <c r="B127" s="17">
        <v>126.0</v>
      </c>
      <c r="C127" s="24">
        <f t="shared" si="5"/>
        <v>66796.49014</v>
      </c>
      <c r="D127" s="25">
        <v>0.05</v>
      </c>
      <c r="E127" s="24">
        <f t="shared" si="6"/>
        <v>59.42804925</v>
      </c>
      <c r="F127" s="25">
        <v>0.02</v>
      </c>
      <c r="G127" s="24">
        <f t="shared" si="7"/>
        <v>44530.99342</v>
      </c>
      <c r="H127" s="25">
        <v>0.05</v>
      </c>
      <c r="I127" s="24">
        <f t="shared" si="8"/>
        <v>118.8560985</v>
      </c>
      <c r="J127" s="25">
        <v>0.02</v>
      </c>
      <c r="K127" s="25">
        <v>0.0</v>
      </c>
      <c r="L127" s="24">
        <f t="shared" ref="L127:O127" si="257">IF(L126="", "", 1 + MROUND(IFERROR(MINIFS(OFFSET(L126, -1, 0, -$B127, 1), OFFSET(L126, -1, 0, -$B127, 1), "&gt;0"), L126) + (LN(1 + $Z127) ^ U$2) * U$3, 1))</f>
        <v>45407</v>
      </c>
      <c r="M127" s="24">
        <f t="shared" si="257"/>
        <v>4239</v>
      </c>
      <c r="N127" s="24" t="str">
        <f t="shared" si="257"/>
        <v/>
      </c>
      <c r="O127" s="24">
        <f t="shared" si="257"/>
        <v>2205</v>
      </c>
      <c r="P127" s="24">
        <f t="shared" ref="P127:S127" si="258">L127*$Y$2</f>
        <v>11351.75</v>
      </c>
      <c r="Q127" s="24">
        <f t="shared" si="258"/>
        <v>1059.75</v>
      </c>
      <c r="R127" s="24">
        <f t="shared" si="258"/>
        <v>0</v>
      </c>
      <c r="S127" s="24">
        <f t="shared" si="258"/>
        <v>551.25</v>
      </c>
      <c r="T127" s="24">
        <f t="shared" si="4"/>
        <v>14</v>
      </c>
      <c r="Z127" s="25">
        <f t="shared" si="12"/>
        <v>72.71293847</v>
      </c>
      <c r="AA127" s="26"/>
    </row>
    <row r="128">
      <c r="A128" s="16" t="s">
        <v>6</v>
      </c>
      <c r="B128" s="17">
        <v>127.0</v>
      </c>
      <c r="C128" s="24">
        <f t="shared" si="5"/>
        <v>70136.31464</v>
      </c>
      <c r="D128" s="25">
        <v>0.05</v>
      </c>
      <c r="E128" s="24">
        <f t="shared" si="6"/>
        <v>60.61661023</v>
      </c>
      <c r="F128" s="25">
        <v>0.02</v>
      </c>
      <c r="G128" s="24">
        <f t="shared" si="7"/>
        <v>46757.5431</v>
      </c>
      <c r="H128" s="25">
        <v>0.05</v>
      </c>
      <c r="I128" s="24">
        <f t="shared" si="8"/>
        <v>121.2332205</v>
      </c>
      <c r="J128" s="25">
        <v>0.02</v>
      </c>
      <c r="K128" s="25">
        <v>0.0</v>
      </c>
      <c r="L128" s="24">
        <f t="shared" ref="L128:O128" si="259">IF(L127="", "", 1 + MROUND(IFERROR(MINIFS(OFFSET(L127, -1, 0, -$B128, 1), OFFSET(L127, -1, 0, -$B128, 1), "&gt;0"), L127) + (LN(1 + $Z128) ^ U$2) * U$3, 1))</f>
        <v>46106</v>
      </c>
      <c r="M128" s="24">
        <f t="shared" si="259"/>
        <v>4296</v>
      </c>
      <c r="N128" s="24" t="str">
        <f t="shared" si="259"/>
        <v/>
      </c>
      <c r="O128" s="24">
        <f t="shared" si="259"/>
        <v>2234</v>
      </c>
      <c r="P128" s="24">
        <f t="shared" ref="P128:S128" si="260">L128*$Y$2</f>
        <v>11526.5</v>
      </c>
      <c r="Q128" s="24">
        <f t="shared" si="260"/>
        <v>1074</v>
      </c>
      <c r="R128" s="24">
        <f t="shared" si="260"/>
        <v>0</v>
      </c>
      <c r="S128" s="24">
        <f t="shared" si="260"/>
        <v>558.5</v>
      </c>
      <c r="T128" s="24">
        <f t="shared" si="4"/>
        <v>14</v>
      </c>
      <c r="Z128" s="25">
        <f t="shared" si="12"/>
        <v>75.29289131</v>
      </c>
      <c r="AA128" s="26"/>
    </row>
    <row r="129">
      <c r="A129" s="16" t="s">
        <v>6</v>
      </c>
      <c r="B129" s="17">
        <v>128.0</v>
      </c>
      <c r="C129" s="24">
        <f t="shared" si="5"/>
        <v>73643.13038</v>
      </c>
      <c r="D129" s="25">
        <v>0.05</v>
      </c>
      <c r="E129" s="24">
        <f t="shared" si="6"/>
        <v>61.82894244</v>
      </c>
      <c r="F129" s="25">
        <v>0.02</v>
      </c>
      <c r="G129" s="24">
        <f t="shared" si="7"/>
        <v>49095.42025</v>
      </c>
      <c r="H129" s="25">
        <v>0.05</v>
      </c>
      <c r="I129" s="24">
        <f t="shared" si="8"/>
        <v>123.6578849</v>
      </c>
      <c r="J129" s="25">
        <v>0.02</v>
      </c>
      <c r="K129" s="25">
        <v>0.0</v>
      </c>
      <c r="L129" s="24">
        <f t="shared" ref="L129:O129" si="261">IF(L128="", "", 1 + MROUND(IFERROR(MINIFS(OFFSET(L128, -1, 0, -$B129, 1), OFFSET(L128, -1, 0, -$B129, 1), "&gt;0"), L128) + (LN(1 + $Z129) ^ U$2) * U$3, 1))</f>
        <v>46809</v>
      </c>
      <c r="M129" s="24">
        <f t="shared" si="261"/>
        <v>4353</v>
      </c>
      <c r="N129" s="24" t="str">
        <f t="shared" si="261"/>
        <v/>
      </c>
      <c r="O129" s="24">
        <f t="shared" si="261"/>
        <v>2263</v>
      </c>
      <c r="P129" s="24">
        <f t="shared" ref="P129:S129" si="262">L129*$Y$2</f>
        <v>11702.25</v>
      </c>
      <c r="Q129" s="24">
        <f t="shared" si="262"/>
        <v>1088.25</v>
      </c>
      <c r="R129" s="24">
        <f t="shared" si="262"/>
        <v>0</v>
      </c>
      <c r="S129" s="24">
        <f t="shared" si="262"/>
        <v>565.75</v>
      </c>
      <c r="T129" s="24">
        <f t="shared" si="4"/>
        <v>14</v>
      </c>
      <c r="Z129" s="25">
        <f t="shared" si="12"/>
        <v>77.96314251</v>
      </c>
      <c r="AA129" s="26"/>
    </row>
    <row r="130">
      <c r="A130" s="16" t="s">
        <v>6</v>
      </c>
      <c r="B130" s="17">
        <v>129.0</v>
      </c>
      <c r="C130" s="24">
        <f t="shared" si="5"/>
        <v>77325.28689</v>
      </c>
      <c r="D130" s="25">
        <v>0.05</v>
      </c>
      <c r="E130" s="24">
        <f t="shared" si="6"/>
        <v>63.06552129</v>
      </c>
      <c r="F130" s="25">
        <v>0.02</v>
      </c>
      <c r="G130" s="24">
        <f t="shared" si="7"/>
        <v>51550.19126</v>
      </c>
      <c r="H130" s="25">
        <v>0.05</v>
      </c>
      <c r="I130" s="24">
        <f t="shared" si="8"/>
        <v>126.1310426</v>
      </c>
      <c r="J130" s="25">
        <v>0.02</v>
      </c>
      <c r="K130" s="25">
        <v>0.0</v>
      </c>
      <c r="L130" s="24">
        <f t="shared" ref="L130:O130" si="263">IF(L129="", "", 1 + MROUND(IFERROR(MINIFS(OFFSET(L129, -1, 0, -$B130, 1), OFFSET(L129, -1, 0, -$B130, 1), "&gt;0"), L129) + (LN(1 + $Z130) ^ U$2) * U$3, 1))</f>
        <v>47516</v>
      </c>
      <c r="M130" s="24">
        <f t="shared" si="263"/>
        <v>4410</v>
      </c>
      <c r="N130" s="24" t="str">
        <f t="shared" si="263"/>
        <v/>
      </c>
      <c r="O130" s="24">
        <f t="shared" si="263"/>
        <v>2292</v>
      </c>
      <c r="P130" s="24">
        <f t="shared" ref="P130:S130" si="264">L130*$Y$2</f>
        <v>11879</v>
      </c>
      <c r="Q130" s="24">
        <f t="shared" si="264"/>
        <v>1102.5</v>
      </c>
      <c r="R130" s="24">
        <f t="shared" si="264"/>
        <v>0</v>
      </c>
      <c r="S130" s="24">
        <f t="shared" si="264"/>
        <v>573</v>
      </c>
      <c r="T130" s="24">
        <f t="shared" si="4"/>
        <v>14</v>
      </c>
      <c r="Z130" s="25">
        <f t="shared" si="12"/>
        <v>80.7268525</v>
      </c>
      <c r="AA130" s="26"/>
    </row>
    <row r="131">
      <c r="A131" s="16" t="s">
        <v>6</v>
      </c>
      <c r="B131" s="17">
        <v>130.0</v>
      </c>
      <c r="C131" s="24">
        <f t="shared" si="5"/>
        <v>81191.55124</v>
      </c>
      <c r="D131" s="25">
        <v>0.05</v>
      </c>
      <c r="E131" s="24">
        <f t="shared" si="6"/>
        <v>64.32683171</v>
      </c>
      <c r="F131" s="25">
        <v>0.02</v>
      </c>
      <c r="G131" s="24">
        <f t="shared" si="7"/>
        <v>54127.70083</v>
      </c>
      <c r="H131" s="25">
        <v>0.05</v>
      </c>
      <c r="I131" s="24">
        <f t="shared" si="8"/>
        <v>128.6536634</v>
      </c>
      <c r="J131" s="25">
        <v>0.02</v>
      </c>
      <c r="K131" s="25">
        <v>0.0</v>
      </c>
      <c r="L131" s="24">
        <f t="shared" ref="L131:O131" si="265">IF(L130="", "", 1 + MROUND(IFERROR(MINIFS(OFFSET(L130, -1, 0, -$B131, 1), OFFSET(L130, -1, 0, -$B131, 1), "&gt;0"), L130) + (LN(1 + $Z131) ^ U$2) * U$3, 1))</f>
        <v>48227</v>
      </c>
      <c r="M131" s="24">
        <f t="shared" si="265"/>
        <v>4468</v>
      </c>
      <c r="N131" s="24" t="str">
        <f t="shared" si="265"/>
        <v/>
      </c>
      <c r="O131" s="24">
        <f t="shared" si="265"/>
        <v>2321</v>
      </c>
      <c r="P131" s="24">
        <f t="shared" ref="P131:S131" si="266">L131*$Y$2</f>
        <v>12056.75</v>
      </c>
      <c r="Q131" s="24">
        <f t="shared" si="266"/>
        <v>1117</v>
      </c>
      <c r="R131" s="24">
        <f t="shared" si="266"/>
        <v>0</v>
      </c>
      <c r="S131" s="24">
        <f t="shared" si="266"/>
        <v>580.25</v>
      </c>
      <c r="T131" s="24">
        <f t="shared" si="4"/>
        <v>14</v>
      </c>
      <c r="Z131" s="25">
        <f t="shared" si="12"/>
        <v>83.58729234</v>
      </c>
      <c r="AA131" s="26"/>
    </row>
    <row r="132">
      <c r="A132" s="16" t="s">
        <v>6</v>
      </c>
      <c r="B132" s="17">
        <v>131.0</v>
      </c>
      <c r="C132" s="24">
        <f t="shared" si="5"/>
        <v>85251.1288</v>
      </c>
      <c r="D132" s="25">
        <v>0.05</v>
      </c>
      <c r="E132" s="24">
        <f t="shared" si="6"/>
        <v>65.61336835</v>
      </c>
      <c r="F132" s="25">
        <v>0.02</v>
      </c>
      <c r="G132" s="24">
        <f t="shared" si="7"/>
        <v>56834.08587</v>
      </c>
      <c r="H132" s="25">
        <v>0.05</v>
      </c>
      <c r="I132" s="24">
        <f t="shared" si="8"/>
        <v>131.2267367</v>
      </c>
      <c r="J132" s="25">
        <v>0.02</v>
      </c>
      <c r="K132" s="25">
        <v>0.0</v>
      </c>
      <c r="L132" s="24">
        <f t="shared" ref="L132:O132" si="267">IF(L131="", "", 1 + MROUND(IFERROR(MINIFS(OFFSET(L131, -1, 0, -$B132, 1), OFFSET(L131, -1, 0, -$B132, 1), "&gt;0"), L131) + (LN(1 + $Z132) ^ U$2) * U$3, 1))</f>
        <v>48941</v>
      </c>
      <c r="M132" s="24">
        <f t="shared" si="267"/>
        <v>4526</v>
      </c>
      <c r="N132" s="24" t="str">
        <f t="shared" si="267"/>
        <v/>
      </c>
      <c r="O132" s="24">
        <f t="shared" si="267"/>
        <v>2351</v>
      </c>
      <c r="P132" s="24">
        <f t="shared" ref="P132:S132" si="268">L132*$Y$2</f>
        <v>12235.25</v>
      </c>
      <c r="Q132" s="24">
        <f t="shared" si="268"/>
        <v>1131.5</v>
      </c>
      <c r="R132" s="24">
        <f t="shared" si="268"/>
        <v>0</v>
      </c>
      <c r="S132" s="24">
        <f t="shared" si="268"/>
        <v>587.75</v>
      </c>
      <c r="T132" s="24">
        <f t="shared" si="4"/>
        <v>14</v>
      </c>
      <c r="Z132" s="25">
        <f t="shared" si="12"/>
        <v>86.54784757</v>
      </c>
      <c r="AA132" s="26"/>
    </row>
    <row r="133">
      <c r="A133" s="16" t="s">
        <v>6</v>
      </c>
      <c r="B133" s="17">
        <v>132.0</v>
      </c>
      <c r="C133" s="24">
        <f t="shared" si="5"/>
        <v>89513.68524</v>
      </c>
      <c r="D133" s="25">
        <v>0.05</v>
      </c>
      <c r="E133" s="24">
        <f t="shared" si="6"/>
        <v>66.92563571</v>
      </c>
      <c r="F133" s="25">
        <v>0.02</v>
      </c>
      <c r="G133" s="24">
        <f t="shared" si="7"/>
        <v>59675.79016</v>
      </c>
      <c r="H133" s="25">
        <v>0.05</v>
      </c>
      <c r="I133" s="24">
        <f t="shared" si="8"/>
        <v>133.8512714</v>
      </c>
      <c r="J133" s="25">
        <v>0.02</v>
      </c>
      <c r="K133" s="25">
        <v>0.0</v>
      </c>
      <c r="L133" s="24">
        <f t="shared" ref="L133:O133" si="269">IF(L132="", "", 1 + MROUND(IFERROR(MINIFS(OFFSET(L132, -1, 0, -$B133, 1), OFFSET(L132, -1, 0, -$B133, 1), "&gt;0"), L132) + (LN(1 + $Z133) ^ U$2) * U$3, 1))</f>
        <v>49659</v>
      </c>
      <c r="M133" s="24">
        <f t="shared" si="269"/>
        <v>4584</v>
      </c>
      <c r="N133" s="24" t="str">
        <f t="shared" si="269"/>
        <v/>
      </c>
      <c r="O133" s="24">
        <f t="shared" si="269"/>
        <v>2381</v>
      </c>
      <c r="P133" s="24">
        <f t="shared" ref="P133:S133" si="270">L133*$Y$2</f>
        <v>12414.75</v>
      </c>
      <c r="Q133" s="24">
        <f t="shared" si="270"/>
        <v>1146</v>
      </c>
      <c r="R133" s="24">
        <f t="shared" si="270"/>
        <v>0</v>
      </c>
      <c r="S133" s="24">
        <f t="shared" si="270"/>
        <v>595.25</v>
      </c>
      <c r="T133" s="24">
        <f t="shared" si="4"/>
        <v>14</v>
      </c>
      <c r="Z133" s="25">
        <f t="shared" si="12"/>
        <v>89.61202223</v>
      </c>
      <c r="AA133" s="26"/>
    </row>
    <row r="134">
      <c r="A134" s="16" t="s">
        <v>6</v>
      </c>
      <c r="B134" s="17">
        <v>133.0</v>
      </c>
      <c r="C134" s="24">
        <f t="shared" si="5"/>
        <v>93989.3695</v>
      </c>
      <c r="D134" s="25">
        <v>0.05</v>
      </c>
      <c r="E134" s="24">
        <f t="shared" si="6"/>
        <v>68.26414843</v>
      </c>
      <c r="F134" s="25">
        <v>0.02</v>
      </c>
      <c r="G134" s="24">
        <f t="shared" si="7"/>
        <v>62659.57967</v>
      </c>
      <c r="H134" s="25">
        <v>0.05</v>
      </c>
      <c r="I134" s="24">
        <f t="shared" si="8"/>
        <v>136.5282969</v>
      </c>
      <c r="J134" s="25">
        <v>0.02</v>
      </c>
      <c r="K134" s="25">
        <v>0.0</v>
      </c>
      <c r="L134" s="24">
        <f t="shared" ref="L134:O134" si="271">IF(L133="", "", 1 + MROUND(IFERROR(MINIFS(OFFSET(L133, -1, 0, -$B134, 1), OFFSET(L133, -1, 0, -$B134, 1), "&gt;0"), L133) + (LN(1 + $Z134) ^ U$2) * U$3, 1))</f>
        <v>50381</v>
      </c>
      <c r="M134" s="24">
        <f t="shared" si="271"/>
        <v>4643</v>
      </c>
      <c r="N134" s="24" t="str">
        <f t="shared" si="271"/>
        <v/>
      </c>
      <c r="O134" s="24">
        <f t="shared" si="271"/>
        <v>2411</v>
      </c>
      <c r="P134" s="24">
        <f t="shared" ref="P134:S134" si="272">L134*$Y$2</f>
        <v>12595.25</v>
      </c>
      <c r="Q134" s="24">
        <f t="shared" si="272"/>
        <v>1160.75</v>
      </c>
      <c r="R134" s="24">
        <f t="shared" si="272"/>
        <v>0</v>
      </c>
      <c r="S134" s="24">
        <f t="shared" si="272"/>
        <v>602.75</v>
      </c>
      <c r="T134" s="24">
        <f t="shared" si="4"/>
        <v>14</v>
      </c>
      <c r="Z134" s="25">
        <f t="shared" si="12"/>
        <v>92.78344301</v>
      </c>
      <c r="AA134" s="26"/>
    </row>
    <row r="135">
      <c r="A135" s="16" t="s">
        <v>6</v>
      </c>
      <c r="B135" s="17">
        <v>134.0</v>
      </c>
      <c r="C135" s="24">
        <f t="shared" si="5"/>
        <v>98688.83798</v>
      </c>
      <c r="D135" s="25">
        <v>0.05</v>
      </c>
      <c r="E135" s="24">
        <f t="shared" si="6"/>
        <v>69.62943139</v>
      </c>
      <c r="F135" s="25">
        <v>0.02</v>
      </c>
      <c r="G135" s="24">
        <f t="shared" si="7"/>
        <v>65792.55865</v>
      </c>
      <c r="H135" s="25">
        <v>0.05</v>
      </c>
      <c r="I135" s="24">
        <f t="shared" si="8"/>
        <v>139.2588628</v>
      </c>
      <c r="J135" s="25">
        <v>0.02</v>
      </c>
      <c r="K135" s="25">
        <v>0.0</v>
      </c>
      <c r="L135" s="24">
        <f t="shared" ref="L135:O135" si="273">IF(L134="", "", 1 + MROUND(IFERROR(MINIFS(OFFSET(L134, -1, 0, -$B135, 1), OFFSET(L134, -1, 0, -$B135, 1), "&gt;0"), L134) + (LN(1 + $Z135) ^ U$2) * U$3, 1))</f>
        <v>51107</v>
      </c>
      <c r="M135" s="24">
        <f t="shared" si="273"/>
        <v>4702</v>
      </c>
      <c r="N135" s="24" t="str">
        <f t="shared" si="273"/>
        <v/>
      </c>
      <c r="O135" s="24">
        <f t="shared" si="273"/>
        <v>2441</v>
      </c>
      <c r="P135" s="24">
        <f t="shared" ref="P135:S135" si="274">L135*$Y$2</f>
        <v>12776.75</v>
      </c>
      <c r="Q135" s="24">
        <f t="shared" si="274"/>
        <v>1175.5</v>
      </c>
      <c r="R135" s="24">
        <f t="shared" si="274"/>
        <v>0</v>
      </c>
      <c r="S135" s="24">
        <f t="shared" si="274"/>
        <v>610.25</v>
      </c>
      <c r="T135" s="24">
        <f t="shared" si="4"/>
        <v>14</v>
      </c>
      <c r="Z135" s="25">
        <f t="shared" si="12"/>
        <v>96.06586352</v>
      </c>
      <c r="AA135" s="26"/>
    </row>
    <row r="136">
      <c r="A136" s="16" t="s">
        <v>6</v>
      </c>
      <c r="B136" s="17">
        <v>135.0</v>
      </c>
      <c r="C136" s="24">
        <f t="shared" si="5"/>
        <v>103623.2799</v>
      </c>
      <c r="D136" s="25">
        <v>0.05</v>
      </c>
      <c r="E136" s="24">
        <f t="shared" si="6"/>
        <v>71.02202002</v>
      </c>
      <c r="F136" s="25">
        <v>0.02</v>
      </c>
      <c r="G136" s="24">
        <f t="shared" si="7"/>
        <v>69082.18658</v>
      </c>
      <c r="H136" s="25">
        <v>0.05</v>
      </c>
      <c r="I136" s="24">
        <f t="shared" si="8"/>
        <v>142.04404</v>
      </c>
      <c r="J136" s="25">
        <v>0.02</v>
      </c>
      <c r="K136" s="25">
        <v>0.0</v>
      </c>
      <c r="L136" s="24">
        <f t="shared" ref="L136:O136" si="275">IF(L135="", "", 1 + MROUND(IFERROR(MINIFS(OFFSET(L135, -1, 0, -$B136, 1), OFFSET(L135, -1, 0, -$B136, 1), "&gt;0"), L135) + (LN(1 + $Z136) ^ U$2) * U$3, 1))</f>
        <v>51837</v>
      </c>
      <c r="M136" s="24">
        <f t="shared" si="275"/>
        <v>4761</v>
      </c>
      <c r="N136" s="24" t="str">
        <f t="shared" si="275"/>
        <v/>
      </c>
      <c r="O136" s="24">
        <f t="shared" si="275"/>
        <v>2471</v>
      </c>
      <c r="P136" s="24">
        <f t="shared" ref="P136:S136" si="276">L136*$Y$2</f>
        <v>12959.25</v>
      </c>
      <c r="Q136" s="24">
        <f t="shared" si="276"/>
        <v>1190.25</v>
      </c>
      <c r="R136" s="24">
        <f t="shared" si="276"/>
        <v>0</v>
      </c>
      <c r="S136" s="24">
        <f t="shared" si="276"/>
        <v>617.75</v>
      </c>
      <c r="T136" s="24">
        <f t="shared" si="4"/>
        <v>15</v>
      </c>
      <c r="Z136" s="25">
        <f t="shared" si="12"/>
        <v>99.46316874</v>
      </c>
      <c r="AA136" s="26"/>
    </row>
    <row r="137">
      <c r="A137" s="16" t="s">
        <v>6</v>
      </c>
      <c r="B137" s="17">
        <v>136.0</v>
      </c>
      <c r="C137" s="24">
        <f t="shared" si="5"/>
        <v>108804.4439</v>
      </c>
      <c r="D137" s="25">
        <v>0.05</v>
      </c>
      <c r="E137" s="24">
        <f t="shared" si="6"/>
        <v>72.44246042</v>
      </c>
      <c r="F137" s="25">
        <v>0.02</v>
      </c>
      <c r="G137" s="24">
        <f t="shared" si="7"/>
        <v>72536.29591</v>
      </c>
      <c r="H137" s="25">
        <v>0.05</v>
      </c>
      <c r="I137" s="24">
        <f t="shared" si="8"/>
        <v>144.8849208</v>
      </c>
      <c r="J137" s="25">
        <v>0.02</v>
      </c>
      <c r="K137" s="25">
        <v>0.0</v>
      </c>
      <c r="L137" s="24">
        <f t="shared" ref="L137:O137" si="277">IF(L136="", "", 1 + MROUND(IFERROR(MINIFS(OFFSET(L136, -1, 0, -$B137, 1), OFFSET(L136, -1, 0, -$B137, 1), "&gt;0"), L136) + (LN(1 + $Z137) ^ U$2) * U$3, 1))</f>
        <v>52570</v>
      </c>
      <c r="M137" s="24">
        <f t="shared" si="277"/>
        <v>4821</v>
      </c>
      <c r="N137" s="24" t="str">
        <f t="shared" si="277"/>
        <v/>
      </c>
      <c r="O137" s="24">
        <f t="shared" si="277"/>
        <v>2501</v>
      </c>
      <c r="P137" s="24">
        <f t="shared" ref="P137:S137" si="278">L137*$Y$2</f>
        <v>13142.5</v>
      </c>
      <c r="Q137" s="24">
        <f t="shared" si="278"/>
        <v>1205.25</v>
      </c>
      <c r="R137" s="24">
        <f t="shared" si="278"/>
        <v>0</v>
      </c>
      <c r="S137" s="24">
        <f t="shared" si="278"/>
        <v>625.25</v>
      </c>
      <c r="T137" s="24">
        <f t="shared" si="4"/>
        <v>15</v>
      </c>
      <c r="Z137" s="25">
        <f t="shared" si="12"/>
        <v>102.9793796</v>
      </c>
      <c r="AA137" s="26"/>
    </row>
    <row r="138">
      <c r="A138" s="16" t="s">
        <v>6</v>
      </c>
      <c r="B138" s="17">
        <v>137.0</v>
      </c>
      <c r="C138" s="24">
        <f t="shared" si="5"/>
        <v>114244.6661</v>
      </c>
      <c r="D138" s="25">
        <v>0.05</v>
      </c>
      <c r="E138" s="24">
        <f t="shared" si="6"/>
        <v>73.89130963</v>
      </c>
      <c r="F138" s="25">
        <v>0.02</v>
      </c>
      <c r="G138" s="24">
        <f t="shared" si="7"/>
        <v>76163.11071</v>
      </c>
      <c r="H138" s="25">
        <v>0.05</v>
      </c>
      <c r="I138" s="24">
        <f t="shared" si="8"/>
        <v>147.7826193</v>
      </c>
      <c r="J138" s="25">
        <v>0.02</v>
      </c>
      <c r="K138" s="25">
        <v>0.0</v>
      </c>
      <c r="L138" s="24">
        <f t="shared" ref="L138:O138" si="279">IF(L137="", "", 1 + MROUND(IFERROR(MINIFS(OFFSET(L137, -1, 0, -$B138, 1), OFFSET(L137, -1, 0, -$B138, 1), "&gt;0"), L137) + (LN(1 + $Z138) ^ U$2) * U$3, 1))</f>
        <v>53307</v>
      </c>
      <c r="M138" s="24">
        <f t="shared" si="279"/>
        <v>4881</v>
      </c>
      <c r="N138" s="24" t="str">
        <f t="shared" si="279"/>
        <v/>
      </c>
      <c r="O138" s="24">
        <f t="shared" si="279"/>
        <v>2531</v>
      </c>
      <c r="P138" s="24">
        <f t="shared" ref="P138:S138" si="280">L138*$Y$2</f>
        <v>13326.75</v>
      </c>
      <c r="Q138" s="24">
        <f t="shared" si="280"/>
        <v>1220.25</v>
      </c>
      <c r="R138" s="24">
        <f t="shared" si="280"/>
        <v>0</v>
      </c>
      <c r="S138" s="24">
        <f t="shared" si="280"/>
        <v>632.75</v>
      </c>
      <c r="T138" s="24">
        <f t="shared" si="4"/>
        <v>15</v>
      </c>
      <c r="Z138" s="25">
        <f t="shared" si="12"/>
        <v>106.6186579</v>
      </c>
      <c r="AA138" s="26"/>
    </row>
    <row r="139">
      <c r="A139" s="16" t="s">
        <v>6</v>
      </c>
      <c r="B139" s="17">
        <v>138.0</v>
      </c>
      <c r="C139" s="24">
        <f t="shared" si="5"/>
        <v>119956.8994</v>
      </c>
      <c r="D139" s="25">
        <v>0.05</v>
      </c>
      <c r="E139" s="24">
        <f t="shared" si="6"/>
        <v>75.36913582</v>
      </c>
      <c r="F139" s="25">
        <v>0.02</v>
      </c>
      <c r="G139" s="24">
        <f t="shared" si="7"/>
        <v>79971.26624</v>
      </c>
      <c r="H139" s="25">
        <v>0.05</v>
      </c>
      <c r="I139" s="24">
        <f t="shared" si="8"/>
        <v>150.7382716</v>
      </c>
      <c r="J139" s="25">
        <v>0.02</v>
      </c>
      <c r="K139" s="25">
        <v>0.0</v>
      </c>
      <c r="L139" s="24">
        <f t="shared" ref="L139:O139" si="281">IF(L138="", "", 1 + MROUND(IFERROR(MINIFS(OFFSET(L138, -1, 0, -$B139, 1), OFFSET(L138, -1, 0, -$B139, 1), "&gt;0"), L138) + (LN(1 + $Z139) ^ U$2) * U$3, 1))</f>
        <v>54048</v>
      </c>
      <c r="M139" s="24">
        <f t="shared" si="281"/>
        <v>4941</v>
      </c>
      <c r="N139" s="24" t="str">
        <f t="shared" si="281"/>
        <v/>
      </c>
      <c r="O139" s="24">
        <f t="shared" si="281"/>
        <v>2562</v>
      </c>
      <c r="P139" s="24">
        <f t="shared" ref="P139:S139" si="282">L139*$Y$2</f>
        <v>13512</v>
      </c>
      <c r="Q139" s="24">
        <f t="shared" si="282"/>
        <v>1235.25</v>
      </c>
      <c r="R139" s="24">
        <f t="shared" si="282"/>
        <v>0</v>
      </c>
      <c r="S139" s="24">
        <f t="shared" si="282"/>
        <v>640.5</v>
      </c>
      <c r="T139" s="24">
        <f t="shared" si="4"/>
        <v>15</v>
      </c>
      <c r="Z139" s="25">
        <f t="shared" si="12"/>
        <v>110.385311</v>
      </c>
      <c r="AA139" s="26"/>
    </row>
    <row r="140">
      <c r="A140" s="16" t="s">
        <v>6</v>
      </c>
      <c r="B140" s="17">
        <v>139.0</v>
      </c>
      <c r="C140" s="24">
        <f t="shared" si="5"/>
        <v>125954.7443</v>
      </c>
      <c r="D140" s="25">
        <v>0.05</v>
      </c>
      <c r="E140" s="24">
        <f t="shared" si="6"/>
        <v>76.87651854</v>
      </c>
      <c r="F140" s="25">
        <v>0.02</v>
      </c>
      <c r="G140" s="24">
        <f t="shared" si="7"/>
        <v>83969.82956</v>
      </c>
      <c r="H140" s="25">
        <v>0.05</v>
      </c>
      <c r="I140" s="24">
        <f t="shared" si="8"/>
        <v>153.7530371</v>
      </c>
      <c r="J140" s="25">
        <v>0.02</v>
      </c>
      <c r="K140" s="25">
        <v>0.0</v>
      </c>
      <c r="L140" s="24">
        <f t="shared" ref="L140:O140" si="283">IF(L139="", "", 1 + MROUND(IFERROR(MINIFS(OFFSET(L139, -1, 0, -$B140, 1), OFFSET(L139, -1, 0, -$B140, 1), "&gt;0"), L139) + (LN(1 + $Z140) ^ U$2) * U$3, 1))</f>
        <v>54793</v>
      </c>
      <c r="M140" s="24">
        <f t="shared" si="283"/>
        <v>5002</v>
      </c>
      <c r="N140" s="24" t="str">
        <f t="shared" si="283"/>
        <v/>
      </c>
      <c r="O140" s="24">
        <f t="shared" si="283"/>
        <v>2593</v>
      </c>
      <c r="P140" s="24">
        <f t="shared" ref="P140:S140" si="284">L140*$Y$2</f>
        <v>13698.25</v>
      </c>
      <c r="Q140" s="24">
        <f t="shared" si="284"/>
        <v>1250.5</v>
      </c>
      <c r="R140" s="24">
        <f t="shared" si="284"/>
        <v>0</v>
      </c>
      <c r="S140" s="24">
        <f t="shared" si="284"/>
        <v>648.25</v>
      </c>
      <c r="T140" s="24">
        <f t="shared" si="4"/>
        <v>15</v>
      </c>
      <c r="Z140" s="25">
        <f t="shared" si="12"/>
        <v>114.2837968</v>
      </c>
      <c r="AA140" s="26"/>
    </row>
    <row r="141">
      <c r="A141" s="16" t="s">
        <v>6</v>
      </c>
      <c r="B141" s="17">
        <v>140.0</v>
      </c>
      <c r="C141" s="24">
        <f t="shared" si="5"/>
        <v>132252.4816</v>
      </c>
      <c r="D141" s="25">
        <v>0.05</v>
      </c>
      <c r="E141" s="24">
        <f t="shared" si="6"/>
        <v>78.41404891</v>
      </c>
      <c r="F141" s="25">
        <v>0.02</v>
      </c>
      <c r="G141" s="24">
        <f t="shared" si="7"/>
        <v>88168.32104</v>
      </c>
      <c r="H141" s="25">
        <v>0.05</v>
      </c>
      <c r="I141" s="24">
        <f t="shared" si="8"/>
        <v>156.8280978</v>
      </c>
      <c r="J141" s="25">
        <v>0.02</v>
      </c>
      <c r="K141" s="25">
        <v>0.0</v>
      </c>
      <c r="L141" s="24">
        <f t="shared" ref="L141:O141" si="285">IF(L140="", "", 1 + MROUND(IFERROR(MINIFS(OFFSET(L140, -1, 0, -$B141, 1), OFFSET(L140, -1, 0, -$B141, 1), "&gt;0"), L140) + (LN(1 + $Z141) ^ U$2) * U$3, 1))</f>
        <v>55542</v>
      </c>
      <c r="M141" s="24">
        <f t="shared" si="285"/>
        <v>5063</v>
      </c>
      <c r="N141" s="24" t="str">
        <f t="shared" si="285"/>
        <v/>
      </c>
      <c r="O141" s="24">
        <f t="shared" si="285"/>
        <v>2624</v>
      </c>
      <c r="P141" s="24">
        <f t="shared" ref="P141:S141" si="286">L141*$Y$2</f>
        <v>13885.5</v>
      </c>
      <c r="Q141" s="24">
        <f t="shared" si="286"/>
        <v>1265.75</v>
      </c>
      <c r="R141" s="24">
        <f t="shared" si="286"/>
        <v>0</v>
      </c>
      <c r="S141" s="24">
        <f t="shared" si="286"/>
        <v>656</v>
      </c>
      <c r="T141" s="24">
        <f t="shared" si="4"/>
        <v>15</v>
      </c>
      <c r="Z141" s="25">
        <f t="shared" si="12"/>
        <v>118.3187297</v>
      </c>
      <c r="AA141" s="26"/>
    </row>
    <row r="142">
      <c r="A142" s="16" t="s">
        <v>6</v>
      </c>
      <c r="B142" s="17">
        <v>141.0</v>
      </c>
      <c r="C142" s="24">
        <f t="shared" si="5"/>
        <v>138865.1056</v>
      </c>
      <c r="D142" s="25">
        <v>0.05</v>
      </c>
      <c r="E142" s="24">
        <f t="shared" si="6"/>
        <v>79.98232989</v>
      </c>
      <c r="F142" s="25">
        <v>0.02</v>
      </c>
      <c r="G142" s="24">
        <f t="shared" si="7"/>
        <v>92576.73709</v>
      </c>
      <c r="H142" s="25">
        <v>0.05</v>
      </c>
      <c r="I142" s="24">
        <f t="shared" si="8"/>
        <v>159.9646598</v>
      </c>
      <c r="J142" s="25">
        <v>0.02</v>
      </c>
      <c r="K142" s="25">
        <v>0.0</v>
      </c>
      <c r="L142" s="24">
        <f t="shared" ref="L142:O142" si="287">IF(L141="", "", 1 + MROUND(IFERROR(MINIFS(OFFSET(L141, -1, 0, -$B142, 1), OFFSET(L141, -1, 0, -$B142, 1), "&gt;0"), L141) + (LN(1 + $Z142) ^ U$2) * U$3, 1))</f>
        <v>56294</v>
      </c>
      <c r="M142" s="24">
        <f t="shared" si="287"/>
        <v>5124</v>
      </c>
      <c r="N142" s="24" t="str">
        <f t="shared" si="287"/>
        <v/>
      </c>
      <c r="O142" s="24">
        <f t="shared" si="287"/>
        <v>2655</v>
      </c>
      <c r="P142" s="24">
        <f t="shared" ref="P142:S142" si="288">L142*$Y$2</f>
        <v>14073.5</v>
      </c>
      <c r="Q142" s="24">
        <f t="shared" si="288"/>
        <v>1281</v>
      </c>
      <c r="R142" s="24">
        <f t="shared" si="288"/>
        <v>0</v>
      </c>
      <c r="S142" s="24">
        <f t="shared" si="288"/>
        <v>663.75</v>
      </c>
      <c r="T142" s="24">
        <f t="shared" si="4"/>
        <v>15</v>
      </c>
      <c r="Z142" s="25">
        <f t="shared" si="12"/>
        <v>122.4948853</v>
      </c>
      <c r="AA142" s="26"/>
    </row>
    <row r="143">
      <c r="A143" s="16" t="s">
        <v>6</v>
      </c>
      <c r="B143" s="17">
        <v>142.0</v>
      </c>
      <c r="C143" s="24">
        <f t="shared" si="5"/>
        <v>145808.3609</v>
      </c>
      <c r="D143" s="25">
        <v>0.05</v>
      </c>
      <c r="E143" s="24">
        <f t="shared" si="6"/>
        <v>81.58197649</v>
      </c>
      <c r="F143" s="25">
        <v>0.02</v>
      </c>
      <c r="G143" s="24">
        <f t="shared" si="7"/>
        <v>97205.57394</v>
      </c>
      <c r="H143" s="25">
        <v>0.05</v>
      </c>
      <c r="I143" s="24">
        <f t="shared" si="8"/>
        <v>163.163953</v>
      </c>
      <c r="J143" s="25">
        <v>0.02</v>
      </c>
      <c r="K143" s="25">
        <v>0.0</v>
      </c>
      <c r="L143" s="24">
        <f t="shared" ref="L143:O143" si="289">IF(L142="", "", 1 + MROUND(IFERROR(MINIFS(OFFSET(L142, -1, 0, -$B143, 1), OFFSET(L142, -1, 0, -$B143, 1), "&gt;0"), L142) + (LN(1 + $Z143) ^ U$2) * U$3, 1))</f>
        <v>57050</v>
      </c>
      <c r="M143" s="24">
        <f t="shared" si="289"/>
        <v>5185</v>
      </c>
      <c r="N143" s="24" t="str">
        <f t="shared" si="289"/>
        <v/>
      </c>
      <c r="O143" s="24">
        <f t="shared" si="289"/>
        <v>2686</v>
      </c>
      <c r="P143" s="24">
        <f t="shared" ref="P143:S143" si="290">L143*$Y$2</f>
        <v>14262.5</v>
      </c>
      <c r="Q143" s="24">
        <f t="shared" si="290"/>
        <v>1296.25</v>
      </c>
      <c r="R143" s="24">
        <f t="shared" si="290"/>
        <v>0</v>
      </c>
      <c r="S143" s="24">
        <f t="shared" si="290"/>
        <v>671.5</v>
      </c>
      <c r="T143" s="24">
        <f t="shared" si="4"/>
        <v>15</v>
      </c>
      <c r="Z143" s="25">
        <f t="shared" si="12"/>
        <v>126.8172063</v>
      </c>
      <c r="AA143" s="26"/>
    </row>
    <row r="144">
      <c r="A144" s="16" t="s">
        <v>6</v>
      </c>
      <c r="B144" s="17">
        <v>143.0</v>
      </c>
      <c r="C144" s="24">
        <f t="shared" si="5"/>
        <v>153098.779</v>
      </c>
      <c r="D144" s="25">
        <v>0.05</v>
      </c>
      <c r="E144" s="24">
        <f t="shared" si="6"/>
        <v>83.21361602</v>
      </c>
      <c r="F144" s="25">
        <v>0.02</v>
      </c>
      <c r="G144" s="24">
        <f t="shared" si="7"/>
        <v>102065.8526</v>
      </c>
      <c r="H144" s="25">
        <v>0.05</v>
      </c>
      <c r="I144" s="24">
        <f t="shared" si="8"/>
        <v>166.427232</v>
      </c>
      <c r="J144" s="25">
        <v>0.02</v>
      </c>
      <c r="K144" s="25">
        <v>0.0</v>
      </c>
      <c r="L144" s="24">
        <f t="shared" ref="L144:O144" si="291">IF(L143="", "", 1 + MROUND(IFERROR(MINIFS(OFFSET(L143, -1, 0, -$B144, 1), OFFSET(L143, -1, 0, -$B144, 1), "&gt;0"), L143) + (LN(1 + $Z144) ^ U$2) * U$3, 1))</f>
        <v>57810</v>
      </c>
      <c r="M144" s="24">
        <f t="shared" si="291"/>
        <v>5247</v>
      </c>
      <c r="N144" s="24" t="str">
        <f t="shared" si="291"/>
        <v/>
      </c>
      <c r="O144" s="24">
        <f t="shared" si="291"/>
        <v>2717</v>
      </c>
      <c r="P144" s="24">
        <f t="shared" ref="P144:S144" si="292">L144*$Y$2</f>
        <v>14452.5</v>
      </c>
      <c r="Q144" s="24">
        <f t="shared" si="292"/>
        <v>1311.75</v>
      </c>
      <c r="R144" s="24">
        <f t="shared" si="292"/>
        <v>0</v>
      </c>
      <c r="S144" s="24">
        <f t="shared" si="292"/>
        <v>679.25</v>
      </c>
      <c r="T144" s="24">
        <f t="shared" si="4"/>
        <v>15</v>
      </c>
      <c r="Z144" s="25">
        <f t="shared" si="12"/>
        <v>131.2908085</v>
      </c>
      <c r="AA144" s="26"/>
    </row>
    <row r="145">
      <c r="A145" s="16" t="s">
        <v>6</v>
      </c>
      <c r="B145" s="17">
        <v>144.0</v>
      </c>
      <c r="C145" s="24">
        <f t="shared" si="5"/>
        <v>160753.7179</v>
      </c>
      <c r="D145" s="25">
        <v>0.05</v>
      </c>
      <c r="E145" s="24">
        <f t="shared" si="6"/>
        <v>84.87788834</v>
      </c>
      <c r="F145" s="25">
        <v>0.02</v>
      </c>
      <c r="G145" s="24">
        <f t="shared" si="7"/>
        <v>107169.1453</v>
      </c>
      <c r="H145" s="25">
        <v>0.05</v>
      </c>
      <c r="I145" s="24">
        <f t="shared" si="8"/>
        <v>169.7557767</v>
      </c>
      <c r="J145" s="25">
        <v>0.02</v>
      </c>
      <c r="K145" s="25">
        <v>0.0</v>
      </c>
      <c r="L145" s="24">
        <f t="shared" ref="L145:O145" si="293">IF(L144="", "", 1 + MROUND(IFERROR(MINIFS(OFFSET(L144, -1, 0, -$B145, 1), OFFSET(L144, -1, 0, -$B145, 1), "&gt;0"), L144) + (LN(1 + $Z145) ^ U$2) * U$3, 1))</f>
        <v>58574</v>
      </c>
      <c r="M145" s="24">
        <f t="shared" si="293"/>
        <v>5309</v>
      </c>
      <c r="N145" s="24" t="str">
        <f t="shared" si="293"/>
        <v/>
      </c>
      <c r="O145" s="24">
        <f t="shared" si="293"/>
        <v>2749</v>
      </c>
      <c r="P145" s="24">
        <f t="shared" ref="P145:S145" si="294">L145*$Y$2</f>
        <v>14643.5</v>
      </c>
      <c r="Q145" s="24">
        <f t="shared" si="294"/>
        <v>1327.25</v>
      </c>
      <c r="R145" s="24">
        <f t="shared" si="294"/>
        <v>0</v>
      </c>
      <c r="S145" s="24">
        <f t="shared" si="294"/>
        <v>687.25</v>
      </c>
      <c r="T145" s="24">
        <f t="shared" si="4"/>
        <v>15</v>
      </c>
      <c r="Z145" s="25">
        <f t="shared" si="12"/>
        <v>135.9209868</v>
      </c>
      <c r="AA145" s="26"/>
    </row>
    <row r="146">
      <c r="A146" s="16" t="s">
        <v>6</v>
      </c>
      <c r="B146" s="17">
        <v>145.0</v>
      </c>
      <c r="C146" s="24">
        <f t="shared" si="5"/>
        <v>168791.4038</v>
      </c>
      <c r="D146" s="25">
        <v>0.05</v>
      </c>
      <c r="E146" s="24">
        <f t="shared" si="6"/>
        <v>86.5754461</v>
      </c>
      <c r="F146" s="25">
        <v>0.02</v>
      </c>
      <c r="G146" s="24">
        <f t="shared" si="7"/>
        <v>112527.6025</v>
      </c>
      <c r="H146" s="25">
        <v>0.05</v>
      </c>
      <c r="I146" s="24">
        <f t="shared" si="8"/>
        <v>173.1508922</v>
      </c>
      <c r="J146" s="25">
        <v>0.02</v>
      </c>
      <c r="K146" s="25">
        <v>0.0</v>
      </c>
      <c r="L146" s="24">
        <f t="shared" ref="L146:O146" si="295">IF(L145="", "", 1 + MROUND(IFERROR(MINIFS(OFFSET(L145, -1, 0, -$B146, 1), OFFSET(L145, -1, 0, -$B146, 1), "&gt;0"), L145) + (LN(1 + $Z146) ^ U$2) * U$3, 1))</f>
        <v>59341</v>
      </c>
      <c r="M146" s="24">
        <f t="shared" si="295"/>
        <v>5371</v>
      </c>
      <c r="N146" s="24" t="str">
        <f t="shared" si="295"/>
        <v/>
      </c>
      <c r="O146" s="24">
        <f t="shared" si="295"/>
        <v>2781</v>
      </c>
      <c r="P146" s="24">
        <f t="shared" ref="P146:S146" si="296">L146*$Y$2</f>
        <v>14835.25</v>
      </c>
      <c r="Q146" s="24">
        <f t="shared" si="296"/>
        <v>1342.75</v>
      </c>
      <c r="R146" s="24">
        <f t="shared" si="296"/>
        <v>0</v>
      </c>
      <c r="S146" s="24">
        <f t="shared" si="296"/>
        <v>695.25</v>
      </c>
      <c r="T146" s="24">
        <f t="shared" si="4"/>
        <v>16</v>
      </c>
      <c r="Z146" s="25">
        <f t="shared" si="12"/>
        <v>140.7132213</v>
      </c>
      <c r="AA146" s="26"/>
    </row>
    <row r="147">
      <c r="A147" s="16" t="s">
        <v>6</v>
      </c>
      <c r="B147" s="17">
        <v>146.0</v>
      </c>
      <c r="C147" s="24">
        <f t="shared" si="5"/>
        <v>177230.974</v>
      </c>
      <c r="D147" s="25">
        <v>0.05</v>
      </c>
      <c r="E147" s="24">
        <f t="shared" si="6"/>
        <v>88.30695503</v>
      </c>
      <c r="F147" s="25">
        <v>0.02</v>
      </c>
      <c r="G147" s="24">
        <f t="shared" si="7"/>
        <v>118153.9827</v>
      </c>
      <c r="H147" s="25">
        <v>0.05</v>
      </c>
      <c r="I147" s="24">
        <f t="shared" si="8"/>
        <v>176.6139101</v>
      </c>
      <c r="J147" s="25">
        <v>0.02</v>
      </c>
      <c r="K147" s="25">
        <v>0.0</v>
      </c>
      <c r="L147" s="24">
        <f t="shared" ref="L147:O147" si="297">IF(L146="", "", 1 + MROUND(IFERROR(MINIFS(OFFSET(L146, -1, 0, -$B147, 1), OFFSET(L146, -1, 0, -$B147, 1), "&gt;0"), L146) + (LN(1 + $Z147) ^ U$2) * U$3, 1))</f>
        <v>60112</v>
      </c>
      <c r="M147" s="24">
        <f t="shared" si="297"/>
        <v>5434</v>
      </c>
      <c r="N147" s="24" t="str">
        <f t="shared" si="297"/>
        <v/>
      </c>
      <c r="O147" s="24">
        <f t="shared" si="297"/>
        <v>2813</v>
      </c>
      <c r="P147" s="24">
        <f t="shared" ref="P147:S147" si="298">L147*$Y$2</f>
        <v>15028</v>
      </c>
      <c r="Q147" s="24">
        <f t="shared" si="298"/>
        <v>1358.5</v>
      </c>
      <c r="R147" s="24">
        <f t="shared" si="298"/>
        <v>0</v>
      </c>
      <c r="S147" s="24">
        <f t="shared" si="298"/>
        <v>703.25</v>
      </c>
      <c r="T147" s="24">
        <f t="shared" si="4"/>
        <v>16</v>
      </c>
      <c r="Z147" s="25">
        <f t="shared" si="12"/>
        <v>145.6731841</v>
      </c>
      <c r="AA147" s="26"/>
    </row>
    <row r="148">
      <c r="A148" s="16" t="s">
        <v>6</v>
      </c>
      <c r="B148" s="17">
        <v>147.0</v>
      </c>
      <c r="C148" s="24">
        <f t="shared" si="5"/>
        <v>186092.5227</v>
      </c>
      <c r="D148" s="25">
        <v>0.05</v>
      </c>
      <c r="E148" s="24">
        <f t="shared" si="6"/>
        <v>90.07309413</v>
      </c>
      <c r="F148" s="25">
        <v>0.02</v>
      </c>
      <c r="G148" s="24">
        <f t="shared" si="7"/>
        <v>124061.6818</v>
      </c>
      <c r="H148" s="25">
        <v>0.05</v>
      </c>
      <c r="I148" s="24">
        <f t="shared" si="8"/>
        <v>180.1461883</v>
      </c>
      <c r="J148" s="25">
        <v>0.02</v>
      </c>
      <c r="K148" s="25">
        <v>0.0</v>
      </c>
      <c r="L148" s="24">
        <f t="shared" ref="L148:O148" si="299">IF(L147="", "", 1 + MROUND(IFERROR(MINIFS(OFFSET(L147, -1, 0, -$B148, 1), OFFSET(L147, -1, 0, -$B148, 1), "&gt;0"), L147) + (LN(1 + $Z148) ^ U$2) * U$3, 1))</f>
        <v>60887</v>
      </c>
      <c r="M148" s="24">
        <f t="shared" si="299"/>
        <v>5497</v>
      </c>
      <c r="N148" s="24" t="str">
        <f t="shared" si="299"/>
        <v/>
      </c>
      <c r="O148" s="24">
        <f t="shared" si="299"/>
        <v>2845</v>
      </c>
      <c r="P148" s="24">
        <f t="shared" ref="P148:S148" si="300">L148*$Y$2</f>
        <v>15221.75</v>
      </c>
      <c r="Q148" s="24">
        <f t="shared" si="300"/>
        <v>1374.25</v>
      </c>
      <c r="R148" s="24">
        <f t="shared" si="300"/>
        <v>0</v>
      </c>
      <c r="S148" s="24">
        <f t="shared" si="300"/>
        <v>711.25</v>
      </c>
      <c r="T148" s="24">
        <f t="shared" si="4"/>
        <v>16</v>
      </c>
      <c r="Z148" s="25">
        <f t="shared" si="12"/>
        <v>150.8067455</v>
      </c>
      <c r="AA148" s="26"/>
    </row>
    <row r="149">
      <c r="A149" s="16" t="s">
        <v>6</v>
      </c>
      <c r="B149" s="17">
        <v>148.0</v>
      </c>
      <c r="C149" s="24">
        <f t="shared" si="5"/>
        <v>195397.1488</v>
      </c>
      <c r="D149" s="25">
        <v>0.05</v>
      </c>
      <c r="E149" s="24">
        <f t="shared" si="6"/>
        <v>91.87455601</v>
      </c>
      <c r="F149" s="25">
        <v>0.02</v>
      </c>
      <c r="G149" s="24">
        <f t="shared" si="7"/>
        <v>130264.7659</v>
      </c>
      <c r="H149" s="25">
        <v>0.05</v>
      </c>
      <c r="I149" s="24">
        <f t="shared" si="8"/>
        <v>183.749112</v>
      </c>
      <c r="J149" s="25">
        <v>0.02</v>
      </c>
      <c r="K149" s="25">
        <v>0.0</v>
      </c>
      <c r="L149" s="24">
        <f t="shared" ref="L149:O149" si="301">IF(L148="", "", 1 + MROUND(IFERROR(MINIFS(OFFSET(L148, -1, 0, -$B149, 1), OFFSET(L148, -1, 0, -$B149, 1), "&gt;0"), L148) + (LN(1 + $Z149) ^ U$2) * U$3, 1))</f>
        <v>61665</v>
      </c>
      <c r="M149" s="24">
        <f t="shared" si="301"/>
        <v>5560</v>
      </c>
      <c r="N149" s="24" t="str">
        <f t="shared" si="301"/>
        <v/>
      </c>
      <c r="O149" s="24">
        <f t="shared" si="301"/>
        <v>2877</v>
      </c>
      <c r="P149" s="24">
        <f t="shared" ref="P149:S149" si="302">L149*$Y$2</f>
        <v>15416.25</v>
      </c>
      <c r="Q149" s="24">
        <f t="shared" si="302"/>
        <v>1390</v>
      </c>
      <c r="R149" s="24">
        <f t="shared" si="302"/>
        <v>0</v>
      </c>
      <c r="S149" s="24">
        <f t="shared" si="302"/>
        <v>719.25</v>
      </c>
      <c r="T149" s="24">
        <f t="shared" si="4"/>
        <v>16</v>
      </c>
      <c r="Z149" s="25">
        <f t="shared" si="12"/>
        <v>156.1199816</v>
      </c>
      <c r="AA149" s="26"/>
    </row>
    <row r="150">
      <c r="A150" s="16" t="s">
        <v>6</v>
      </c>
      <c r="B150" s="17">
        <v>149.0</v>
      </c>
      <c r="C150" s="24">
        <f t="shared" si="5"/>
        <v>205167.0063</v>
      </c>
      <c r="D150" s="25">
        <v>0.05</v>
      </c>
      <c r="E150" s="24">
        <f t="shared" si="6"/>
        <v>93.71204713</v>
      </c>
      <c r="F150" s="25">
        <v>0.02</v>
      </c>
      <c r="G150" s="24">
        <f t="shared" si="7"/>
        <v>136778.0042</v>
      </c>
      <c r="H150" s="25">
        <v>0.05</v>
      </c>
      <c r="I150" s="24">
        <f t="shared" si="8"/>
        <v>187.4240943</v>
      </c>
      <c r="J150" s="25">
        <v>0.02</v>
      </c>
      <c r="K150" s="25">
        <v>0.0</v>
      </c>
      <c r="L150" s="24">
        <f t="shared" ref="L150:O150" si="303">IF(L149="", "", 1 + MROUND(IFERROR(MINIFS(OFFSET(L149, -1, 0, -$B150, 1), OFFSET(L149, -1, 0, -$B150, 1), "&gt;0"), L149) + (LN(1 + $Z150) ^ U$2) * U$3, 1))</f>
        <v>62447</v>
      </c>
      <c r="M150" s="24">
        <f t="shared" si="303"/>
        <v>5623</v>
      </c>
      <c r="N150" s="24" t="str">
        <f t="shared" si="303"/>
        <v/>
      </c>
      <c r="O150" s="24">
        <f t="shared" si="303"/>
        <v>2909</v>
      </c>
      <c r="P150" s="24">
        <f t="shared" ref="P150:S150" si="304">L150*$Y$2</f>
        <v>15611.75</v>
      </c>
      <c r="Q150" s="24">
        <f t="shared" si="304"/>
        <v>1405.75</v>
      </c>
      <c r="R150" s="24">
        <f t="shared" si="304"/>
        <v>0</v>
      </c>
      <c r="S150" s="24">
        <f t="shared" si="304"/>
        <v>727.25</v>
      </c>
      <c r="T150" s="24">
        <f t="shared" si="4"/>
        <v>16</v>
      </c>
      <c r="Z150" s="25">
        <f t="shared" si="12"/>
        <v>161.6191809</v>
      </c>
      <c r="AA150" s="26"/>
    </row>
    <row r="151">
      <c r="A151" s="16" t="s">
        <v>6</v>
      </c>
      <c r="B151" s="17">
        <v>150.0</v>
      </c>
      <c r="C151" s="24">
        <f t="shared" si="5"/>
        <v>215425.3566</v>
      </c>
      <c r="D151" s="25">
        <v>0.05</v>
      </c>
      <c r="E151" s="24">
        <f t="shared" si="6"/>
        <v>95.58628807</v>
      </c>
      <c r="F151" s="25">
        <v>0.02</v>
      </c>
      <c r="G151" s="24">
        <f t="shared" si="7"/>
        <v>143616.9044</v>
      </c>
      <c r="H151" s="25">
        <v>0.05</v>
      </c>
      <c r="I151" s="24">
        <f t="shared" si="8"/>
        <v>191.1725761</v>
      </c>
      <c r="J151" s="25">
        <v>0.02</v>
      </c>
      <c r="K151" s="25">
        <v>0.0</v>
      </c>
      <c r="L151" s="24">
        <f t="shared" ref="L151:O151" si="305">IF(L150="", "", 1 + MROUND(IFERROR(MINIFS(OFFSET(L150, -1, 0, -$B151, 1), OFFSET(L150, -1, 0, -$B151, 1), "&gt;0"), L150) + (LN(1 + $Z151) ^ U$2) * U$3, 1))</f>
        <v>63233</v>
      </c>
      <c r="M151" s="24">
        <f t="shared" si="305"/>
        <v>5687</v>
      </c>
      <c r="N151" s="24" t="str">
        <f t="shared" si="305"/>
        <v/>
      </c>
      <c r="O151" s="24">
        <f t="shared" si="305"/>
        <v>2941</v>
      </c>
      <c r="P151" s="24">
        <f t="shared" ref="P151:S151" si="306">L151*$Y$2</f>
        <v>15808.25</v>
      </c>
      <c r="Q151" s="24">
        <f t="shared" si="306"/>
        <v>1421.75</v>
      </c>
      <c r="R151" s="24">
        <f t="shared" si="306"/>
        <v>0</v>
      </c>
      <c r="S151" s="24">
        <f t="shared" si="306"/>
        <v>735.25</v>
      </c>
      <c r="T151" s="24">
        <f t="shared" si="4"/>
        <v>16</v>
      </c>
      <c r="Z151" s="25">
        <f t="shared" si="12"/>
        <v>167.3108523</v>
      </c>
      <c r="AA151" s="26"/>
    </row>
    <row r="152">
      <c r="A152" s="16" t="s">
        <v>6</v>
      </c>
      <c r="B152" s="17">
        <v>151.0</v>
      </c>
      <c r="C152" s="24">
        <f t="shared" si="5"/>
        <v>226196.6244</v>
      </c>
      <c r="D152" s="25">
        <v>0.05</v>
      </c>
      <c r="E152" s="24">
        <f t="shared" si="6"/>
        <v>97.49801383</v>
      </c>
      <c r="F152" s="25">
        <v>0.02</v>
      </c>
      <c r="G152" s="24">
        <f t="shared" si="7"/>
        <v>150797.7496</v>
      </c>
      <c r="H152" s="25">
        <v>0.05</v>
      </c>
      <c r="I152" s="24">
        <f t="shared" si="8"/>
        <v>194.9960277</v>
      </c>
      <c r="J152" s="25">
        <v>0.02</v>
      </c>
      <c r="K152" s="25">
        <v>0.0</v>
      </c>
      <c r="L152" s="24">
        <f t="shared" ref="L152:O152" si="307">IF(L151="", "", 1 + MROUND(IFERROR(MINIFS(OFFSET(L151, -1, 0, -$B152, 1), OFFSET(L151, -1, 0, -$B152, 1), "&gt;0"), L151) + (LN(1 + $Z152) ^ U$2) * U$3, 1))</f>
        <v>64023</v>
      </c>
      <c r="M152" s="24">
        <f t="shared" si="307"/>
        <v>5751</v>
      </c>
      <c r="N152" s="24" t="str">
        <f t="shared" si="307"/>
        <v/>
      </c>
      <c r="O152" s="24">
        <f t="shared" si="307"/>
        <v>2974</v>
      </c>
      <c r="P152" s="24">
        <f t="shared" ref="P152:S152" si="308">L152*$Y$2</f>
        <v>16005.75</v>
      </c>
      <c r="Q152" s="24">
        <f t="shared" si="308"/>
        <v>1437.75</v>
      </c>
      <c r="R152" s="24">
        <f t="shared" si="308"/>
        <v>0</v>
      </c>
      <c r="S152" s="24">
        <f t="shared" si="308"/>
        <v>743.5</v>
      </c>
      <c r="T152" s="24">
        <f t="shared" si="4"/>
        <v>16</v>
      </c>
      <c r="Z152" s="25">
        <f t="shared" si="12"/>
        <v>173.2017321</v>
      </c>
      <c r="AA152" s="26"/>
    </row>
    <row r="153">
      <c r="A153" s="16" t="s">
        <v>6</v>
      </c>
      <c r="B153" s="17">
        <v>152.0</v>
      </c>
      <c r="C153" s="24">
        <f t="shared" si="5"/>
        <v>237506.4556</v>
      </c>
      <c r="D153" s="25">
        <v>0.05</v>
      </c>
      <c r="E153" s="24">
        <f t="shared" si="6"/>
        <v>99.44797411</v>
      </c>
      <c r="F153" s="25">
        <v>0.02</v>
      </c>
      <c r="G153" s="24">
        <f t="shared" si="7"/>
        <v>158337.6371</v>
      </c>
      <c r="H153" s="25">
        <v>0.05</v>
      </c>
      <c r="I153" s="24">
        <f t="shared" si="8"/>
        <v>198.8959482</v>
      </c>
      <c r="J153" s="25">
        <v>0.02</v>
      </c>
      <c r="K153" s="25">
        <v>0.0</v>
      </c>
      <c r="L153" s="24">
        <f t="shared" ref="L153:O153" si="309">IF(L152="", "", 1 + MROUND(IFERROR(MINIFS(OFFSET(L152, -1, 0, -$B153, 1), OFFSET(L152, -1, 0, -$B153, 1), "&gt;0"), L152) + (LN(1 + $Z153) ^ U$2) * U$3, 1))</f>
        <v>64816</v>
      </c>
      <c r="M153" s="24">
        <f t="shared" si="309"/>
        <v>5815</v>
      </c>
      <c r="N153" s="24" t="str">
        <f t="shared" si="309"/>
        <v/>
      </c>
      <c r="O153" s="24">
        <f t="shared" si="309"/>
        <v>3007</v>
      </c>
      <c r="P153" s="24">
        <f t="shared" ref="P153:S153" si="310">L153*$Y$2</f>
        <v>16204</v>
      </c>
      <c r="Q153" s="24">
        <f t="shared" si="310"/>
        <v>1453.75</v>
      </c>
      <c r="R153" s="24">
        <f t="shared" si="310"/>
        <v>0</v>
      </c>
      <c r="S153" s="24">
        <f t="shared" si="310"/>
        <v>751.75</v>
      </c>
      <c r="T153" s="24">
        <f t="shared" si="4"/>
        <v>16</v>
      </c>
      <c r="Z153" s="25">
        <f t="shared" si="12"/>
        <v>179.2987927</v>
      </c>
      <c r="AA153" s="26"/>
    </row>
    <row r="154">
      <c r="A154" s="16" t="s">
        <v>6</v>
      </c>
      <c r="B154" s="17">
        <v>153.0</v>
      </c>
      <c r="C154" s="24">
        <f t="shared" si="5"/>
        <v>249381.7784</v>
      </c>
      <c r="D154" s="25">
        <v>0.05</v>
      </c>
      <c r="E154" s="24">
        <f t="shared" si="6"/>
        <v>101.4369336</v>
      </c>
      <c r="F154" s="25">
        <v>0.02</v>
      </c>
      <c r="G154" s="24">
        <f t="shared" si="7"/>
        <v>166254.5189</v>
      </c>
      <c r="H154" s="25">
        <v>0.05</v>
      </c>
      <c r="I154" s="24">
        <f t="shared" si="8"/>
        <v>202.8738672</v>
      </c>
      <c r="J154" s="25">
        <v>0.02</v>
      </c>
      <c r="K154" s="25">
        <v>0.0</v>
      </c>
      <c r="L154" s="24">
        <f t="shared" ref="L154:O154" si="311">IF(L153="", "", 1 + MROUND(IFERROR(MINIFS(OFFSET(L153, -1, 0, -$B154, 1), OFFSET(L153, -1, 0, -$B154, 1), "&gt;0"), L153) + (LN(1 + $Z154) ^ U$2) * U$3, 1))</f>
        <v>65613</v>
      </c>
      <c r="M154" s="24">
        <f t="shared" si="311"/>
        <v>5880</v>
      </c>
      <c r="N154" s="24" t="str">
        <f t="shared" si="311"/>
        <v/>
      </c>
      <c r="O154" s="24">
        <f t="shared" si="311"/>
        <v>3040</v>
      </c>
      <c r="P154" s="24">
        <f t="shared" ref="P154:S154" si="312">L154*$Y$2</f>
        <v>16403.25</v>
      </c>
      <c r="Q154" s="24">
        <f t="shared" si="312"/>
        <v>1470</v>
      </c>
      <c r="R154" s="24">
        <f t="shared" si="312"/>
        <v>0</v>
      </c>
      <c r="S154" s="24">
        <f t="shared" si="312"/>
        <v>760</v>
      </c>
      <c r="T154" s="24">
        <f t="shared" si="4"/>
        <v>16</v>
      </c>
      <c r="Z154" s="25">
        <f t="shared" si="12"/>
        <v>185.6092505</v>
      </c>
      <c r="AA154" s="26"/>
    </row>
    <row r="155">
      <c r="A155" s="16" t="s">
        <v>6</v>
      </c>
      <c r="B155" s="17">
        <v>154.0</v>
      </c>
      <c r="C155" s="24">
        <f t="shared" si="5"/>
        <v>261850.8673</v>
      </c>
      <c r="D155" s="25">
        <v>0.05</v>
      </c>
      <c r="E155" s="24">
        <f t="shared" si="6"/>
        <v>103.4656723</v>
      </c>
      <c r="F155" s="25">
        <v>0.02</v>
      </c>
      <c r="G155" s="24">
        <f t="shared" si="7"/>
        <v>174567.2449</v>
      </c>
      <c r="H155" s="25">
        <v>0.05</v>
      </c>
      <c r="I155" s="24">
        <f t="shared" si="8"/>
        <v>206.9313445</v>
      </c>
      <c r="J155" s="25">
        <v>0.02</v>
      </c>
      <c r="K155" s="25">
        <v>0.0</v>
      </c>
      <c r="L155" s="24">
        <f t="shared" ref="L155:O155" si="313">IF(L154="", "", 1 + MROUND(IFERROR(MINIFS(OFFSET(L154, -1, 0, -$B155, 1), OFFSET(L154, -1, 0, -$B155, 1), "&gt;0"), L154) + (LN(1 + $Z155) ^ U$2) * U$3, 1))</f>
        <v>66414</v>
      </c>
      <c r="M155" s="24">
        <f t="shared" si="313"/>
        <v>5945</v>
      </c>
      <c r="N155" s="24" t="str">
        <f t="shared" si="313"/>
        <v/>
      </c>
      <c r="O155" s="24">
        <f t="shared" si="313"/>
        <v>3073</v>
      </c>
      <c r="P155" s="24">
        <f t="shared" ref="P155:S155" si="314">L155*$Y$2</f>
        <v>16603.5</v>
      </c>
      <c r="Q155" s="24">
        <f t="shared" si="314"/>
        <v>1486.25</v>
      </c>
      <c r="R155" s="24">
        <f t="shared" si="314"/>
        <v>0</v>
      </c>
      <c r="S155" s="24">
        <f t="shared" si="314"/>
        <v>768.25</v>
      </c>
      <c r="T155" s="24">
        <f t="shared" si="4"/>
        <v>16</v>
      </c>
      <c r="Z155" s="25">
        <f t="shared" si="12"/>
        <v>192.1405742</v>
      </c>
      <c r="AA155" s="26"/>
    </row>
    <row r="156">
      <c r="A156" s="16" t="s">
        <v>6</v>
      </c>
      <c r="B156" s="17">
        <v>155.0</v>
      </c>
      <c r="C156" s="24">
        <f t="shared" si="5"/>
        <v>274943.4107</v>
      </c>
      <c r="D156" s="25">
        <v>0.05</v>
      </c>
      <c r="E156" s="24">
        <f t="shared" si="6"/>
        <v>105.5349857</v>
      </c>
      <c r="F156" s="25">
        <v>0.02</v>
      </c>
      <c r="G156" s="24">
        <f t="shared" si="7"/>
        <v>183295.6071</v>
      </c>
      <c r="H156" s="25">
        <v>0.05</v>
      </c>
      <c r="I156" s="24">
        <f t="shared" si="8"/>
        <v>211.0699714</v>
      </c>
      <c r="J156" s="25">
        <v>0.02</v>
      </c>
      <c r="K156" s="25">
        <v>0.0</v>
      </c>
      <c r="L156" s="24">
        <f t="shared" ref="L156:O156" si="315">IF(L155="", "", 1 + MROUND(IFERROR(MINIFS(OFFSET(L155, -1, 0, -$B156, 1), OFFSET(L155, -1, 0, -$B156, 1), "&gt;0"), L155) + (LN(1 + $Z156) ^ U$2) * U$3, 1))</f>
        <v>67218</v>
      </c>
      <c r="M156" s="24">
        <f t="shared" si="315"/>
        <v>6010</v>
      </c>
      <c r="N156" s="24" t="str">
        <f t="shared" si="315"/>
        <v/>
      </c>
      <c r="O156" s="24">
        <f t="shared" si="315"/>
        <v>3106</v>
      </c>
      <c r="P156" s="24">
        <f t="shared" ref="P156:S156" si="316">L156*$Y$2</f>
        <v>16804.5</v>
      </c>
      <c r="Q156" s="24">
        <f t="shared" si="316"/>
        <v>1502.5</v>
      </c>
      <c r="R156" s="24">
        <f t="shared" si="316"/>
        <v>0</v>
      </c>
      <c r="S156" s="24">
        <f t="shared" si="316"/>
        <v>776.5</v>
      </c>
      <c r="T156" s="24">
        <f t="shared" si="4"/>
        <v>17</v>
      </c>
      <c r="Z156" s="25">
        <f t="shared" si="12"/>
        <v>198.9004943</v>
      </c>
      <c r="AA156" s="26"/>
    </row>
    <row r="157">
      <c r="A157" s="16" t="s">
        <v>6</v>
      </c>
      <c r="B157" s="17">
        <v>156.0</v>
      </c>
      <c r="C157" s="24">
        <f t="shared" si="5"/>
        <v>288690.5812</v>
      </c>
      <c r="D157" s="25">
        <v>0.05</v>
      </c>
      <c r="E157" s="24">
        <f t="shared" si="6"/>
        <v>107.6456854</v>
      </c>
      <c r="F157" s="25">
        <v>0.02</v>
      </c>
      <c r="G157" s="24">
        <f t="shared" si="7"/>
        <v>192460.3875</v>
      </c>
      <c r="H157" s="25">
        <v>0.05</v>
      </c>
      <c r="I157" s="24">
        <f t="shared" si="8"/>
        <v>215.2913708</v>
      </c>
      <c r="J157" s="25">
        <v>0.02</v>
      </c>
      <c r="K157" s="25">
        <v>0.0</v>
      </c>
      <c r="L157" s="24">
        <f t="shared" ref="L157:O157" si="317">IF(L156="", "", 1 + MROUND(IFERROR(MINIFS(OFFSET(L156, -1, 0, -$B157, 1), OFFSET(L156, -1, 0, -$B157, 1), "&gt;0"), L156) + (LN(1 + $Z157) ^ U$2) * U$3, 1))</f>
        <v>68026</v>
      </c>
      <c r="M157" s="24">
        <f t="shared" si="317"/>
        <v>6076</v>
      </c>
      <c r="N157" s="24" t="str">
        <f t="shared" si="317"/>
        <v/>
      </c>
      <c r="O157" s="24">
        <f t="shared" si="317"/>
        <v>3139</v>
      </c>
      <c r="P157" s="24">
        <f t="shared" ref="P157:S157" si="318">L157*$Y$2</f>
        <v>17006.5</v>
      </c>
      <c r="Q157" s="24">
        <f t="shared" si="318"/>
        <v>1519</v>
      </c>
      <c r="R157" s="24">
        <f t="shared" si="318"/>
        <v>0</v>
      </c>
      <c r="S157" s="24">
        <f t="shared" si="318"/>
        <v>784.75</v>
      </c>
      <c r="T157" s="24">
        <f t="shared" si="4"/>
        <v>17</v>
      </c>
      <c r="Z157" s="25">
        <f t="shared" si="12"/>
        <v>205.8970116</v>
      </c>
      <c r="AA157" s="26"/>
    </row>
    <row r="158">
      <c r="A158" s="16" t="s">
        <v>6</v>
      </c>
      <c r="B158" s="17">
        <v>157.0</v>
      </c>
      <c r="C158" s="24">
        <f t="shared" si="5"/>
        <v>303125.1103</v>
      </c>
      <c r="D158" s="25">
        <v>0.05</v>
      </c>
      <c r="E158" s="24">
        <f t="shared" si="6"/>
        <v>109.7985991</v>
      </c>
      <c r="F158" s="25">
        <v>0.02</v>
      </c>
      <c r="G158" s="24">
        <f t="shared" si="7"/>
        <v>202083.4069</v>
      </c>
      <c r="H158" s="25">
        <v>0.05</v>
      </c>
      <c r="I158" s="24">
        <f t="shared" si="8"/>
        <v>219.5971983</v>
      </c>
      <c r="J158" s="25">
        <v>0.02</v>
      </c>
      <c r="K158" s="25">
        <v>0.0</v>
      </c>
      <c r="L158" s="24">
        <f t="shared" ref="L158:O158" si="319">IF(L157="", "", 1 + MROUND(IFERROR(MINIFS(OFFSET(L157, -1, 0, -$B158, 1), OFFSET(L157, -1, 0, -$B158, 1), "&gt;0"), L157) + (LN(1 + $Z158) ^ U$2) * U$3, 1))</f>
        <v>68837</v>
      </c>
      <c r="M158" s="24">
        <f t="shared" si="319"/>
        <v>6142</v>
      </c>
      <c r="N158" s="24" t="str">
        <f t="shared" si="319"/>
        <v/>
      </c>
      <c r="O158" s="24">
        <f t="shared" si="319"/>
        <v>3172</v>
      </c>
      <c r="P158" s="24">
        <f t="shared" ref="P158:S158" si="320">L158*$Y$2</f>
        <v>17209.25</v>
      </c>
      <c r="Q158" s="24">
        <f t="shared" si="320"/>
        <v>1535.5</v>
      </c>
      <c r="R158" s="24">
        <f t="shared" si="320"/>
        <v>0</v>
      </c>
      <c r="S158" s="24">
        <f t="shared" si="320"/>
        <v>793</v>
      </c>
      <c r="T158" s="24">
        <f t="shared" si="4"/>
        <v>17</v>
      </c>
      <c r="Z158" s="25">
        <f t="shared" si="12"/>
        <v>213.1384071</v>
      </c>
      <c r="AA158" s="26"/>
    </row>
    <row r="159">
      <c r="A159" s="16" t="s">
        <v>6</v>
      </c>
      <c r="B159" s="17">
        <v>158.0</v>
      </c>
      <c r="C159" s="24">
        <f t="shared" si="5"/>
        <v>318281.3658</v>
      </c>
      <c r="D159" s="25">
        <v>0.05</v>
      </c>
      <c r="E159" s="24">
        <f t="shared" si="6"/>
        <v>111.9945711</v>
      </c>
      <c r="F159" s="25">
        <v>0.02</v>
      </c>
      <c r="G159" s="24">
        <f t="shared" si="7"/>
        <v>212187.5772</v>
      </c>
      <c r="H159" s="25">
        <v>0.05</v>
      </c>
      <c r="I159" s="24">
        <f t="shared" si="8"/>
        <v>223.9891422</v>
      </c>
      <c r="J159" s="25">
        <v>0.02</v>
      </c>
      <c r="K159" s="25">
        <v>0.0</v>
      </c>
      <c r="L159" s="24">
        <f t="shared" ref="L159:O159" si="321">IF(L158="", "", 1 + MROUND(IFERROR(MINIFS(OFFSET(L158, -1, 0, -$B159, 1), OFFSET(L158, -1, 0, -$B159, 1), "&gt;0"), L158) + (LN(1 + $Z159) ^ U$2) * U$3, 1))</f>
        <v>69652</v>
      </c>
      <c r="M159" s="24">
        <f t="shared" si="321"/>
        <v>6208</v>
      </c>
      <c r="N159" s="24" t="str">
        <f t="shared" si="321"/>
        <v/>
      </c>
      <c r="O159" s="24">
        <f t="shared" si="321"/>
        <v>3206</v>
      </c>
      <c r="P159" s="24">
        <f t="shared" ref="P159:S159" si="322">L159*$Y$2</f>
        <v>17413</v>
      </c>
      <c r="Q159" s="24">
        <f t="shared" si="322"/>
        <v>1552</v>
      </c>
      <c r="R159" s="24">
        <f t="shared" si="322"/>
        <v>0</v>
      </c>
      <c r="S159" s="24">
        <f t="shared" si="322"/>
        <v>801.5</v>
      </c>
      <c r="T159" s="24">
        <f t="shared" si="4"/>
        <v>17</v>
      </c>
      <c r="Z159" s="25">
        <f t="shared" si="12"/>
        <v>220.6332513</v>
      </c>
      <c r="AA159" s="26"/>
    </row>
    <row r="160">
      <c r="A160" s="16" t="s">
        <v>6</v>
      </c>
      <c r="B160" s="17">
        <v>159.0</v>
      </c>
      <c r="C160" s="24">
        <f t="shared" si="5"/>
        <v>334195.4341</v>
      </c>
      <c r="D160" s="25">
        <v>0.05</v>
      </c>
      <c r="E160" s="24">
        <f t="shared" si="6"/>
        <v>114.2344625</v>
      </c>
      <c r="F160" s="25">
        <v>0.02</v>
      </c>
      <c r="G160" s="24">
        <f t="shared" si="7"/>
        <v>222796.9561</v>
      </c>
      <c r="H160" s="25">
        <v>0.05</v>
      </c>
      <c r="I160" s="24">
        <f t="shared" si="8"/>
        <v>228.4689251</v>
      </c>
      <c r="J160" s="25">
        <v>0.02</v>
      </c>
      <c r="K160" s="25">
        <v>0.0</v>
      </c>
      <c r="L160" s="24">
        <f t="shared" ref="L160:O160" si="323">IF(L159="", "", 1 + MROUND(IFERROR(MINIFS(OFFSET(L159, -1, 0, -$B160, 1), OFFSET(L159, -1, 0, -$B160, 1), "&gt;0"), L159) + (LN(1 + $Z160) ^ U$2) * U$3, 1))</f>
        <v>70471</v>
      </c>
      <c r="M160" s="24">
        <f t="shared" si="323"/>
        <v>6274</v>
      </c>
      <c r="N160" s="24" t="str">
        <f t="shared" si="323"/>
        <v/>
      </c>
      <c r="O160" s="24">
        <f t="shared" si="323"/>
        <v>3240</v>
      </c>
      <c r="P160" s="24">
        <f t="shared" ref="P160:S160" si="324">L160*$Y$2</f>
        <v>17617.75</v>
      </c>
      <c r="Q160" s="24">
        <f t="shared" si="324"/>
        <v>1568.5</v>
      </c>
      <c r="R160" s="24">
        <f t="shared" si="324"/>
        <v>0</v>
      </c>
      <c r="S160" s="24">
        <f t="shared" si="324"/>
        <v>810</v>
      </c>
      <c r="T160" s="24">
        <f t="shared" si="4"/>
        <v>17</v>
      </c>
      <c r="Z160" s="25">
        <f t="shared" si="12"/>
        <v>228.3904151</v>
      </c>
      <c r="AA160" s="26"/>
    </row>
    <row r="161">
      <c r="A161" s="16" t="s">
        <v>6</v>
      </c>
      <c r="B161" s="17">
        <v>160.0</v>
      </c>
      <c r="C161" s="24">
        <f t="shared" si="5"/>
        <v>350905.2058</v>
      </c>
      <c r="D161" s="25">
        <v>0.05</v>
      </c>
      <c r="E161" s="24">
        <f t="shared" si="6"/>
        <v>116.5191518</v>
      </c>
      <c r="F161" s="25">
        <v>0.02</v>
      </c>
      <c r="G161" s="24">
        <f t="shared" si="7"/>
        <v>233936.8039</v>
      </c>
      <c r="H161" s="25">
        <v>0.05</v>
      </c>
      <c r="I161" s="24">
        <f t="shared" si="8"/>
        <v>233.0383036</v>
      </c>
      <c r="J161" s="25">
        <v>0.02</v>
      </c>
      <c r="K161" s="25">
        <v>0.0</v>
      </c>
      <c r="L161" s="24">
        <f t="shared" ref="L161:O161" si="325">IF(L160="", "", 1 + MROUND(IFERROR(MINIFS(OFFSET(L160, -1, 0, -$B161, 1), OFFSET(L160, -1, 0, -$B161, 1), "&gt;0"), L160) + (LN(1 + $Z161) ^ U$2) * U$3, 1))</f>
        <v>71293</v>
      </c>
      <c r="M161" s="24">
        <f t="shared" si="325"/>
        <v>6341</v>
      </c>
      <c r="N161" s="24" t="str">
        <f t="shared" si="325"/>
        <v/>
      </c>
      <c r="O161" s="24">
        <f t="shared" si="325"/>
        <v>3274</v>
      </c>
      <c r="P161" s="24">
        <f t="shared" ref="P161:S161" si="326">L161*$Y$2</f>
        <v>17823.25</v>
      </c>
      <c r="Q161" s="24">
        <f t="shared" si="326"/>
        <v>1585.25</v>
      </c>
      <c r="R161" s="24">
        <f t="shared" si="326"/>
        <v>0</v>
      </c>
      <c r="S161" s="24">
        <f t="shared" si="326"/>
        <v>818.5</v>
      </c>
      <c r="T161" s="24">
        <f t="shared" si="4"/>
        <v>17</v>
      </c>
      <c r="Z161" s="25">
        <f t="shared" si="12"/>
        <v>236.4190796</v>
      </c>
      <c r="AA161" s="26"/>
    </row>
    <row r="162">
      <c r="A162" s="16" t="s">
        <v>6</v>
      </c>
      <c r="B162" s="17">
        <v>161.0</v>
      </c>
      <c r="C162" s="24">
        <f t="shared" si="5"/>
        <v>368450.4661</v>
      </c>
      <c r="D162" s="25">
        <v>0.05</v>
      </c>
      <c r="E162" s="24">
        <f t="shared" si="6"/>
        <v>118.8495348</v>
      </c>
      <c r="F162" s="25">
        <v>0.02</v>
      </c>
      <c r="G162" s="24">
        <f t="shared" si="7"/>
        <v>245633.6441</v>
      </c>
      <c r="H162" s="25">
        <v>0.05</v>
      </c>
      <c r="I162" s="24">
        <f t="shared" si="8"/>
        <v>237.6990696</v>
      </c>
      <c r="J162" s="25">
        <v>0.02</v>
      </c>
      <c r="K162" s="25">
        <v>0.0</v>
      </c>
      <c r="L162" s="24">
        <f t="shared" ref="L162:O162" si="327">IF(L161="", "", 1 + MROUND(IFERROR(MINIFS(OFFSET(L161, -1, 0, -$B162, 1), OFFSET(L161, -1, 0, -$B162, 1), "&gt;0"), L161) + (LN(1 + $Z162) ^ U$2) * U$3, 1))</f>
        <v>72119</v>
      </c>
      <c r="M162" s="24">
        <f t="shared" si="327"/>
        <v>6408</v>
      </c>
      <c r="N162" s="24" t="str">
        <f t="shared" si="327"/>
        <v/>
      </c>
      <c r="O162" s="24">
        <f t="shared" si="327"/>
        <v>3308</v>
      </c>
      <c r="P162" s="24">
        <f t="shared" ref="P162:S162" si="328">L162*$Y$2</f>
        <v>18029.75</v>
      </c>
      <c r="Q162" s="24">
        <f t="shared" si="328"/>
        <v>1602</v>
      </c>
      <c r="R162" s="24">
        <f t="shared" si="328"/>
        <v>0</v>
      </c>
      <c r="S162" s="24">
        <f t="shared" si="328"/>
        <v>827</v>
      </c>
      <c r="T162" s="24">
        <f t="shared" si="4"/>
        <v>17</v>
      </c>
      <c r="Z162" s="25">
        <f t="shared" si="12"/>
        <v>244.7287474</v>
      </c>
      <c r="AA162" s="26"/>
    </row>
    <row r="163">
      <c r="A163" s="16" t="s">
        <v>6</v>
      </c>
      <c r="B163" s="17">
        <v>162.0</v>
      </c>
      <c r="C163" s="24">
        <f t="shared" si="5"/>
        <v>386872.9894</v>
      </c>
      <c r="D163" s="25">
        <v>0.05</v>
      </c>
      <c r="E163" s="24">
        <f t="shared" si="6"/>
        <v>121.2265255</v>
      </c>
      <c r="F163" s="25">
        <v>0.02</v>
      </c>
      <c r="G163" s="24">
        <f t="shared" si="7"/>
        <v>257915.3263</v>
      </c>
      <c r="H163" s="25">
        <v>0.05</v>
      </c>
      <c r="I163" s="24">
        <f t="shared" si="8"/>
        <v>242.453051</v>
      </c>
      <c r="J163" s="25">
        <v>0.02</v>
      </c>
      <c r="K163" s="25">
        <v>0.0</v>
      </c>
      <c r="L163" s="24">
        <f t="shared" ref="L163:O163" si="329">IF(L162="", "", 1 + MROUND(IFERROR(MINIFS(OFFSET(L162, -1, 0, -$B163, 1), OFFSET(L162, -1, 0, -$B163, 1), "&gt;0"), L162) + (LN(1 + $Z163) ^ U$2) * U$3, 1))</f>
        <v>72949</v>
      </c>
      <c r="M163" s="24">
        <f t="shared" si="329"/>
        <v>6475</v>
      </c>
      <c r="N163" s="24" t="str">
        <f t="shared" si="329"/>
        <v/>
      </c>
      <c r="O163" s="24">
        <f t="shared" si="329"/>
        <v>3342</v>
      </c>
      <c r="P163" s="24">
        <f t="shared" ref="P163:S163" si="330">L163*$Y$2</f>
        <v>18237.25</v>
      </c>
      <c r="Q163" s="24">
        <f t="shared" si="330"/>
        <v>1618.75</v>
      </c>
      <c r="R163" s="24">
        <f t="shared" si="330"/>
        <v>0</v>
      </c>
      <c r="S163" s="24">
        <f t="shared" si="330"/>
        <v>835.5</v>
      </c>
      <c r="T163" s="24">
        <f t="shared" si="4"/>
        <v>17</v>
      </c>
      <c r="Z163" s="25">
        <f t="shared" si="12"/>
        <v>253.3292536</v>
      </c>
      <c r="AA163" s="26"/>
    </row>
    <row r="164">
      <c r="A164" s="16" t="s">
        <v>6</v>
      </c>
      <c r="B164" s="17">
        <v>163.0</v>
      </c>
      <c r="C164" s="24">
        <f t="shared" si="5"/>
        <v>406216.6389</v>
      </c>
      <c r="D164" s="25">
        <v>0.05</v>
      </c>
      <c r="E164" s="24">
        <f t="shared" si="6"/>
        <v>123.651056</v>
      </c>
      <c r="F164" s="25">
        <v>0.02</v>
      </c>
      <c r="G164" s="24">
        <f t="shared" si="7"/>
        <v>270811.0926</v>
      </c>
      <c r="H164" s="25">
        <v>0.05</v>
      </c>
      <c r="I164" s="24">
        <f t="shared" si="8"/>
        <v>247.3021121</v>
      </c>
      <c r="J164" s="25">
        <v>0.02</v>
      </c>
      <c r="K164" s="25">
        <v>0.0</v>
      </c>
      <c r="L164" s="24">
        <f t="shared" ref="L164:O164" si="331">IF(L163="", "", 1 + MROUND(IFERROR(MINIFS(OFFSET(L163, -1, 0, -$B164, 1), OFFSET(L163, -1, 0, -$B164, 1), "&gt;0"), L163) + (LN(1 + $Z164) ^ U$2) * U$3, 1))</f>
        <v>73782</v>
      </c>
      <c r="M164" s="24">
        <f t="shared" si="331"/>
        <v>6543</v>
      </c>
      <c r="N164" s="24" t="str">
        <f t="shared" si="331"/>
        <v/>
      </c>
      <c r="O164" s="24">
        <f t="shared" si="331"/>
        <v>3376</v>
      </c>
      <c r="P164" s="24">
        <f t="shared" ref="P164:S164" si="332">L164*$Y$2</f>
        <v>18445.5</v>
      </c>
      <c r="Q164" s="24">
        <f t="shared" si="332"/>
        <v>1635.75</v>
      </c>
      <c r="R164" s="24">
        <f t="shared" si="332"/>
        <v>0</v>
      </c>
      <c r="S164" s="24">
        <f t="shared" si="332"/>
        <v>844</v>
      </c>
      <c r="T164" s="24">
        <f t="shared" si="4"/>
        <v>17</v>
      </c>
      <c r="Z164" s="25">
        <f t="shared" si="12"/>
        <v>262.2307774</v>
      </c>
      <c r="AA164" s="26"/>
    </row>
    <row r="165">
      <c r="A165" s="16" t="s">
        <v>6</v>
      </c>
      <c r="B165" s="17">
        <v>164.0</v>
      </c>
      <c r="C165" s="24">
        <f t="shared" si="5"/>
        <v>426527.4708</v>
      </c>
      <c r="D165" s="25">
        <v>0.05</v>
      </c>
      <c r="E165" s="24">
        <f t="shared" si="6"/>
        <v>126.1240772</v>
      </c>
      <c r="F165" s="25">
        <v>0.02</v>
      </c>
      <c r="G165" s="24">
        <f t="shared" si="7"/>
        <v>284351.6472</v>
      </c>
      <c r="H165" s="25">
        <v>0.05</v>
      </c>
      <c r="I165" s="24">
        <f t="shared" si="8"/>
        <v>252.2481543</v>
      </c>
      <c r="J165" s="25">
        <v>0.02</v>
      </c>
      <c r="K165" s="25">
        <v>0.0</v>
      </c>
      <c r="L165" s="24">
        <f t="shared" ref="L165:O165" si="333">IF(L164="", "", 1 + MROUND(IFERROR(MINIFS(OFFSET(L164, -1, 0, -$B165, 1), OFFSET(L164, -1, 0, -$B165, 1), "&gt;0"), L164) + (LN(1 + $Z165) ^ U$2) * U$3, 1))</f>
        <v>74619</v>
      </c>
      <c r="M165" s="24">
        <f t="shared" si="333"/>
        <v>6611</v>
      </c>
      <c r="N165" s="24" t="str">
        <f t="shared" si="333"/>
        <v/>
      </c>
      <c r="O165" s="24">
        <f t="shared" si="333"/>
        <v>3410</v>
      </c>
      <c r="P165" s="24">
        <f t="shared" ref="P165:S165" si="334">L165*$Y$2</f>
        <v>18654.75</v>
      </c>
      <c r="Q165" s="24">
        <f t="shared" si="334"/>
        <v>1652.75</v>
      </c>
      <c r="R165" s="24">
        <f t="shared" si="334"/>
        <v>0</v>
      </c>
      <c r="S165" s="24">
        <f t="shared" si="334"/>
        <v>852.5</v>
      </c>
      <c r="T165" s="24">
        <f t="shared" si="4"/>
        <v>17</v>
      </c>
      <c r="Z165" s="25">
        <f t="shared" si="12"/>
        <v>271.4438547</v>
      </c>
      <c r="AA165" s="26"/>
    </row>
    <row r="166">
      <c r="A166" s="16" t="s">
        <v>6</v>
      </c>
      <c r="B166" s="17">
        <v>165.0</v>
      </c>
      <c r="C166" s="24">
        <f t="shared" si="5"/>
        <v>447853.8444</v>
      </c>
      <c r="D166" s="25">
        <v>0.05</v>
      </c>
      <c r="E166" s="24">
        <f t="shared" si="6"/>
        <v>128.6465587</v>
      </c>
      <c r="F166" s="25">
        <v>0.02</v>
      </c>
      <c r="G166" s="24">
        <f t="shared" si="7"/>
        <v>298569.2296</v>
      </c>
      <c r="H166" s="25">
        <v>0.05</v>
      </c>
      <c r="I166" s="24">
        <f t="shared" si="8"/>
        <v>257.2931174</v>
      </c>
      <c r="J166" s="25">
        <v>0.02</v>
      </c>
      <c r="K166" s="25">
        <v>0.0</v>
      </c>
      <c r="L166" s="24">
        <f t="shared" ref="L166:O166" si="335">IF(L165="", "", 1 + MROUND(IFERROR(MINIFS(OFFSET(L165, -1, 0, -$B166, 1), OFFSET(L165, -1, 0, -$B166, 1), "&gt;0"), L165) + (LN(1 + $Z166) ^ U$2) * U$3, 1))</f>
        <v>75459</v>
      </c>
      <c r="M166" s="24">
        <f t="shared" si="335"/>
        <v>6679</v>
      </c>
      <c r="N166" s="24" t="str">
        <f t="shared" si="335"/>
        <v/>
      </c>
      <c r="O166" s="24">
        <f t="shared" si="335"/>
        <v>3445</v>
      </c>
      <c r="P166" s="24">
        <f t="shared" ref="P166:S166" si="336">L166*$Y$2</f>
        <v>18864.75</v>
      </c>
      <c r="Q166" s="24">
        <f t="shared" si="336"/>
        <v>1669.75</v>
      </c>
      <c r="R166" s="24">
        <f t="shared" si="336"/>
        <v>0</v>
      </c>
      <c r="S166" s="24">
        <f t="shared" si="336"/>
        <v>861.25</v>
      </c>
      <c r="T166" s="24">
        <f t="shared" si="4"/>
        <v>18</v>
      </c>
      <c r="Z166" s="25">
        <f t="shared" si="12"/>
        <v>280.9793896</v>
      </c>
      <c r="AA166" s="26"/>
    </row>
    <row r="167">
      <c r="A167" s="16" t="s">
        <v>6</v>
      </c>
      <c r="B167" s="17">
        <v>166.0</v>
      </c>
      <c r="C167" s="24">
        <f t="shared" si="5"/>
        <v>470246.5366</v>
      </c>
      <c r="D167" s="25">
        <v>0.05</v>
      </c>
      <c r="E167" s="24">
        <f t="shared" si="6"/>
        <v>131.2194899</v>
      </c>
      <c r="F167" s="25">
        <v>0.02</v>
      </c>
      <c r="G167" s="24">
        <f t="shared" si="7"/>
        <v>313497.691</v>
      </c>
      <c r="H167" s="25">
        <v>0.05</v>
      </c>
      <c r="I167" s="24">
        <f t="shared" si="8"/>
        <v>262.4389797</v>
      </c>
      <c r="J167" s="25">
        <v>0.02</v>
      </c>
      <c r="K167" s="25">
        <v>0.0</v>
      </c>
      <c r="L167" s="24">
        <f t="shared" ref="L167:O167" si="337">IF(L166="", "", 1 + MROUND(IFERROR(MINIFS(OFFSET(L166, -1, 0, -$B167, 1), OFFSET(L166, -1, 0, -$B167, 1), "&gt;0"), L166) + (LN(1 + $Z167) ^ U$2) * U$3, 1))</f>
        <v>76303</v>
      </c>
      <c r="M167" s="24">
        <f t="shared" si="337"/>
        <v>6747</v>
      </c>
      <c r="N167" s="24" t="str">
        <f t="shared" si="337"/>
        <v/>
      </c>
      <c r="O167" s="24">
        <f t="shared" si="337"/>
        <v>3480</v>
      </c>
      <c r="P167" s="24">
        <f t="shared" ref="P167:S167" si="338">L167*$Y$2</f>
        <v>19075.75</v>
      </c>
      <c r="Q167" s="24">
        <f t="shared" si="338"/>
        <v>1686.75</v>
      </c>
      <c r="R167" s="24">
        <f t="shared" si="338"/>
        <v>0</v>
      </c>
      <c r="S167" s="24">
        <f t="shared" si="338"/>
        <v>870</v>
      </c>
      <c r="T167" s="24">
        <f t="shared" si="4"/>
        <v>18</v>
      </c>
      <c r="Z167" s="25">
        <f t="shared" si="12"/>
        <v>290.8486682</v>
      </c>
      <c r="AA167" s="26"/>
    </row>
    <row r="168">
      <c r="A168" s="16" t="s">
        <v>6</v>
      </c>
      <c r="B168" s="17">
        <v>167.0</v>
      </c>
      <c r="C168" s="24">
        <f t="shared" si="5"/>
        <v>493758.8634</v>
      </c>
      <c r="D168" s="25">
        <v>0.05</v>
      </c>
      <c r="E168" s="24">
        <f t="shared" si="6"/>
        <v>133.8438797</v>
      </c>
      <c r="F168" s="25">
        <v>0.02</v>
      </c>
      <c r="G168" s="24">
        <f t="shared" si="7"/>
        <v>329172.5756</v>
      </c>
      <c r="H168" s="25">
        <v>0.05</v>
      </c>
      <c r="I168" s="24">
        <f t="shared" si="8"/>
        <v>267.6877593</v>
      </c>
      <c r="J168" s="25">
        <v>0.02</v>
      </c>
      <c r="K168" s="25">
        <v>0.0</v>
      </c>
      <c r="L168" s="24">
        <f t="shared" ref="L168:O168" si="339">IF(L167="", "", 1 + MROUND(IFERROR(MINIFS(OFFSET(L167, -1, 0, -$B168, 1), OFFSET(L167, -1, 0, -$B168, 1), "&gt;0"), L167) + (LN(1 + $Z168) ^ U$2) * U$3, 1))</f>
        <v>77150</v>
      </c>
      <c r="M168" s="24">
        <f t="shared" si="339"/>
        <v>6816</v>
      </c>
      <c r="N168" s="24" t="str">
        <f t="shared" si="339"/>
        <v/>
      </c>
      <c r="O168" s="24">
        <f t="shared" si="339"/>
        <v>3515</v>
      </c>
      <c r="P168" s="24">
        <f t="shared" ref="P168:S168" si="340">L168*$Y$2</f>
        <v>19287.5</v>
      </c>
      <c r="Q168" s="24">
        <f t="shared" si="340"/>
        <v>1704</v>
      </c>
      <c r="R168" s="24">
        <f t="shared" si="340"/>
        <v>0</v>
      </c>
      <c r="S168" s="24">
        <f t="shared" si="340"/>
        <v>878.75</v>
      </c>
      <c r="T168" s="24">
        <f t="shared" si="4"/>
        <v>18</v>
      </c>
      <c r="Z168" s="25">
        <f t="shared" si="12"/>
        <v>301.0633716</v>
      </c>
      <c r="AA168" s="26"/>
    </row>
    <row r="169">
      <c r="A169" s="16" t="s">
        <v>6</v>
      </c>
      <c r="B169" s="17">
        <v>168.0</v>
      </c>
      <c r="C169" s="24">
        <f t="shared" si="5"/>
        <v>518446.8066</v>
      </c>
      <c r="D169" s="25">
        <v>0.05</v>
      </c>
      <c r="E169" s="24">
        <f t="shared" si="6"/>
        <v>136.5207573</v>
      </c>
      <c r="F169" s="25">
        <v>0.02</v>
      </c>
      <c r="G169" s="24">
        <f t="shared" si="7"/>
        <v>345631.2044</v>
      </c>
      <c r="H169" s="25">
        <v>0.05</v>
      </c>
      <c r="I169" s="24">
        <f t="shared" si="8"/>
        <v>273.0415145</v>
      </c>
      <c r="J169" s="25">
        <v>0.02</v>
      </c>
      <c r="K169" s="25">
        <v>0.0</v>
      </c>
      <c r="L169" s="24">
        <f t="shared" ref="L169:O169" si="341">IF(L168="", "", 1 + MROUND(IFERROR(MINIFS(OFFSET(L168, -1, 0, -$B169, 1), OFFSET(L168, -1, 0, -$B169, 1), "&gt;0"), L168) + (LN(1 + $Z169) ^ U$2) * U$3, 1))</f>
        <v>78001</v>
      </c>
      <c r="M169" s="24">
        <f t="shared" si="341"/>
        <v>6885</v>
      </c>
      <c r="N169" s="24" t="str">
        <f t="shared" si="341"/>
        <v/>
      </c>
      <c r="O169" s="24">
        <f t="shared" si="341"/>
        <v>3550</v>
      </c>
      <c r="P169" s="24">
        <f t="shared" ref="P169:S169" si="342">L169*$Y$2</f>
        <v>19500.25</v>
      </c>
      <c r="Q169" s="24">
        <f t="shared" si="342"/>
        <v>1721.25</v>
      </c>
      <c r="R169" s="24">
        <f t="shared" si="342"/>
        <v>0</v>
      </c>
      <c r="S169" s="24">
        <f t="shared" si="342"/>
        <v>887.5</v>
      </c>
      <c r="T169" s="24">
        <f t="shared" si="4"/>
        <v>18</v>
      </c>
      <c r="Z169" s="25">
        <f t="shared" si="12"/>
        <v>311.6355896</v>
      </c>
      <c r="AA169" s="26"/>
    </row>
    <row r="170">
      <c r="A170" s="16" t="s">
        <v>6</v>
      </c>
      <c r="B170" s="17">
        <v>169.0</v>
      </c>
      <c r="C170" s="24">
        <f t="shared" si="5"/>
        <v>544369.1469</v>
      </c>
      <c r="D170" s="25">
        <v>0.05</v>
      </c>
      <c r="E170" s="24">
        <f t="shared" si="6"/>
        <v>139.2511724</v>
      </c>
      <c r="F170" s="25">
        <v>0.02</v>
      </c>
      <c r="G170" s="24">
        <f t="shared" si="7"/>
        <v>362912.7646</v>
      </c>
      <c r="H170" s="25">
        <v>0.05</v>
      </c>
      <c r="I170" s="24">
        <f t="shared" si="8"/>
        <v>278.5023448</v>
      </c>
      <c r="J170" s="25">
        <v>0.02</v>
      </c>
      <c r="K170" s="25">
        <v>0.0</v>
      </c>
      <c r="L170" s="24">
        <f t="shared" ref="L170:O170" si="343">IF(L169="", "", 1 + MROUND(IFERROR(MINIFS(OFFSET(L169, -1, 0, -$B170, 1), OFFSET(L169, -1, 0, -$B170, 1), "&gt;0"), L169) + (LN(1 + $Z170) ^ U$2) * U$3, 1))</f>
        <v>78856</v>
      </c>
      <c r="M170" s="24">
        <f t="shared" si="343"/>
        <v>6954</v>
      </c>
      <c r="N170" s="24" t="str">
        <f t="shared" si="343"/>
        <v/>
      </c>
      <c r="O170" s="24">
        <f t="shared" si="343"/>
        <v>3585</v>
      </c>
      <c r="P170" s="24">
        <f t="shared" ref="P170:S170" si="344">L170*$Y$2</f>
        <v>19714</v>
      </c>
      <c r="Q170" s="24">
        <f t="shared" si="344"/>
        <v>1738.5</v>
      </c>
      <c r="R170" s="24">
        <f t="shared" si="344"/>
        <v>0</v>
      </c>
      <c r="S170" s="24">
        <f t="shared" si="344"/>
        <v>896.25</v>
      </c>
      <c r="T170" s="24">
        <f t="shared" si="4"/>
        <v>18</v>
      </c>
      <c r="Z170" s="25">
        <f t="shared" si="12"/>
        <v>322.5778352</v>
      </c>
      <c r="AA170" s="26"/>
    </row>
    <row r="171">
      <c r="A171" s="16" t="s">
        <v>6</v>
      </c>
      <c r="B171" s="17">
        <v>170.0</v>
      </c>
      <c r="C171" s="24">
        <f t="shared" si="5"/>
        <v>571587.6042</v>
      </c>
      <c r="D171" s="25">
        <v>0.05</v>
      </c>
      <c r="E171" s="24">
        <f t="shared" si="6"/>
        <v>142.0361959</v>
      </c>
      <c r="F171" s="25">
        <v>0.02</v>
      </c>
      <c r="G171" s="24">
        <f t="shared" si="7"/>
        <v>381058.4028</v>
      </c>
      <c r="H171" s="25">
        <v>0.05</v>
      </c>
      <c r="I171" s="24">
        <f t="shared" si="8"/>
        <v>284.0723917</v>
      </c>
      <c r="J171" s="25">
        <v>0.02</v>
      </c>
      <c r="K171" s="25">
        <v>0.0</v>
      </c>
      <c r="L171" s="24">
        <f t="shared" ref="L171:O171" si="345">IF(L170="", "", 1 + MROUND(IFERROR(MINIFS(OFFSET(L170, -1, 0, -$B171, 1), OFFSET(L170, -1, 0, -$B171, 1), "&gt;0"), L170) + (LN(1 + $Z171) ^ U$2) * U$3, 1))</f>
        <v>79714</v>
      </c>
      <c r="M171" s="24">
        <f t="shared" si="345"/>
        <v>7024</v>
      </c>
      <c r="N171" s="24" t="str">
        <f t="shared" si="345"/>
        <v/>
      </c>
      <c r="O171" s="24">
        <f t="shared" si="345"/>
        <v>3620</v>
      </c>
      <c r="P171" s="24">
        <f t="shared" ref="P171:S171" si="346">L171*$Y$2</f>
        <v>19928.5</v>
      </c>
      <c r="Q171" s="24">
        <f t="shared" si="346"/>
        <v>1756</v>
      </c>
      <c r="R171" s="24">
        <f t="shared" si="346"/>
        <v>0</v>
      </c>
      <c r="S171" s="24">
        <f t="shared" si="346"/>
        <v>905</v>
      </c>
      <c r="T171" s="24">
        <f t="shared" si="4"/>
        <v>18</v>
      </c>
      <c r="Z171" s="25">
        <f t="shared" si="12"/>
        <v>333.9030595</v>
      </c>
      <c r="AA171" s="26"/>
    </row>
    <row r="172">
      <c r="A172" s="16" t="s">
        <v>6</v>
      </c>
      <c r="B172" s="17">
        <v>171.0</v>
      </c>
      <c r="C172" s="24">
        <f t="shared" si="5"/>
        <v>600166.9845</v>
      </c>
      <c r="D172" s="25">
        <v>0.05</v>
      </c>
      <c r="E172" s="24">
        <f t="shared" si="6"/>
        <v>144.8769198</v>
      </c>
      <c r="F172" s="25">
        <v>0.02</v>
      </c>
      <c r="G172" s="24">
        <f t="shared" si="7"/>
        <v>400111.323</v>
      </c>
      <c r="H172" s="25">
        <v>0.05</v>
      </c>
      <c r="I172" s="24">
        <f t="shared" si="8"/>
        <v>289.7538395</v>
      </c>
      <c r="J172" s="25">
        <v>0.02</v>
      </c>
      <c r="K172" s="25">
        <v>0.0</v>
      </c>
      <c r="L172" s="24">
        <f t="shared" ref="L172:O172" si="347">IF(L171="", "", 1 + MROUND(IFERROR(MINIFS(OFFSET(L171, -1, 0, -$B172, 1), OFFSET(L171, -1, 0, -$B172, 1), "&gt;0"), L171) + (LN(1 + $Z172) ^ U$2) * U$3, 1))</f>
        <v>80576</v>
      </c>
      <c r="M172" s="24">
        <f t="shared" si="347"/>
        <v>7094</v>
      </c>
      <c r="N172" s="24" t="str">
        <f t="shared" si="347"/>
        <v/>
      </c>
      <c r="O172" s="24">
        <f t="shared" si="347"/>
        <v>3655</v>
      </c>
      <c r="P172" s="24">
        <f t="shared" ref="P172:S172" si="348">L172*$Y$2</f>
        <v>20144</v>
      </c>
      <c r="Q172" s="24">
        <f t="shared" si="348"/>
        <v>1773.5</v>
      </c>
      <c r="R172" s="24">
        <f t="shared" si="348"/>
        <v>0</v>
      </c>
      <c r="S172" s="24">
        <f t="shared" si="348"/>
        <v>913.75</v>
      </c>
      <c r="T172" s="24">
        <f t="shared" si="4"/>
        <v>18</v>
      </c>
      <c r="Z172" s="25">
        <f t="shared" si="12"/>
        <v>345.6246666</v>
      </c>
      <c r="AA172" s="26"/>
    </row>
    <row r="173">
      <c r="A173" s="16" t="s">
        <v>6</v>
      </c>
      <c r="B173" s="17">
        <v>172.0</v>
      </c>
      <c r="C173" s="24">
        <f t="shared" si="5"/>
        <v>630175.3337</v>
      </c>
      <c r="D173" s="25">
        <v>0.05</v>
      </c>
      <c r="E173" s="24">
        <f t="shared" si="6"/>
        <v>147.7744582</v>
      </c>
      <c r="F173" s="25">
        <v>0.02</v>
      </c>
      <c r="G173" s="24">
        <f t="shared" si="7"/>
        <v>420116.8891</v>
      </c>
      <c r="H173" s="25">
        <v>0.05</v>
      </c>
      <c r="I173" s="24">
        <f t="shared" si="8"/>
        <v>295.5489163</v>
      </c>
      <c r="J173" s="25">
        <v>0.02</v>
      </c>
      <c r="K173" s="25">
        <v>0.0</v>
      </c>
      <c r="L173" s="24">
        <f t="shared" ref="L173:O173" si="349">IF(L172="", "", 1 + MROUND(IFERROR(MINIFS(OFFSET(L172, -1, 0, -$B173, 1), OFFSET(L172, -1, 0, -$B173, 1), "&gt;0"), L172) + (LN(1 + $Z173) ^ U$2) * U$3, 1))</f>
        <v>81441</v>
      </c>
      <c r="M173" s="24">
        <f t="shared" si="349"/>
        <v>7164</v>
      </c>
      <c r="N173" s="24" t="str">
        <f t="shared" si="349"/>
        <v/>
      </c>
      <c r="O173" s="24">
        <f t="shared" si="349"/>
        <v>3691</v>
      </c>
      <c r="P173" s="24">
        <f t="shared" ref="P173:S173" si="350">L173*$Y$2</f>
        <v>20360.25</v>
      </c>
      <c r="Q173" s="24">
        <f t="shared" si="350"/>
        <v>1791</v>
      </c>
      <c r="R173" s="24">
        <f t="shared" si="350"/>
        <v>0</v>
      </c>
      <c r="S173" s="24">
        <f t="shared" si="350"/>
        <v>922.75</v>
      </c>
      <c r="T173" s="24">
        <f t="shared" si="4"/>
        <v>18</v>
      </c>
      <c r="Z173" s="25">
        <f t="shared" si="12"/>
        <v>357.7565299</v>
      </c>
      <c r="AA173" s="26"/>
    </row>
    <row r="174">
      <c r="A174" s="16" t="s">
        <v>6</v>
      </c>
      <c r="B174" s="17">
        <v>173.0</v>
      </c>
      <c r="C174" s="24">
        <f t="shared" si="5"/>
        <v>661684.1004</v>
      </c>
      <c r="D174" s="25">
        <v>0.05</v>
      </c>
      <c r="E174" s="24">
        <f t="shared" si="6"/>
        <v>150.7299473</v>
      </c>
      <c r="F174" s="25">
        <v>0.02</v>
      </c>
      <c r="G174" s="24">
        <f t="shared" si="7"/>
        <v>441122.7336</v>
      </c>
      <c r="H174" s="25">
        <v>0.05</v>
      </c>
      <c r="I174" s="24">
        <f t="shared" si="8"/>
        <v>301.4598947</v>
      </c>
      <c r="J174" s="25">
        <v>0.02</v>
      </c>
      <c r="K174" s="25">
        <v>0.0</v>
      </c>
      <c r="L174" s="24">
        <f t="shared" ref="L174:O174" si="351">IF(L173="", "", 1 + MROUND(IFERROR(MINIFS(OFFSET(L173, -1, 0, -$B174, 1), OFFSET(L173, -1, 0, -$B174, 1), "&gt;0"), L173) + (LN(1 + $Z174) ^ U$2) * U$3, 1))</f>
        <v>82310</v>
      </c>
      <c r="M174" s="24">
        <f t="shared" si="351"/>
        <v>7234</v>
      </c>
      <c r="N174" s="24" t="str">
        <f t="shared" si="351"/>
        <v/>
      </c>
      <c r="O174" s="24">
        <f t="shared" si="351"/>
        <v>3727</v>
      </c>
      <c r="P174" s="24">
        <f t="shared" ref="P174:S174" si="352">L174*$Y$2</f>
        <v>20577.5</v>
      </c>
      <c r="Q174" s="24">
        <f t="shared" si="352"/>
        <v>1808.5</v>
      </c>
      <c r="R174" s="24">
        <f t="shared" si="352"/>
        <v>0</v>
      </c>
      <c r="S174" s="24">
        <f t="shared" si="352"/>
        <v>931.75</v>
      </c>
      <c r="T174" s="24">
        <f t="shared" si="4"/>
        <v>18</v>
      </c>
      <c r="Z174" s="25">
        <f t="shared" si="12"/>
        <v>370.3130084</v>
      </c>
      <c r="AA174" s="26"/>
    </row>
    <row r="175">
      <c r="A175" s="16" t="s">
        <v>6</v>
      </c>
      <c r="B175" s="17">
        <v>174.0</v>
      </c>
      <c r="C175" s="24">
        <f t="shared" si="5"/>
        <v>694768.3054</v>
      </c>
      <c r="D175" s="25">
        <v>0.05</v>
      </c>
      <c r="E175" s="24">
        <f t="shared" si="6"/>
        <v>153.7445463</v>
      </c>
      <c r="F175" s="25">
        <v>0.02</v>
      </c>
      <c r="G175" s="24">
        <f t="shared" si="7"/>
        <v>463178.8703</v>
      </c>
      <c r="H175" s="25">
        <v>0.05</v>
      </c>
      <c r="I175" s="24">
        <f t="shared" si="8"/>
        <v>307.4890925</v>
      </c>
      <c r="J175" s="25">
        <v>0.02</v>
      </c>
      <c r="K175" s="25">
        <v>0.0</v>
      </c>
      <c r="L175" s="24">
        <f t="shared" ref="L175:O175" si="353">IF(L174="", "", 1 + MROUND(IFERROR(MINIFS(OFFSET(L174, -1, 0, -$B175, 1), OFFSET(L174, -1, 0, -$B175, 1), "&gt;0"), L174) + (LN(1 + $Z175) ^ U$2) * U$3, 1))</f>
        <v>83182</v>
      </c>
      <c r="M175" s="24">
        <f t="shared" si="353"/>
        <v>7305</v>
      </c>
      <c r="N175" s="24" t="str">
        <f t="shared" si="353"/>
        <v/>
      </c>
      <c r="O175" s="24">
        <f t="shared" si="353"/>
        <v>3763</v>
      </c>
      <c r="P175" s="24">
        <f t="shared" ref="P175:S175" si="354">L175*$Y$2</f>
        <v>20795.5</v>
      </c>
      <c r="Q175" s="24">
        <f t="shared" si="354"/>
        <v>1826.25</v>
      </c>
      <c r="R175" s="24">
        <f t="shared" si="354"/>
        <v>0</v>
      </c>
      <c r="S175" s="24">
        <f t="shared" si="354"/>
        <v>940.75</v>
      </c>
      <c r="T175" s="24">
        <f t="shared" si="4"/>
        <v>18</v>
      </c>
      <c r="Z175" s="25">
        <f t="shared" si="12"/>
        <v>383.3089637</v>
      </c>
      <c r="AA175" s="26"/>
    </row>
    <row r="176">
      <c r="A176" s="16" t="s">
        <v>6</v>
      </c>
      <c r="B176" s="17">
        <v>175.0</v>
      </c>
      <c r="C176" s="24">
        <f t="shared" si="5"/>
        <v>729506.7206</v>
      </c>
      <c r="D176" s="25">
        <v>0.05</v>
      </c>
      <c r="E176" s="24">
        <f t="shared" si="6"/>
        <v>156.8194372</v>
      </c>
      <c r="F176" s="25">
        <v>0.02</v>
      </c>
      <c r="G176" s="24">
        <f t="shared" si="7"/>
        <v>486337.8138</v>
      </c>
      <c r="H176" s="25">
        <v>0.05</v>
      </c>
      <c r="I176" s="24">
        <f t="shared" si="8"/>
        <v>313.6388744</v>
      </c>
      <c r="J176" s="25">
        <v>0.02</v>
      </c>
      <c r="K176" s="25">
        <v>0.0</v>
      </c>
      <c r="L176" s="24">
        <f t="shared" ref="L176:O176" si="355">IF(L175="", "", 1 + MROUND(IFERROR(MINIFS(OFFSET(L175, -1, 0, -$B176, 1), OFFSET(L175, -1, 0, -$B176, 1), "&gt;0"), L175) + (LN(1 + $Z176) ^ U$2) * U$3, 1))</f>
        <v>84058</v>
      </c>
      <c r="M176" s="24">
        <f t="shared" si="355"/>
        <v>7376</v>
      </c>
      <c r="N176" s="24" t="str">
        <f t="shared" si="355"/>
        <v/>
      </c>
      <c r="O176" s="24">
        <f t="shared" si="355"/>
        <v>3799</v>
      </c>
      <c r="P176" s="24">
        <f t="shared" ref="P176:S176" si="356">L176*$Y$2</f>
        <v>21014.5</v>
      </c>
      <c r="Q176" s="24">
        <f t="shared" si="356"/>
        <v>1844</v>
      </c>
      <c r="R176" s="24">
        <f t="shared" si="356"/>
        <v>0</v>
      </c>
      <c r="S176" s="24">
        <f t="shared" si="356"/>
        <v>949.75</v>
      </c>
      <c r="T176" s="24">
        <f t="shared" si="4"/>
        <v>19</v>
      </c>
      <c r="Z176" s="25">
        <f t="shared" si="12"/>
        <v>396.7597775</v>
      </c>
      <c r="AA176" s="26"/>
    </row>
    <row r="177">
      <c r="A177" s="16" t="s">
        <v>6</v>
      </c>
      <c r="B177" s="17">
        <v>176.0</v>
      </c>
      <c r="C177" s="24">
        <f t="shared" si="5"/>
        <v>765982.0567</v>
      </c>
      <c r="D177" s="25">
        <v>0.05</v>
      </c>
      <c r="E177" s="24">
        <f t="shared" si="6"/>
        <v>159.9558259</v>
      </c>
      <c r="F177" s="25">
        <v>0.02</v>
      </c>
      <c r="G177" s="24">
        <f t="shared" si="7"/>
        <v>510654.7045</v>
      </c>
      <c r="H177" s="25">
        <v>0.05</v>
      </c>
      <c r="I177" s="24">
        <f t="shared" si="8"/>
        <v>319.9116519</v>
      </c>
      <c r="J177" s="25">
        <v>0.02</v>
      </c>
      <c r="K177" s="25">
        <v>0.0</v>
      </c>
      <c r="L177" s="24">
        <f t="shared" ref="L177:O177" si="357">IF(L176="", "", 1 + MROUND(IFERROR(MINIFS(OFFSET(L176, -1, 0, -$B177, 1), OFFSET(L176, -1, 0, -$B177, 1), "&gt;0"), L176) + (LN(1 + $Z177) ^ U$2) * U$3, 1))</f>
        <v>84937</v>
      </c>
      <c r="M177" s="24">
        <f t="shared" si="357"/>
        <v>7447</v>
      </c>
      <c r="N177" s="24" t="str">
        <f t="shared" si="357"/>
        <v/>
      </c>
      <c r="O177" s="24">
        <f t="shared" si="357"/>
        <v>3835</v>
      </c>
      <c r="P177" s="24">
        <f t="shared" ref="P177:S177" si="358">L177*$Y$2</f>
        <v>21234.25</v>
      </c>
      <c r="Q177" s="24">
        <f t="shared" si="358"/>
        <v>1861.75</v>
      </c>
      <c r="R177" s="24">
        <f t="shared" si="358"/>
        <v>0</v>
      </c>
      <c r="S177" s="24">
        <f t="shared" si="358"/>
        <v>958.75</v>
      </c>
      <c r="T177" s="24">
        <f t="shared" si="4"/>
        <v>19</v>
      </c>
      <c r="Z177" s="25">
        <f t="shared" si="12"/>
        <v>410.6813697</v>
      </c>
      <c r="AA177" s="26"/>
    </row>
    <row r="178">
      <c r="A178" s="16" t="s">
        <v>6</v>
      </c>
      <c r="B178" s="17">
        <v>177.0</v>
      </c>
      <c r="C178" s="24">
        <f t="shared" si="5"/>
        <v>804281.1595</v>
      </c>
      <c r="D178" s="25">
        <v>0.05</v>
      </c>
      <c r="E178" s="24">
        <f t="shared" si="6"/>
        <v>163.1549425</v>
      </c>
      <c r="F178" s="25">
        <v>0.02</v>
      </c>
      <c r="G178" s="24">
        <f t="shared" si="7"/>
        <v>536187.4397</v>
      </c>
      <c r="H178" s="25">
        <v>0.05</v>
      </c>
      <c r="I178" s="24">
        <f t="shared" si="8"/>
        <v>326.3098849</v>
      </c>
      <c r="J178" s="25">
        <v>0.02</v>
      </c>
      <c r="K178" s="25">
        <v>0.0</v>
      </c>
      <c r="L178" s="24">
        <f t="shared" ref="L178:O178" si="359">IF(L177="", "", 1 + MROUND(IFERROR(MINIFS(OFFSET(L177, -1, 0, -$B178, 1), OFFSET(L177, -1, 0, -$B178, 1), "&gt;0"), L177) + (LN(1 + $Z178) ^ U$2) * U$3, 1))</f>
        <v>85820</v>
      </c>
      <c r="M178" s="24">
        <f t="shared" si="359"/>
        <v>7519</v>
      </c>
      <c r="N178" s="24" t="str">
        <f t="shared" si="359"/>
        <v/>
      </c>
      <c r="O178" s="24">
        <f t="shared" si="359"/>
        <v>3871</v>
      </c>
      <c r="P178" s="24">
        <f t="shared" ref="P178:S178" si="360">L178*$Y$2</f>
        <v>21455</v>
      </c>
      <c r="Q178" s="24">
        <f t="shared" si="360"/>
        <v>1879.75</v>
      </c>
      <c r="R178" s="24">
        <f t="shared" si="360"/>
        <v>0</v>
      </c>
      <c r="S178" s="24">
        <f t="shared" si="360"/>
        <v>967.75</v>
      </c>
      <c r="T178" s="24">
        <f t="shared" si="4"/>
        <v>19</v>
      </c>
      <c r="Z178" s="25">
        <f t="shared" si="12"/>
        <v>425.0902176</v>
      </c>
      <c r="AA178" s="26"/>
    </row>
    <row r="179">
      <c r="A179" s="16" t="s">
        <v>6</v>
      </c>
      <c r="B179" s="17">
        <v>178.0</v>
      </c>
      <c r="C179" s="24">
        <f t="shared" si="5"/>
        <v>844495.2175</v>
      </c>
      <c r="D179" s="25">
        <v>0.05</v>
      </c>
      <c r="E179" s="24">
        <f t="shared" si="6"/>
        <v>166.4180413</v>
      </c>
      <c r="F179" s="25">
        <v>0.02</v>
      </c>
      <c r="G179" s="24">
        <f t="shared" si="7"/>
        <v>562996.8117</v>
      </c>
      <c r="H179" s="25">
        <v>0.05</v>
      </c>
      <c r="I179" s="24">
        <f t="shared" si="8"/>
        <v>332.8360826</v>
      </c>
      <c r="J179" s="25">
        <v>0.02</v>
      </c>
      <c r="K179" s="25">
        <v>0.0</v>
      </c>
      <c r="L179" s="24">
        <f t="shared" ref="L179:O179" si="361">IF(L178="", "", 1 + MROUND(IFERROR(MINIFS(OFFSET(L178, -1, 0, -$B179, 1), OFFSET(L178, -1, 0, -$B179, 1), "&gt;0"), L178) + (LN(1 + $Z179) ^ U$2) * U$3, 1))</f>
        <v>86706</v>
      </c>
      <c r="M179" s="24">
        <f t="shared" si="361"/>
        <v>7591</v>
      </c>
      <c r="N179" s="24" t="str">
        <f t="shared" si="361"/>
        <v/>
      </c>
      <c r="O179" s="24">
        <f t="shared" si="361"/>
        <v>3907</v>
      </c>
      <c r="P179" s="24">
        <f t="shared" ref="P179:S179" si="362">L179*$Y$2</f>
        <v>21676.5</v>
      </c>
      <c r="Q179" s="24">
        <f t="shared" si="362"/>
        <v>1897.75</v>
      </c>
      <c r="R179" s="24">
        <f t="shared" si="362"/>
        <v>0</v>
      </c>
      <c r="S179" s="24">
        <f t="shared" si="362"/>
        <v>976.75</v>
      </c>
      <c r="T179" s="24">
        <f t="shared" si="4"/>
        <v>19</v>
      </c>
      <c r="Z179" s="25">
        <f t="shared" si="12"/>
        <v>440.0033752</v>
      </c>
      <c r="AA179" s="26"/>
    </row>
    <row r="180">
      <c r="A180" s="16" t="s">
        <v>6</v>
      </c>
      <c r="B180" s="17">
        <v>179.0</v>
      </c>
      <c r="C180" s="24">
        <f t="shared" si="5"/>
        <v>886719.9784</v>
      </c>
      <c r="D180" s="25">
        <v>0.05</v>
      </c>
      <c r="E180" s="24">
        <f t="shared" si="6"/>
        <v>169.7464021</v>
      </c>
      <c r="F180" s="25">
        <v>0.02</v>
      </c>
      <c r="G180" s="24">
        <f t="shared" si="7"/>
        <v>591146.6522</v>
      </c>
      <c r="H180" s="25">
        <v>0.05</v>
      </c>
      <c r="I180" s="24">
        <f t="shared" si="8"/>
        <v>339.4928043</v>
      </c>
      <c r="J180" s="25">
        <v>0.02</v>
      </c>
      <c r="K180" s="25">
        <v>0.0</v>
      </c>
      <c r="L180" s="24">
        <f t="shared" ref="L180:O180" si="363">IF(L179="", "", 1 + MROUND(IFERROR(MINIFS(OFFSET(L179, -1, 0, -$B180, 1), OFFSET(L179, -1, 0, -$B180, 1), "&gt;0"), L179) + (LN(1 + $Z180) ^ U$2) * U$3, 1))</f>
        <v>87596</v>
      </c>
      <c r="M180" s="24">
        <f t="shared" si="363"/>
        <v>7663</v>
      </c>
      <c r="N180" s="24" t="str">
        <f t="shared" si="363"/>
        <v/>
      </c>
      <c r="O180" s="24">
        <f t="shared" si="363"/>
        <v>3944</v>
      </c>
      <c r="P180" s="24">
        <f t="shared" ref="P180:S180" si="364">L180*$Y$2</f>
        <v>21899</v>
      </c>
      <c r="Q180" s="24">
        <f t="shared" si="364"/>
        <v>1915.75</v>
      </c>
      <c r="R180" s="24">
        <f t="shared" si="364"/>
        <v>0</v>
      </c>
      <c r="S180" s="24">
        <f t="shared" si="364"/>
        <v>986</v>
      </c>
      <c r="T180" s="24">
        <f t="shared" si="4"/>
        <v>19</v>
      </c>
      <c r="Z180" s="25">
        <f t="shared" si="12"/>
        <v>455.4384933</v>
      </c>
      <c r="AA180" s="26"/>
    </row>
    <row r="181">
      <c r="A181" s="16" t="s">
        <v>6</v>
      </c>
      <c r="B181" s="17">
        <v>180.0</v>
      </c>
      <c r="C181" s="24">
        <f t="shared" si="5"/>
        <v>931055.9773</v>
      </c>
      <c r="D181" s="25">
        <v>0.05</v>
      </c>
      <c r="E181" s="24">
        <f t="shared" si="6"/>
        <v>173.1413302</v>
      </c>
      <c r="F181" s="25">
        <v>0.02</v>
      </c>
      <c r="G181" s="24">
        <f t="shared" si="7"/>
        <v>620703.9849</v>
      </c>
      <c r="H181" s="25">
        <v>0.05</v>
      </c>
      <c r="I181" s="24">
        <f t="shared" si="8"/>
        <v>346.2826604</v>
      </c>
      <c r="J181" s="25">
        <v>0.02</v>
      </c>
      <c r="K181" s="25">
        <v>0.0</v>
      </c>
      <c r="L181" s="24">
        <f t="shared" ref="L181:O181" si="365">IF(L180="", "", 1 + MROUND(IFERROR(MINIFS(OFFSET(L180, -1, 0, -$B181, 1), OFFSET(L180, -1, 0, -$B181, 1), "&gt;0"), L180) + (LN(1 + $Z181) ^ U$2) * U$3, 1))</f>
        <v>88489</v>
      </c>
      <c r="M181" s="24">
        <f t="shared" si="365"/>
        <v>7735</v>
      </c>
      <c r="N181" s="24" t="str">
        <f t="shared" si="365"/>
        <v/>
      </c>
      <c r="O181" s="24">
        <f t="shared" si="365"/>
        <v>3981</v>
      </c>
      <c r="P181" s="24">
        <f t="shared" ref="P181:S181" si="366">L181*$Y$2</f>
        <v>22122.25</v>
      </c>
      <c r="Q181" s="24">
        <f t="shared" si="366"/>
        <v>1933.75</v>
      </c>
      <c r="R181" s="24">
        <f t="shared" si="366"/>
        <v>0</v>
      </c>
      <c r="S181" s="24">
        <f t="shared" si="366"/>
        <v>995.25</v>
      </c>
      <c r="T181" s="24">
        <f t="shared" si="4"/>
        <v>19</v>
      </c>
      <c r="Z181" s="25">
        <f t="shared" si="12"/>
        <v>471.4138406</v>
      </c>
      <c r="AA181" s="26"/>
    </row>
    <row r="182">
      <c r="A182" s="16" t="s">
        <v>6</v>
      </c>
      <c r="B182" s="17">
        <v>181.0</v>
      </c>
      <c r="C182" s="24">
        <f t="shared" si="5"/>
        <v>977608.7761</v>
      </c>
      <c r="D182" s="25">
        <v>0.05</v>
      </c>
      <c r="E182" s="24">
        <f t="shared" si="6"/>
        <v>176.6041568</v>
      </c>
      <c r="F182" s="25">
        <v>0.02</v>
      </c>
      <c r="G182" s="24">
        <f t="shared" si="7"/>
        <v>651739.1841</v>
      </c>
      <c r="H182" s="25">
        <v>0.05</v>
      </c>
      <c r="I182" s="24">
        <f t="shared" si="8"/>
        <v>353.2083136</v>
      </c>
      <c r="J182" s="25">
        <v>0.02</v>
      </c>
      <c r="K182" s="25">
        <v>0.0</v>
      </c>
      <c r="L182" s="24">
        <f t="shared" ref="L182:O182" si="367">IF(L181="", "", 1 + MROUND(IFERROR(MINIFS(OFFSET(L181, -1, 0, -$B182, 1), OFFSET(L181, -1, 0, -$B182, 1), "&gt;0"), L181) + (LN(1 + $Z182) ^ U$2) * U$3, 1))</f>
        <v>89386</v>
      </c>
      <c r="M182" s="24">
        <f t="shared" si="367"/>
        <v>7808</v>
      </c>
      <c r="N182" s="24" t="str">
        <f t="shared" si="367"/>
        <v/>
      </c>
      <c r="O182" s="24">
        <f t="shared" si="367"/>
        <v>4018</v>
      </c>
      <c r="P182" s="24">
        <f t="shared" ref="P182:S182" si="368">L182*$Y$2</f>
        <v>22346.5</v>
      </c>
      <c r="Q182" s="24">
        <f t="shared" si="368"/>
        <v>1952</v>
      </c>
      <c r="R182" s="24">
        <f t="shared" si="368"/>
        <v>0</v>
      </c>
      <c r="S182" s="24">
        <f t="shared" si="368"/>
        <v>1004.5</v>
      </c>
      <c r="T182" s="24">
        <f t="shared" si="4"/>
        <v>19</v>
      </c>
      <c r="Z182" s="25">
        <f t="shared" si="12"/>
        <v>487.948325</v>
      </c>
      <c r="AA182" s="26"/>
    </row>
    <row r="183">
      <c r="A183" s="16" t="s">
        <v>6</v>
      </c>
      <c r="B183" s="17">
        <v>182.0</v>
      </c>
      <c r="C183" s="24">
        <f t="shared" si="5"/>
        <v>1026489.215</v>
      </c>
      <c r="D183" s="25">
        <v>0.05</v>
      </c>
      <c r="E183" s="24">
        <f t="shared" si="6"/>
        <v>180.1362399</v>
      </c>
      <c r="F183" s="25">
        <v>0.02</v>
      </c>
      <c r="G183" s="24">
        <f t="shared" si="7"/>
        <v>684326.1433</v>
      </c>
      <c r="H183" s="25">
        <v>0.05</v>
      </c>
      <c r="I183" s="24">
        <f t="shared" si="8"/>
        <v>360.2724798</v>
      </c>
      <c r="J183" s="25">
        <v>0.02</v>
      </c>
      <c r="K183" s="25">
        <v>0.0</v>
      </c>
      <c r="L183" s="24">
        <f t="shared" ref="L183:O183" si="369">IF(L182="", "", 1 + MROUND(IFERROR(MINIFS(OFFSET(L182, -1, 0, -$B183, 1), OFFSET(L182, -1, 0, -$B183, 1), "&gt;0"), L182) + (LN(1 + $Z183) ^ U$2) * U$3, 1))</f>
        <v>90286</v>
      </c>
      <c r="M183" s="24">
        <f t="shared" si="369"/>
        <v>7881</v>
      </c>
      <c r="N183" s="24" t="str">
        <f t="shared" si="369"/>
        <v/>
      </c>
      <c r="O183" s="24">
        <f t="shared" si="369"/>
        <v>4055</v>
      </c>
      <c r="P183" s="24">
        <f t="shared" ref="P183:S183" si="370">L183*$Y$2</f>
        <v>22571.5</v>
      </c>
      <c r="Q183" s="24">
        <f t="shared" si="370"/>
        <v>1970.25</v>
      </c>
      <c r="R183" s="24">
        <f t="shared" si="370"/>
        <v>0</v>
      </c>
      <c r="S183" s="24">
        <f t="shared" si="370"/>
        <v>1013.75</v>
      </c>
      <c r="T183" s="24">
        <f t="shared" si="4"/>
        <v>19</v>
      </c>
      <c r="Z183" s="25">
        <f t="shared" si="12"/>
        <v>505.0615164</v>
      </c>
      <c r="AA183" s="26"/>
    </row>
    <row r="184">
      <c r="A184" s="16" t="s">
        <v>6</v>
      </c>
      <c r="B184" s="17">
        <v>183.0</v>
      </c>
      <c r="C184" s="24">
        <f t="shared" si="5"/>
        <v>1077813.676</v>
      </c>
      <c r="D184" s="25">
        <v>0.05</v>
      </c>
      <c r="E184" s="24">
        <f t="shared" si="6"/>
        <v>183.7389647</v>
      </c>
      <c r="F184" s="25">
        <v>0.02</v>
      </c>
      <c r="G184" s="24">
        <f t="shared" si="7"/>
        <v>718542.4505</v>
      </c>
      <c r="H184" s="25">
        <v>0.05</v>
      </c>
      <c r="I184" s="24">
        <f t="shared" si="8"/>
        <v>367.4779294</v>
      </c>
      <c r="J184" s="25">
        <v>0.02</v>
      </c>
      <c r="K184" s="25">
        <v>0.0</v>
      </c>
      <c r="L184" s="24">
        <f t="shared" ref="L184:O184" si="371">IF(L183="", "", 1 + MROUND(IFERROR(MINIFS(OFFSET(L183, -1, 0, -$B184, 1), OFFSET(L183, -1, 0, -$B184, 1), "&gt;0"), L183) + (LN(1 + $Z184) ^ U$2) * U$3, 1))</f>
        <v>91190</v>
      </c>
      <c r="M184" s="24">
        <f t="shared" si="371"/>
        <v>7954</v>
      </c>
      <c r="N184" s="24" t="str">
        <f t="shared" si="371"/>
        <v/>
      </c>
      <c r="O184" s="24">
        <f t="shared" si="371"/>
        <v>4092</v>
      </c>
      <c r="P184" s="24">
        <f t="shared" ref="P184:S184" si="372">L184*$Y$2</f>
        <v>22797.5</v>
      </c>
      <c r="Q184" s="24">
        <f t="shared" si="372"/>
        <v>1988.5</v>
      </c>
      <c r="R184" s="24">
        <f t="shared" si="372"/>
        <v>0</v>
      </c>
      <c r="S184" s="24">
        <f t="shared" si="372"/>
        <v>1023</v>
      </c>
      <c r="T184" s="24">
        <f t="shared" si="4"/>
        <v>19</v>
      </c>
      <c r="Z184" s="25">
        <f t="shared" si="12"/>
        <v>522.7736695</v>
      </c>
      <c r="AA184" s="26"/>
    </row>
    <row r="185">
      <c r="A185" s="16" t="s">
        <v>6</v>
      </c>
      <c r="B185" s="17">
        <v>184.0</v>
      </c>
      <c r="C185" s="24">
        <f t="shared" si="5"/>
        <v>1131704.359</v>
      </c>
      <c r="D185" s="25">
        <v>0.05</v>
      </c>
      <c r="E185" s="24">
        <f t="shared" si="6"/>
        <v>187.413744</v>
      </c>
      <c r="F185" s="25">
        <v>0.02</v>
      </c>
      <c r="G185" s="24">
        <f t="shared" si="7"/>
        <v>754469.573</v>
      </c>
      <c r="H185" s="25">
        <v>0.05</v>
      </c>
      <c r="I185" s="24">
        <f t="shared" si="8"/>
        <v>374.827488</v>
      </c>
      <c r="J185" s="25">
        <v>0.02</v>
      </c>
      <c r="K185" s="25">
        <v>0.0</v>
      </c>
      <c r="L185" s="24">
        <f t="shared" ref="L185:O185" si="373">IF(L184="", "", 1 + MROUND(IFERROR(MINIFS(OFFSET(L184, -1, 0, -$B185, 1), OFFSET(L184, -1, 0, -$B185, 1), "&gt;0"), L184) + (LN(1 + $Z185) ^ U$2) * U$3, 1))</f>
        <v>92097</v>
      </c>
      <c r="M185" s="24">
        <f t="shared" si="373"/>
        <v>8028</v>
      </c>
      <c r="N185" s="24" t="str">
        <f t="shared" si="373"/>
        <v/>
      </c>
      <c r="O185" s="24">
        <f t="shared" si="373"/>
        <v>4129</v>
      </c>
      <c r="P185" s="24">
        <f t="shared" ref="P185:S185" si="374">L185*$Y$2</f>
        <v>23024.25</v>
      </c>
      <c r="Q185" s="24">
        <f t="shared" si="374"/>
        <v>2007</v>
      </c>
      <c r="R185" s="24">
        <f t="shared" si="374"/>
        <v>0</v>
      </c>
      <c r="S185" s="24">
        <f t="shared" si="374"/>
        <v>1032.25</v>
      </c>
      <c r="T185" s="24">
        <f t="shared" si="4"/>
        <v>19</v>
      </c>
      <c r="Z185" s="25">
        <f t="shared" si="12"/>
        <v>541.1057479</v>
      </c>
      <c r="AA185" s="26"/>
    </row>
    <row r="186">
      <c r="A186" s="16" t="s">
        <v>6</v>
      </c>
      <c r="B186" s="17">
        <v>185.0</v>
      </c>
      <c r="C186" s="24">
        <f t="shared" si="5"/>
        <v>1188289.577</v>
      </c>
      <c r="D186" s="25">
        <v>0.05</v>
      </c>
      <c r="E186" s="24">
        <f t="shared" si="6"/>
        <v>191.1620189</v>
      </c>
      <c r="F186" s="25">
        <v>0.02</v>
      </c>
      <c r="G186" s="24">
        <f t="shared" si="7"/>
        <v>792193.0516</v>
      </c>
      <c r="H186" s="25">
        <v>0.05</v>
      </c>
      <c r="I186" s="24">
        <f t="shared" si="8"/>
        <v>382.3240378</v>
      </c>
      <c r="J186" s="25">
        <v>0.02</v>
      </c>
      <c r="K186" s="25">
        <v>0.0</v>
      </c>
      <c r="L186" s="24">
        <f t="shared" ref="L186:O186" si="375">IF(L185="", "", 1 + MROUND(IFERROR(MINIFS(OFFSET(L185, -1, 0, -$B186, 1), OFFSET(L185, -1, 0, -$B186, 1), "&gt;0"), L185) + (LN(1 + $Z186) ^ U$2) * U$3, 1))</f>
        <v>93008</v>
      </c>
      <c r="M186" s="24">
        <f t="shared" si="375"/>
        <v>8102</v>
      </c>
      <c r="N186" s="24" t="str">
        <f t="shared" si="375"/>
        <v/>
      </c>
      <c r="O186" s="24">
        <f t="shared" si="375"/>
        <v>4166</v>
      </c>
      <c r="P186" s="24">
        <f t="shared" ref="P186:S186" si="376">L186*$Y$2</f>
        <v>23252</v>
      </c>
      <c r="Q186" s="24">
        <f t="shared" si="376"/>
        <v>2025.5</v>
      </c>
      <c r="R186" s="24">
        <f t="shared" si="376"/>
        <v>0</v>
      </c>
      <c r="S186" s="24">
        <f t="shared" si="376"/>
        <v>1041.5</v>
      </c>
      <c r="T186" s="24">
        <f t="shared" si="4"/>
        <v>20</v>
      </c>
      <c r="Z186" s="25">
        <f t="shared" si="12"/>
        <v>560.0794491</v>
      </c>
      <c r="AA186" s="26"/>
    </row>
    <row r="187">
      <c r="A187" s="16" t="s">
        <v>6</v>
      </c>
      <c r="B187" s="17">
        <v>186.0</v>
      </c>
      <c r="C187" s="24">
        <f t="shared" si="5"/>
        <v>1247704.056</v>
      </c>
      <c r="D187" s="25">
        <v>0.05</v>
      </c>
      <c r="E187" s="24">
        <f t="shared" si="6"/>
        <v>194.9852593</v>
      </c>
      <c r="F187" s="25">
        <v>0.02</v>
      </c>
      <c r="G187" s="24">
        <f t="shared" si="7"/>
        <v>831802.7042</v>
      </c>
      <c r="H187" s="25">
        <v>0.05</v>
      </c>
      <c r="I187" s="24">
        <f t="shared" si="8"/>
        <v>389.9705185</v>
      </c>
      <c r="J187" s="25">
        <v>0.02</v>
      </c>
      <c r="K187" s="25">
        <v>0.0</v>
      </c>
      <c r="L187" s="24">
        <f t="shared" ref="L187:O187" si="377">IF(L186="", "", 1 + MROUND(IFERROR(MINIFS(OFFSET(L186, -1, 0, -$B187, 1), OFFSET(L186, -1, 0, -$B187, 1), "&gt;0"), L186) + (LN(1 + $Z187) ^ U$2) * U$3, 1))</f>
        <v>93922</v>
      </c>
      <c r="M187" s="24">
        <f t="shared" si="377"/>
        <v>8176</v>
      </c>
      <c r="N187" s="24" t="str">
        <f t="shared" si="377"/>
        <v/>
      </c>
      <c r="O187" s="24">
        <f t="shared" si="377"/>
        <v>4204</v>
      </c>
      <c r="P187" s="24">
        <f t="shared" ref="P187:S187" si="378">L187*$Y$2</f>
        <v>23480.5</v>
      </c>
      <c r="Q187" s="24">
        <f t="shared" si="378"/>
        <v>2044</v>
      </c>
      <c r="R187" s="24">
        <f t="shared" si="378"/>
        <v>0</v>
      </c>
      <c r="S187" s="24">
        <f t="shared" si="378"/>
        <v>1051</v>
      </c>
      <c r="T187" s="24">
        <f t="shared" si="4"/>
        <v>20</v>
      </c>
      <c r="Z187" s="25">
        <f t="shared" si="12"/>
        <v>579.7172298</v>
      </c>
      <c r="AA187" s="26"/>
    </row>
    <row r="188">
      <c r="A188" s="16" t="s">
        <v>6</v>
      </c>
      <c r="B188" s="17">
        <v>187.0</v>
      </c>
      <c r="C188" s="24">
        <f t="shared" si="5"/>
        <v>1310089.259</v>
      </c>
      <c r="D188" s="25">
        <v>0.05</v>
      </c>
      <c r="E188" s="24">
        <f t="shared" si="6"/>
        <v>198.8849645</v>
      </c>
      <c r="F188" s="25">
        <v>0.02</v>
      </c>
      <c r="G188" s="24">
        <f t="shared" si="7"/>
        <v>873392.8394</v>
      </c>
      <c r="H188" s="25">
        <v>0.05</v>
      </c>
      <c r="I188" s="24">
        <f t="shared" si="8"/>
        <v>397.7699289</v>
      </c>
      <c r="J188" s="25">
        <v>0.02</v>
      </c>
      <c r="K188" s="25">
        <v>0.0</v>
      </c>
      <c r="L188" s="24">
        <f t="shared" ref="L188:O188" si="379">IF(L187="", "", 1 + MROUND(IFERROR(MINIFS(OFFSET(L187, -1, 0, -$B188, 1), OFFSET(L187, -1, 0, -$B188, 1), "&gt;0"), L187) + (LN(1 + $Z188) ^ U$2) * U$3, 1))</f>
        <v>94840</v>
      </c>
      <c r="M188" s="24">
        <f t="shared" si="379"/>
        <v>8250</v>
      </c>
      <c r="N188" s="24" t="str">
        <f t="shared" si="379"/>
        <v/>
      </c>
      <c r="O188" s="24">
        <f t="shared" si="379"/>
        <v>4242</v>
      </c>
      <c r="P188" s="24">
        <f t="shared" ref="P188:S188" si="380">L188*$Y$2</f>
        <v>23710</v>
      </c>
      <c r="Q188" s="24">
        <f t="shared" si="380"/>
        <v>2062.5</v>
      </c>
      <c r="R188" s="24">
        <f t="shared" si="380"/>
        <v>0</v>
      </c>
      <c r="S188" s="24">
        <f t="shared" si="380"/>
        <v>1060.5</v>
      </c>
      <c r="T188" s="24">
        <f t="shared" si="4"/>
        <v>20</v>
      </c>
      <c r="Z188" s="25">
        <f t="shared" si="12"/>
        <v>600.0423329</v>
      </c>
      <c r="AA188" s="26"/>
    </row>
    <row r="189">
      <c r="A189" s="16" t="s">
        <v>6</v>
      </c>
      <c r="B189" s="17">
        <v>188.0</v>
      </c>
      <c r="C189" s="24">
        <f t="shared" si="5"/>
        <v>1375593.722</v>
      </c>
      <c r="D189" s="25">
        <v>0.05</v>
      </c>
      <c r="E189" s="24">
        <f t="shared" si="6"/>
        <v>202.8626637</v>
      </c>
      <c r="F189" s="25">
        <v>0.02</v>
      </c>
      <c r="G189" s="24">
        <f t="shared" si="7"/>
        <v>917062.4814</v>
      </c>
      <c r="H189" s="25">
        <v>0.05</v>
      </c>
      <c r="I189" s="24">
        <f t="shared" si="8"/>
        <v>405.7253275</v>
      </c>
      <c r="J189" s="25">
        <v>0.02</v>
      </c>
      <c r="K189" s="25">
        <v>0.0</v>
      </c>
      <c r="L189" s="24">
        <f t="shared" ref="L189:O189" si="381">IF(L188="", "", 1 + MROUND(IFERROR(MINIFS(OFFSET(L188, -1, 0, -$B189, 1), OFFSET(L188, -1, 0, -$B189, 1), "&gt;0"), L188) + (LN(1 + $Z189) ^ U$2) * U$3, 1))</f>
        <v>95761</v>
      </c>
      <c r="M189" s="24">
        <f t="shared" si="381"/>
        <v>8325</v>
      </c>
      <c r="N189" s="24" t="str">
        <f t="shared" si="381"/>
        <v/>
      </c>
      <c r="O189" s="24">
        <f t="shared" si="381"/>
        <v>4280</v>
      </c>
      <c r="P189" s="24">
        <f t="shared" ref="P189:S189" si="382">L189*$Y$2</f>
        <v>23940.25</v>
      </c>
      <c r="Q189" s="24">
        <f t="shared" si="382"/>
        <v>2081.25</v>
      </c>
      <c r="R189" s="24">
        <f t="shared" si="382"/>
        <v>0</v>
      </c>
      <c r="S189" s="24">
        <f t="shared" si="382"/>
        <v>1070</v>
      </c>
      <c r="T189" s="24">
        <f t="shared" si="4"/>
        <v>20</v>
      </c>
      <c r="Z189" s="25">
        <f t="shared" si="12"/>
        <v>621.0788145</v>
      </c>
      <c r="AA189" s="26"/>
    </row>
    <row r="190">
      <c r="A190" s="16" t="s">
        <v>6</v>
      </c>
      <c r="B190" s="17">
        <v>189.0</v>
      </c>
      <c r="C190" s="24">
        <f t="shared" si="5"/>
        <v>1444373.408</v>
      </c>
      <c r="D190" s="25">
        <v>0.05</v>
      </c>
      <c r="E190" s="24">
        <f t="shared" si="6"/>
        <v>206.919917</v>
      </c>
      <c r="F190" s="25">
        <v>0.02</v>
      </c>
      <c r="G190" s="24">
        <f t="shared" si="7"/>
        <v>962915.6055</v>
      </c>
      <c r="H190" s="25">
        <v>0.05</v>
      </c>
      <c r="I190" s="24">
        <f t="shared" si="8"/>
        <v>413.839834</v>
      </c>
      <c r="J190" s="25">
        <v>0.02</v>
      </c>
      <c r="K190" s="25">
        <v>0.0</v>
      </c>
      <c r="L190" s="24">
        <f t="shared" ref="L190:O190" si="383">IF(L189="", "", 1 + MROUND(IFERROR(MINIFS(OFFSET(L189, -1, 0, -$B190, 1), OFFSET(L189, -1, 0, -$B190, 1), "&gt;0"), L189) + (LN(1 + $Z190) ^ U$2) * U$3, 1))</f>
        <v>96686</v>
      </c>
      <c r="M190" s="24">
        <f t="shared" si="383"/>
        <v>8400</v>
      </c>
      <c r="N190" s="24" t="str">
        <f t="shared" si="383"/>
        <v/>
      </c>
      <c r="O190" s="24">
        <f t="shared" si="383"/>
        <v>4318</v>
      </c>
      <c r="P190" s="24">
        <f t="shared" ref="P190:S190" si="384">L190*$Y$2</f>
        <v>24171.5</v>
      </c>
      <c r="Q190" s="24">
        <f t="shared" si="384"/>
        <v>2100</v>
      </c>
      <c r="R190" s="24">
        <f t="shared" si="384"/>
        <v>0</v>
      </c>
      <c r="S190" s="24">
        <f t="shared" si="384"/>
        <v>1079.5</v>
      </c>
      <c r="T190" s="24">
        <f t="shared" si="4"/>
        <v>20</v>
      </c>
      <c r="Z190" s="25">
        <f t="shared" si="12"/>
        <v>642.851573</v>
      </c>
      <c r="AA190" s="26"/>
    </row>
    <row r="191">
      <c r="A191" s="16" t="s">
        <v>6</v>
      </c>
      <c r="B191" s="17">
        <v>190.0</v>
      </c>
      <c r="C191" s="24">
        <f t="shared" si="5"/>
        <v>1516592.079</v>
      </c>
      <c r="D191" s="25">
        <v>0.05</v>
      </c>
      <c r="E191" s="24">
        <f t="shared" si="6"/>
        <v>211.0583154</v>
      </c>
      <c r="F191" s="25">
        <v>0.02</v>
      </c>
      <c r="G191" s="24">
        <f t="shared" si="7"/>
        <v>1011061.386</v>
      </c>
      <c r="H191" s="25">
        <v>0.05</v>
      </c>
      <c r="I191" s="24">
        <f t="shared" si="8"/>
        <v>422.1166307</v>
      </c>
      <c r="J191" s="25">
        <v>0.02</v>
      </c>
      <c r="K191" s="25">
        <v>0.0</v>
      </c>
      <c r="L191" s="24">
        <f t="shared" ref="L191:O191" si="385">IF(L190="", "", 1 + MROUND(IFERROR(MINIFS(OFFSET(L190, -1, 0, -$B191, 1), OFFSET(L190, -1, 0, -$B191, 1), "&gt;0"), L190) + (LN(1 + $Z191) ^ U$2) * U$3, 1))</f>
        <v>97614</v>
      </c>
      <c r="M191" s="24">
        <f t="shared" si="385"/>
        <v>8475</v>
      </c>
      <c r="N191" s="24" t="str">
        <f t="shared" si="385"/>
        <v/>
      </c>
      <c r="O191" s="24">
        <f t="shared" si="385"/>
        <v>4356</v>
      </c>
      <c r="P191" s="24">
        <f t="shared" ref="P191:S191" si="386">L191*$Y$2</f>
        <v>24403.5</v>
      </c>
      <c r="Q191" s="24">
        <f t="shared" si="386"/>
        <v>2118.75</v>
      </c>
      <c r="R191" s="24">
        <f t="shared" si="386"/>
        <v>0</v>
      </c>
      <c r="S191" s="24">
        <f t="shared" si="386"/>
        <v>1089</v>
      </c>
      <c r="T191" s="24">
        <f t="shared" si="4"/>
        <v>20</v>
      </c>
      <c r="Z191" s="25">
        <f t="shared" si="12"/>
        <v>665.3863781</v>
      </c>
      <c r="AA191" s="26"/>
    </row>
    <row r="192">
      <c r="A192" s="16" t="s">
        <v>6</v>
      </c>
      <c r="B192" s="17">
        <v>191.0</v>
      </c>
      <c r="C192" s="24">
        <f t="shared" si="5"/>
        <v>1592421.683</v>
      </c>
      <c r="D192" s="25">
        <v>0.05</v>
      </c>
      <c r="E192" s="24">
        <f t="shared" si="6"/>
        <v>215.2794817</v>
      </c>
      <c r="F192" s="25">
        <v>0.02</v>
      </c>
      <c r="G192" s="24">
        <f t="shared" si="7"/>
        <v>1061614.455</v>
      </c>
      <c r="H192" s="25">
        <v>0.05</v>
      </c>
      <c r="I192" s="24">
        <f t="shared" si="8"/>
        <v>430.5589633</v>
      </c>
      <c r="J192" s="25">
        <v>0.02</v>
      </c>
      <c r="K192" s="25">
        <v>0.0</v>
      </c>
      <c r="L192" s="24">
        <f t="shared" ref="L192:O192" si="387">IF(L191="", "", 1 + MROUND(IFERROR(MINIFS(OFFSET(L191, -1, 0, -$B192, 1), OFFSET(L191, -1, 0, -$B192, 1), "&gt;0"), L191) + (LN(1 + $Z192) ^ U$2) * U$3, 1))</f>
        <v>98545</v>
      </c>
      <c r="M192" s="24">
        <f t="shared" si="387"/>
        <v>8550</v>
      </c>
      <c r="N192" s="24" t="str">
        <f t="shared" si="387"/>
        <v/>
      </c>
      <c r="O192" s="24">
        <f t="shared" si="387"/>
        <v>4394</v>
      </c>
      <c r="P192" s="24">
        <f t="shared" ref="P192:S192" si="388">L192*$Y$2</f>
        <v>24636.25</v>
      </c>
      <c r="Q192" s="24">
        <f t="shared" si="388"/>
        <v>2137.5</v>
      </c>
      <c r="R192" s="24">
        <f t="shared" si="388"/>
        <v>0</v>
      </c>
      <c r="S192" s="24">
        <f t="shared" si="388"/>
        <v>1098.5</v>
      </c>
      <c r="T192" s="24">
        <f t="shared" si="4"/>
        <v>20</v>
      </c>
      <c r="Z192" s="25">
        <f t="shared" si="12"/>
        <v>688.7099013</v>
      </c>
      <c r="AA192" s="26"/>
    </row>
    <row r="193">
      <c r="A193" s="16" t="s">
        <v>6</v>
      </c>
      <c r="B193" s="17">
        <v>192.0</v>
      </c>
      <c r="C193" s="24">
        <f t="shared" si="5"/>
        <v>1672042.767</v>
      </c>
      <c r="D193" s="25">
        <v>0.05</v>
      </c>
      <c r="E193" s="24">
        <f t="shared" si="6"/>
        <v>219.5850713</v>
      </c>
      <c r="F193" s="25">
        <v>0.02</v>
      </c>
      <c r="G193" s="24">
        <f t="shared" si="7"/>
        <v>1114695.178</v>
      </c>
      <c r="H193" s="25">
        <v>0.05</v>
      </c>
      <c r="I193" s="24">
        <f t="shared" si="8"/>
        <v>439.1701426</v>
      </c>
      <c r="J193" s="25">
        <v>0.02</v>
      </c>
      <c r="K193" s="25">
        <v>0.0</v>
      </c>
      <c r="L193" s="24">
        <f t="shared" ref="L193:O193" si="389">IF(L192="", "", 1 + MROUND(IFERROR(MINIFS(OFFSET(L192, -1, 0, -$B193, 1), OFFSET(L192, -1, 0, -$B193, 1), "&gt;0"), L192) + (LN(1 + $Z193) ^ U$2) * U$3, 1))</f>
        <v>99480</v>
      </c>
      <c r="M193" s="24">
        <f t="shared" si="389"/>
        <v>8626</v>
      </c>
      <c r="N193" s="24" t="str">
        <f t="shared" si="389"/>
        <v/>
      </c>
      <c r="O193" s="24">
        <f t="shared" si="389"/>
        <v>4432</v>
      </c>
      <c r="P193" s="24">
        <f t="shared" ref="P193:S193" si="390">L193*$Y$2</f>
        <v>24870</v>
      </c>
      <c r="Q193" s="24">
        <f t="shared" si="390"/>
        <v>2156.5</v>
      </c>
      <c r="R193" s="24">
        <f t="shared" si="390"/>
        <v>0</v>
      </c>
      <c r="S193" s="24">
        <f t="shared" si="390"/>
        <v>1108</v>
      </c>
      <c r="T193" s="24">
        <f t="shared" si="4"/>
        <v>20</v>
      </c>
      <c r="Z193" s="25">
        <f t="shared" si="12"/>
        <v>712.8497479</v>
      </c>
      <c r="AA193" s="26"/>
    </row>
    <row r="194">
      <c r="A194" s="16" t="s">
        <v>6</v>
      </c>
      <c r="B194" s="17">
        <v>193.0</v>
      </c>
      <c r="C194" s="24">
        <f t="shared" si="5"/>
        <v>1755644.905</v>
      </c>
      <c r="D194" s="25">
        <v>0.05</v>
      </c>
      <c r="E194" s="24">
        <f t="shared" si="6"/>
        <v>223.9767727</v>
      </c>
      <c r="F194" s="25">
        <v>0.02</v>
      </c>
      <c r="G194" s="24">
        <f t="shared" si="7"/>
        <v>1170429.937</v>
      </c>
      <c r="H194" s="25">
        <v>0.05</v>
      </c>
      <c r="I194" s="24">
        <f t="shared" si="8"/>
        <v>447.9535455</v>
      </c>
      <c r="J194" s="25">
        <v>0.02</v>
      </c>
      <c r="K194" s="25">
        <v>0.0</v>
      </c>
      <c r="L194" s="24">
        <f t="shared" ref="L194:O194" si="391">IF(L193="", "", 1 + MROUND(IFERROR(MINIFS(OFFSET(L193, -1, 0, -$B194, 1), OFFSET(L193, -1, 0, -$B194, 1), "&gt;0"), L193) + (LN(1 + $Z194) ^ U$2) * U$3, 1))</f>
        <v>100418</v>
      </c>
      <c r="M194" s="24">
        <f t="shared" si="391"/>
        <v>8702</v>
      </c>
      <c r="N194" s="24" t="str">
        <f t="shared" si="391"/>
        <v/>
      </c>
      <c r="O194" s="24">
        <f t="shared" si="391"/>
        <v>4470</v>
      </c>
      <c r="P194" s="24">
        <f t="shared" ref="P194:S194" si="392">L194*$Y$2</f>
        <v>25104.5</v>
      </c>
      <c r="Q194" s="24">
        <f t="shared" si="392"/>
        <v>2175.5</v>
      </c>
      <c r="R194" s="24">
        <f t="shared" si="392"/>
        <v>0</v>
      </c>
      <c r="S194" s="24">
        <f t="shared" si="392"/>
        <v>1117.5</v>
      </c>
      <c r="T194" s="24">
        <f t="shared" si="4"/>
        <v>20</v>
      </c>
      <c r="Z194" s="25">
        <f t="shared" si="12"/>
        <v>737.834489</v>
      </c>
      <c r="AA194" s="26"/>
    </row>
    <row r="195">
      <c r="A195" s="16" t="s">
        <v>6</v>
      </c>
      <c r="B195" s="17">
        <v>194.0</v>
      </c>
      <c r="C195" s="24">
        <f t="shared" si="5"/>
        <v>1843427.15</v>
      </c>
      <c r="D195" s="25">
        <v>0.05</v>
      </c>
      <c r="E195" s="24">
        <f t="shared" si="6"/>
        <v>228.4563082</v>
      </c>
      <c r="F195" s="25">
        <v>0.02</v>
      </c>
      <c r="G195" s="24">
        <f t="shared" si="7"/>
        <v>1228951.434</v>
      </c>
      <c r="H195" s="25">
        <v>0.05</v>
      </c>
      <c r="I195" s="24">
        <f t="shared" si="8"/>
        <v>456.9126164</v>
      </c>
      <c r="J195" s="25">
        <v>0.02</v>
      </c>
      <c r="K195" s="25">
        <v>0.0</v>
      </c>
      <c r="L195" s="24">
        <f t="shared" ref="L195:O195" si="393">IF(L194="", "", 1 + MROUND(IFERROR(MINIFS(OFFSET(L194, -1, 0, -$B195, 1), OFFSET(L194, -1, 0, -$B195, 1), "&gt;0"), L194) + (LN(1 + $Z195) ^ U$2) * U$3, 1))</f>
        <v>101360</v>
      </c>
      <c r="M195" s="24">
        <f t="shared" si="393"/>
        <v>8778</v>
      </c>
      <c r="N195" s="24" t="str">
        <f t="shared" si="393"/>
        <v/>
      </c>
      <c r="O195" s="24">
        <f t="shared" si="393"/>
        <v>4509</v>
      </c>
      <c r="P195" s="24">
        <f t="shared" ref="P195:S195" si="394">L195*$Y$2</f>
        <v>25340</v>
      </c>
      <c r="Q195" s="24">
        <f t="shared" si="394"/>
        <v>2194.5</v>
      </c>
      <c r="R195" s="24">
        <f t="shared" si="394"/>
        <v>0</v>
      </c>
      <c r="S195" s="24">
        <f t="shared" si="394"/>
        <v>1127.25</v>
      </c>
      <c r="T195" s="24">
        <f t="shared" si="4"/>
        <v>20</v>
      </c>
      <c r="Z195" s="25">
        <f t="shared" si="12"/>
        <v>763.6936961</v>
      </c>
      <c r="AA195" s="26"/>
    </row>
    <row r="196">
      <c r="A196" s="16" t="s">
        <v>6</v>
      </c>
      <c r="B196" s="17">
        <v>195.0</v>
      </c>
      <c r="C196" s="24">
        <f t="shared" si="5"/>
        <v>1935598.508</v>
      </c>
      <c r="D196" s="25">
        <v>0.05</v>
      </c>
      <c r="E196" s="24">
        <f t="shared" si="6"/>
        <v>233.0254343</v>
      </c>
      <c r="F196" s="25">
        <v>0.02</v>
      </c>
      <c r="G196" s="24">
        <f t="shared" si="7"/>
        <v>1290399.005</v>
      </c>
      <c r="H196" s="25">
        <v>0.05</v>
      </c>
      <c r="I196" s="24">
        <f t="shared" si="8"/>
        <v>466.0508687</v>
      </c>
      <c r="J196" s="25">
        <v>0.02</v>
      </c>
      <c r="K196" s="25">
        <v>0.0</v>
      </c>
      <c r="L196" s="24">
        <f t="shared" ref="L196:O196" si="395">IF(L195="", "", 1 + MROUND(IFERROR(MINIFS(OFFSET(L195, -1, 0, -$B196, 1), OFFSET(L195, -1, 0, -$B196, 1), "&gt;0"), L195) + (LN(1 + $Z196) ^ U$2) * U$3, 1))</f>
        <v>102305</v>
      </c>
      <c r="M196" s="24">
        <f t="shared" si="395"/>
        <v>8855</v>
      </c>
      <c r="N196" s="24" t="str">
        <f t="shared" si="395"/>
        <v/>
      </c>
      <c r="O196" s="24">
        <f t="shared" si="395"/>
        <v>4548</v>
      </c>
      <c r="P196" s="24">
        <f t="shared" ref="P196:S196" si="396">L196*$Y$2</f>
        <v>25576.25</v>
      </c>
      <c r="Q196" s="24">
        <f t="shared" si="396"/>
        <v>2213.75</v>
      </c>
      <c r="R196" s="24">
        <f t="shared" si="396"/>
        <v>0</v>
      </c>
      <c r="S196" s="24">
        <f t="shared" si="396"/>
        <v>1137</v>
      </c>
      <c r="T196" s="24">
        <f t="shared" si="4"/>
        <v>21</v>
      </c>
      <c r="Z196" s="25">
        <f t="shared" si="12"/>
        <v>790.4579755</v>
      </c>
      <c r="AA196" s="26"/>
    </row>
    <row r="197">
      <c r="A197" s="16" t="s">
        <v>6</v>
      </c>
      <c r="B197" s="17">
        <v>196.0</v>
      </c>
      <c r="C197" s="24">
        <f t="shared" si="5"/>
        <v>2032378.433</v>
      </c>
      <c r="D197" s="25">
        <v>0.05</v>
      </c>
      <c r="E197" s="24">
        <f t="shared" si="6"/>
        <v>237.685943</v>
      </c>
      <c r="F197" s="25">
        <v>0.02</v>
      </c>
      <c r="G197" s="24">
        <f t="shared" si="7"/>
        <v>1354918.955</v>
      </c>
      <c r="H197" s="25">
        <v>0.05</v>
      </c>
      <c r="I197" s="24">
        <f t="shared" si="8"/>
        <v>475.3718861</v>
      </c>
      <c r="J197" s="25">
        <v>0.02</v>
      </c>
      <c r="K197" s="25">
        <v>0.0</v>
      </c>
      <c r="L197" s="24">
        <f t="shared" ref="L197:O197" si="397">IF(L196="", "", 1 + MROUND(IFERROR(MINIFS(OFFSET(L196, -1, 0, -$B197, 1), OFFSET(L196, -1, 0, -$B197, 1), "&gt;0"), L196) + (LN(1 + $Z197) ^ U$2) * U$3, 1))</f>
        <v>103253</v>
      </c>
      <c r="M197" s="24">
        <f t="shared" si="397"/>
        <v>8932</v>
      </c>
      <c r="N197" s="24" t="str">
        <f t="shared" si="397"/>
        <v/>
      </c>
      <c r="O197" s="24">
        <f t="shared" si="397"/>
        <v>4587</v>
      </c>
      <c r="P197" s="24">
        <f t="shared" ref="P197:S197" si="398">L197*$Y$2</f>
        <v>25813.25</v>
      </c>
      <c r="Q197" s="24">
        <f t="shared" si="398"/>
        <v>2233</v>
      </c>
      <c r="R197" s="24">
        <f t="shared" si="398"/>
        <v>0</v>
      </c>
      <c r="S197" s="24">
        <f t="shared" si="398"/>
        <v>1146.75</v>
      </c>
      <c r="T197" s="24">
        <f t="shared" si="4"/>
        <v>21</v>
      </c>
      <c r="Z197" s="25">
        <f t="shared" si="12"/>
        <v>818.1590046</v>
      </c>
      <c r="AA197" s="26"/>
    </row>
    <row r="198">
      <c r="A198" s="16" t="s">
        <v>6</v>
      </c>
      <c r="B198" s="17">
        <v>197.0</v>
      </c>
      <c r="C198" s="24">
        <f t="shared" si="5"/>
        <v>2133997.355</v>
      </c>
      <c r="D198" s="25">
        <v>0.05</v>
      </c>
      <c r="E198" s="24">
        <f t="shared" si="6"/>
        <v>242.4396619</v>
      </c>
      <c r="F198" s="25">
        <v>0.02</v>
      </c>
      <c r="G198" s="24">
        <f t="shared" si="7"/>
        <v>1422664.903</v>
      </c>
      <c r="H198" s="25">
        <v>0.05</v>
      </c>
      <c r="I198" s="24">
        <f t="shared" si="8"/>
        <v>484.8793238</v>
      </c>
      <c r="J198" s="25">
        <v>0.02</v>
      </c>
      <c r="K198" s="25">
        <v>0.0</v>
      </c>
      <c r="L198" s="24">
        <f t="shared" ref="L198:O198" si="399">IF(L197="", "", 1 + MROUND(IFERROR(MINIFS(OFFSET(L197, -1, 0, -$B198, 1), OFFSET(L197, -1, 0, -$B198, 1), "&gt;0"), L197) + (LN(1 + $Z198) ^ U$2) * U$3, 1))</f>
        <v>104205</v>
      </c>
      <c r="M198" s="24">
        <f t="shared" si="399"/>
        <v>9009</v>
      </c>
      <c r="N198" s="24" t="str">
        <f t="shared" si="399"/>
        <v/>
      </c>
      <c r="O198" s="24">
        <f t="shared" si="399"/>
        <v>4626</v>
      </c>
      <c r="P198" s="24">
        <f t="shared" ref="P198:S198" si="400">L198*$Y$2</f>
        <v>26051.25</v>
      </c>
      <c r="Q198" s="24">
        <f t="shared" si="400"/>
        <v>2252.25</v>
      </c>
      <c r="R198" s="24">
        <f t="shared" si="400"/>
        <v>0</v>
      </c>
      <c r="S198" s="24">
        <f t="shared" si="400"/>
        <v>1156.5</v>
      </c>
      <c r="T198" s="24">
        <f t="shared" si="4"/>
        <v>21</v>
      </c>
      <c r="Z198" s="25">
        <f t="shared" si="12"/>
        <v>846.8295698</v>
      </c>
      <c r="AA198" s="26"/>
    </row>
    <row r="199">
      <c r="A199" s="16" t="s">
        <v>6</v>
      </c>
      <c r="B199" s="17">
        <v>198.0</v>
      </c>
      <c r="C199" s="24">
        <f t="shared" si="5"/>
        <v>2240697.223</v>
      </c>
      <c r="D199" s="25">
        <v>0.05</v>
      </c>
      <c r="E199" s="24">
        <f t="shared" si="6"/>
        <v>247.2884551</v>
      </c>
      <c r="F199" s="25">
        <v>0.02</v>
      </c>
      <c r="G199" s="24">
        <f t="shared" si="7"/>
        <v>1493798.148</v>
      </c>
      <c r="H199" s="25">
        <v>0.05</v>
      </c>
      <c r="I199" s="24">
        <f t="shared" si="8"/>
        <v>494.5769103</v>
      </c>
      <c r="J199" s="25">
        <v>0.02</v>
      </c>
      <c r="K199" s="25">
        <v>0.0</v>
      </c>
      <c r="L199" s="24">
        <f t="shared" ref="L199:O199" si="401">IF(L198="", "", 1 + MROUND(IFERROR(MINIFS(OFFSET(L198, -1, 0, -$B199, 1), OFFSET(L198, -1, 0, -$B199, 1), "&gt;0"), L198) + (LN(1 + $Z199) ^ U$2) * U$3, 1))</f>
        <v>105160</v>
      </c>
      <c r="M199" s="24">
        <f t="shared" si="401"/>
        <v>9086</v>
      </c>
      <c r="N199" s="24" t="str">
        <f t="shared" si="401"/>
        <v/>
      </c>
      <c r="O199" s="24">
        <f t="shared" si="401"/>
        <v>4665</v>
      </c>
      <c r="P199" s="24">
        <f t="shared" ref="P199:S199" si="402">L199*$Y$2</f>
        <v>26290</v>
      </c>
      <c r="Q199" s="24">
        <f t="shared" si="402"/>
        <v>2271.5</v>
      </c>
      <c r="R199" s="24">
        <f t="shared" si="402"/>
        <v>0</v>
      </c>
      <c r="S199" s="24">
        <f t="shared" si="402"/>
        <v>1166.25</v>
      </c>
      <c r="T199" s="24">
        <f t="shared" si="4"/>
        <v>21</v>
      </c>
      <c r="Z199" s="25">
        <f t="shared" si="12"/>
        <v>876.5036048</v>
      </c>
      <c r="AA199" s="26"/>
    </row>
    <row r="200">
      <c r="A200" s="16" t="s">
        <v>6</v>
      </c>
      <c r="B200" s="17">
        <v>199.0</v>
      </c>
      <c r="C200" s="24">
        <f t="shared" si="5"/>
        <v>2352732.084</v>
      </c>
      <c r="D200" s="25">
        <v>0.05</v>
      </c>
      <c r="E200" s="24">
        <f t="shared" si="6"/>
        <v>252.2342242</v>
      </c>
      <c r="F200" s="25">
        <v>0.02</v>
      </c>
      <c r="G200" s="24">
        <f t="shared" si="7"/>
        <v>1568488.056</v>
      </c>
      <c r="H200" s="25">
        <v>0.05</v>
      </c>
      <c r="I200" s="24">
        <f t="shared" si="8"/>
        <v>504.4684485</v>
      </c>
      <c r="J200" s="25">
        <v>0.02</v>
      </c>
      <c r="K200" s="25">
        <v>0.0</v>
      </c>
      <c r="L200" s="24">
        <f t="shared" ref="L200:O200" si="403">IF(L199="", "", 1 + MROUND(IFERROR(MINIFS(OFFSET(L199, -1, 0, -$B200, 1), OFFSET(L199, -1, 0, -$B200, 1), "&gt;0"), L199) + (LN(1 + $Z200) ^ U$2) * U$3, 1))</f>
        <v>106119</v>
      </c>
      <c r="M200" s="24">
        <f t="shared" si="403"/>
        <v>9164</v>
      </c>
      <c r="N200" s="24" t="str">
        <f t="shared" si="403"/>
        <v/>
      </c>
      <c r="O200" s="24">
        <f t="shared" si="403"/>
        <v>4704</v>
      </c>
      <c r="P200" s="24">
        <f t="shared" ref="P200:S200" si="404">L200*$Y$2</f>
        <v>26529.75</v>
      </c>
      <c r="Q200" s="24">
        <f t="shared" si="404"/>
        <v>2291</v>
      </c>
      <c r="R200" s="24">
        <f t="shared" si="404"/>
        <v>0</v>
      </c>
      <c r="S200" s="24">
        <f t="shared" si="404"/>
        <v>1176</v>
      </c>
      <c r="T200" s="24">
        <f t="shared" si="4"/>
        <v>21</v>
      </c>
      <c r="Z200" s="25">
        <f t="shared" si="12"/>
        <v>907.2162309</v>
      </c>
      <c r="AA200" s="26"/>
    </row>
    <row r="201">
      <c r="A201" s="16" t="s">
        <v>6</v>
      </c>
      <c r="B201" s="17">
        <v>200.0</v>
      </c>
      <c r="C201" s="24">
        <f t="shared" si="5"/>
        <v>2470368.688</v>
      </c>
      <c r="D201" s="25">
        <v>0.05</v>
      </c>
      <c r="E201" s="24">
        <f t="shared" si="6"/>
        <v>257.2789087</v>
      </c>
      <c r="F201" s="25">
        <v>0.02</v>
      </c>
      <c r="G201" s="24">
        <f t="shared" si="7"/>
        <v>1646912.459</v>
      </c>
      <c r="H201" s="25">
        <v>0.05</v>
      </c>
      <c r="I201" s="24">
        <f t="shared" si="8"/>
        <v>514.5578174</v>
      </c>
      <c r="J201" s="25">
        <v>0.02</v>
      </c>
      <c r="K201" s="25">
        <v>0.0</v>
      </c>
      <c r="L201" s="24">
        <f t="shared" ref="L201:M201" si="405">IF(L200="", "", 1 + MROUND(IFERROR(MINIFS(OFFSET(L200, -1, 0, -$B201, 1), OFFSET(L200, -1, 0, -$B201, 1), "&gt;0"), L200) + (LN(1 + $Z201) ^ U$2) * U$3, 1))</f>
        <v>107081</v>
      </c>
      <c r="M201" s="24">
        <f t="shared" si="405"/>
        <v>9242</v>
      </c>
      <c r="N201" s="29">
        <f>M201/10</f>
        <v>924.2</v>
      </c>
      <c r="O201" s="24">
        <f>IF(O200="", "", 1 + MROUND(IFERROR(MINIFS(OFFSET(O200, -1, 0, -$B201, 1), OFFSET(O200, -1, 0, -$B201, 1), "&gt;0"), O200) + (LN(1 + $Z201) ^ X$2) * X$3, 1))</f>
        <v>4743</v>
      </c>
      <c r="P201" s="24">
        <f t="shared" ref="P201:S201" si="406">L201*$Y$2</f>
        <v>26770.25</v>
      </c>
      <c r="Q201" s="24">
        <f t="shared" si="406"/>
        <v>2310.5</v>
      </c>
      <c r="R201" s="24">
        <f t="shared" si="406"/>
        <v>231.05</v>
      </c>
      <c r="S201" s="24">
        <f t="shared" si="406"/>
        <v>1185.75</v>
      </c>
      <c r="T201" s="24">
        <f t="shared" si="4"/>
        <v>21</v>
      </c>
      <c r="Z201" s="25">
        <f t="shared" si="12"/>
        <v>939.003799</v>
      </c>
      <c r="AA201" s="26"/>
    </row>
    <row r="202">
      <c r="A202" s="16" t="s">
        <v>6</v>
      </c>
      <c r="B202" s="17">
        <v>201.0</v>
      </c>
      <c r="C202" s="24">
        <f t="shared" si="5"/>
        <v>2593887.122</v>
      </c>
      <c r="D202" s="25">
        <v>0.05</v>
      </c>
      <c r="E202" s="24">
        <f t="shared" si="6"/>
        <v>262.4244869</v>
      </c>
      <c r="F202" s="25">
        <v>0.02</v>
      </c>
      <c r="G202" s="24">
        <f t="shared" si="7"/>
        <v>1729258.082</v>
      </c>
      <c r="H202" s="25">
        <v>0.05</v>
      </c>
      <c r="I202" s="24">
        <f t="shared" si="8"/>
        <v>524.8489738</v>
      </c>
      <c r="J202" s="25">
        <v>0.02</v>
      </c>
      <c r="K202" s="25">
        <v>0.0</v>
      </c>
      <c r="L202" s="24">
        <f t="shared" ref="L202:O202" si="407">IF(L201="", "", 1 + MROUND(IFERROR(MINIFS(OFFSET(L201, -1, 0, -$B202, 1), OFFSET(L201, -1, 0, -$B202, 1), "&gt;0"), L201) + (LN(1 + $Z202) ^ U$2) * U$3, 1))</f>
        <v>108046</v>
      </c>
      <c r="M202" s="24">
        <f t="shared" si="407"/>
        <v>9320</v>
      </c>
      <c r="N202" s="24">
        <f t="shared" si="407"/>
        <v>964</v>
      </c>
      <c r="O202" s="24">
        <f t="shared" si="407"/>
        <v>4783</v>
      </c>
      <c r="P202" s="24">
        <f t="shared" ref="P202:S202" si="408">L202*$Y$2</f>
        <v>27011.5</v>
      </c>
      <c r="Q202" s="24">
        <f t="shared" si="408"/>
        <v>2330</v>
      </c>
      <c r="R202" s="24">
        <f t="shared" si="408"/>
        <v>241</v>
      </c>
      <c r="S202" s="24">
        <f t="shared" si="408"/>
        <v>1195.75</v>
      </c>
      <c r="T202" s="24">
        <f t="shared" si="4"/>
        <v>21</v>
      </c>
      <c r="Z202" s="25">
        <f t="shared" si="12"/>
        <v>971.903932</v>
      </c>
      <c r="AA202" s="26"/>
    </row>
    <row r="203">
      <c r="A203" s="16" t="s">
        <v>6</v>
      </c>
      <c r="B203" s="17">
        <v>202.0</v>
      </c>
      <c r="C203" s="24">
        <f t="shared" si="5"/>
        <v>2723581.478</v>
      </c>
      <c r="D203" s="25">
        <v>0.05</v>
      </c>
      <c r="E203" s="24">
        <f t="shared" si="6"/>
        <v>267.6729766</v>
      </c>
      <c r="F203" s="25">
        <v>0.02</v>
      </c>
      <c r="G203" s="24">
        <f t="shared" si="7"/>
        <v>1815720.986</v>
      </c>
      <c r="H203" s="25">
        <v>0.05</v>
      </c>
      <c r="I203" s="24">
        <f t="shared" si="8"/>
        <v>535.3459533</v>
      </c>
      <c r="J203" s="25">
        <v>0.02</v>
      </c>
      <c r="K203" s="25">
        <v>0.0</v>
      </c>
      <c r="L203" s="24">
        <f t="shared" ref="L203:O203" si="409">IF(L202="", "", 1 + MROUND(IFERROR(MINIFS(OFFSET(L202, -1, 0, -$B203, 1), OFFSET(L202, -1, 0, -$B203, 1), "&gt;0"), L202) + (LN(1 + $Z203) ^ U$2) * U$3, 1))</f>
        <v>109015</v>
      </c>
      <c r="M203" s="24">
        <f t="shared" si="409"/>
        <v>9398</v>
      </c>
      <c r="N203" s="24">
        <f t="shared" si="409"/>
        <v>1004</v>
      </c>
      <c r="O203" s="24">
        <f t="shared" si="409"/>
        <v>4823</v>
      </c>
      <c r="P203" s="24">
        <f t="shared" ref="P203:S203" si="410">L203*$Y$2</f>
        <v>27253.75</v>
      </c>
      <c r="Q203" s="24">
        <f t="shared" si="410"/>
        <v>2349.5</v>
      </c>
      <c r="R203" s="24">
        <f t="shared" si="410"/>
        <v>251</v>
      </c>
      <c r="S203" s="24">
        <f t="shared" si="410"/>
        <v>1205.75</v>
      </c>
      <c r="T203" s="24">
        <f t="shared" si="4"/>
        <v>21</v>
      </c>
      <c r="Z203" s="25">
        <f t="shared" si="12"/>
        <v>1005.95557</v>
      </c>
      <c r="AA203" s="26"/>
    </row>
    <row r="204">
      <c r="A204" s="16" t="s">
        <v>6</v>
      </c>
      <c r="B204" s="17">
        <v>203.0</v>
      </c>
      <c r="C204" s="24">
        <f t="shared" si="5"/>
        <v>2859760.552</v>
      </c>
      <c r="D204" s="25">
        <v>0.05</v>
      </c>
      <c r="E204" s="24">
        <f t="shared" si="6"/>
        <v>273.0264362</v>
      </c>
      <c r="F204" s="25">
        <v>0.02</v>
      </c>
      <c r="G204" s="24">
        <f t="shared" si="7"/>
        <v>1906507.035</v>
      </c>
      <c r="H204" s="25">
        <v>0.05</v>
      </c>
      <c r="I204" s="24">
        <f t="shared" si="8"/>
        <v>546.0528723</v>
      </c>
      <c r="J204" s="25">
        <v>0.02</v>
      </c>
      <c r="K204" s="25">
        <v>0.0</v>
      </c>
      <c r="L204" s="24">
        <f t="shared" ref="L204:O204" si="411">IF(L203="", "", 1 + MROUND(IFERROR(MINIFS(OFFSET(L203, -1, 0, -$B204, 1), OFFSET(L203, -1, 0, -$B204, 1), "&gt;0"), L203) + (LN(1 + $Z204) ^ U$2) * U$3, 1))</f>
        <v>109987</v>
      </c>
      <c r="M204" s="24">
        <f t="shared" si="411"/>
        <v>9477</v>
      </c>
      <c r="N204" s="24">
        <f t="shared" si="411"/>
        <v>1044</v>
      </c>
      <c r="O204" s="24">
        <f t="shared" si="411"/>
        <v>4863</v>
      </c>
      <c r="P204" s="24">
        <f t="shared" ref="P204:S204" si="412">L204*$Y$2</f>
        <v>27496.75</v>
      </c>
      <c r="Q204" s="24">
        <f t="shared" si="412"/>
        <v>2369.25</v>
      </c>
      <c r="R204" s="24">
        <f t="shared" si="412"/>
        <v>261</v>
      </c>
      <c r="S204" s="24">
        <f t="shared" si="412"/>
        <v>1215.75</v>
      </c>
      <c r="T204" s="24">
        <f t="shared" si="4"/>
        <v>21</v>
      </c>
      <c r="Z204" s="25">
        <f t="shared" si="12"/>
        <v>1041.199015</v>
      </c>
      <c r="AA204" s="26"/>
    </row>
    <row r="205">
      <c r="A205" s="16" t="s">
        <v>6</v>
      </c>
      <c r="B205" s="17">
        <v>204.0</v>
      </c>
      <c r="C205" s="24">
        <f t="shared" si="5"/>
        <v>3002748.58</v>
      </c>
      <c r="D205" s="25">
        <v>0.05</v>
      </c>
      <c r="E205" s="24">
        <f t="shared" si="6"/>
        <v>278.4869649</v>
      </c>
      <c r="F205" s="25">
        <v>0.02</v>
      </c>
      <c r="G205" s="24">
        <f t="shared" si="7"/>
        <v>2001832.387</v>
      </c>
      <c r="H205" s="25">
        <v>0.05</v>
      </c>
      <c r="I205" s="24">
        <f t="shared" si="8"/>
        <v>556.9739298</v>
      </c>
      <c r="J205" s="25">
        <v>0.02</v>
      </c>
      <c r="K205" s="25">
        <v>0.0</v>
      </c>
      <c r="L205" s="24">
        <f t="shared" ref="L205:O205" si="413">IF(L204="", "", 1 + MROUND(IFERROR(MINIFS(OFFSET(L204, -1, 0, -$B205, 1), OFFSET(L204, -1, 0, -$B205, 1), "&gt;0"), L204) + (LN(1 + $Z205) ^ U$2) * U$3, 1))</f>
        <v>110963</v>
      </c>
      <c r="M205" s="24">
        <f t="shared" si="413"/>
        <v>9556</v>
      </c>
      <c r="N205" s="24">
        <f t="shared" si="413"/>
        <v>1084</v>
      </c>
      <c r="O205" s="24">
        <f t="shared" si="413"/>
        <v>4903</v>
      </c>
      <c r="P205" s="24">
        <f t="shared" ref="P205:S205" si="414">L205*$Y$2</f>
        <v>27740.75</v>
      </c>
      <c r="Q205" s="24">
        <f t="shared" si="414"/>
        <v>2389</v>
      </c>
      <c r="R205" s="24">
        <f t="shared" si="414"/>
        <v>271</v>
      </c>
      <c r="S205" s="24">
        <f t="shared" si="414"/>
        <v>1225.75</v>
      </c>
      <c r="T205" s="24">
        <f t="shared" si="4"/>
        <v>21</v>
      </c>
      <c r="Z205" s="25">
        <f t="shared" si="12"/>
        <v>1077.67598</v>
      </c>
      <c r="AA205" s="26"/>
    </row>
    <row r="206">
      <c r="A206" s="16" t="s">
        <v>6</v>
      </c>
      <c r="B206" s="17">
        <v>205.0</v>
      </c>
      <c r="C206" s="24">
        <f t="shared" si="5"/>
        <v>3152886.009</v>
      </c>
      <c r="D206" s="25">
        <v>0.05</v>
      </c>
      <c r="E206" s="24">
        <f t="shared" si="6"/>
        <v>284.0567042</v>
      </c>
      <c r="F206" s="25">
        <v>0.02</v>
      </c>
      <c r="G206" s="24">
        <f t="shared" si="7"/>
        <v>2101924.006</v>
      </c>
      <c r="H206" s="25">
        <v>0.05</v>
      </c>
      <c r="I206" s="24">
        <f t="shared" si="8"/>
        <v>568.1134084</v>
      </c>
      <c r="J206" s="25">
        <v>0.02</v>
      </c>
      <c r="K206" s="25">
        <v>0.0</v>
      </c>
      <c r="L206" s="24">
        <f t="shared" ref="L206:O206" si="415">IF(L205="", "", 1 + MROUND(IFERROR(MINIFS(OFFSET(L205, -1, 0, -$B206, 1), OFFSET(L205, -1, 0, -$B206, 1), "&gt;0"), L205) + (LN(1 + $Z206) ^ U$2) * U$3, 1))</f>
        <v>111942</v>
      </c>
      <c r="M206" s="24">
        <f t="shared" si="415"/>
        <v>9635</v>
      </c>
      <c r="N206" s="24">
        <f t="shared" si="415"/>
        <v>1124</v>
      </c>
      <c r="O206" s="24">
        <f t="shared" si="415"/>
        <v>4943</v>
      </c>
      <c r="P206" s="24">
        <f t="shared" ref="P206:S206" si="416">L206*$Y$2</f>
        <v>27985.5</v>
      </c>
      <c r="Q206" s="24">
        <f t="shared" si="416"/>
        <v>2408.75</v>
      </c>
      <c r="R206" s="24">
        <f t="shared" si="416"/>
        <v>281</v>
      </c>
      <c r="S206" s="24">
        <f t="shared" si="416"/>
        <v>1235.75</v>
      </c>
      <c r="T206" s="24">
        <f t="shared" si="4"/>
        <v>22</v>
      </c>
      <c r="Z206" s="25">
        <f t="shared" si="12"/>
        <v>1115.429639</v>
      </c>
      <c r="AA206" s="26"/>
    </row>
    <row r="207">
      <c r="A207" s="16" t="s">
        <v>6</v>
      </c>
      <c r="B207" s="17">
        <v>206.0</v>
      </c>
      <c r="C207" s="24">
        <f t="shared" si="5"/>
        <v>3310530.309</v>
      </c>
      <c r="D207" s="25">
        <v>0.05</v>
      </c>
      <c r="E207" s="24">
        <f t="shared" si="6"/>
        <v>289.7378383</v>
      </c>
      <c r="F207" s="25">
        <v>0.02</v>
      </c>
      <c r="G207" s="24">
        <f t="shared" si="7"/>
        <v>2207020.206</v>
      </c>
      <c r="H207" s="25">
        <v>0.05</v>
      </c>
      <c r="I207" s="24">
        <f t="shared" si="8"/>
        <v>579.4756765</v>
      </c>
      <c r="J207" s="25">
        <v>0.02</v>
      </c>
      <c r="K207" s="25">
        <v>0.0</v>
      </c>
      <c r="L207" s="24">
        <f t="shared" ref="L207:O207" si="417">IF(L206="", "", 1 + MROUND(IFERROR(MINIFS(OFFSET(L206, -1, 0, -$B207, 1), OFFSET(L206, -1, 0, -$B207, 1), "&gt;0"), L206) + (LN(1 + $Z207) ^ U$2) * U$3, 1))</f>
        <v>112924</v>
      </c>
      <c r="M207" s="24">
        <f t="shared" si="417"/>
        <v>9714</v>
      </c>
      <c r="N207" s="24">
        <f t="shared" si="417"/>
        <v>1164</v>
      </c>
      <c r="O207" s="24">
        <f t="shared" si="417"/>
        <v>4983</v>
      </c>
      <c r="P207" s="24">
        <f t="shared" ref="P207:S207" si="418">L207*$Y$2</f>
        <v>28231</v>
      </c>
      <c r="Q207" s="24">
        <f t="shared" si="418"/>
        <v>2428.5</v>
      </c>
      <c r="R207" s="24">
        <f t="shared" si="418"/>
        <v>291</v>
      </c>
      <c r="S207" s="24">
        <f t="shared" si="418"/>
        <v>1245.75</v>
      </c>
      <c r="T207" s="24">
        <f t="shared" si="4"/>
        <v>22</v>
      </c>
      <c r="Z207" s="25">
        <f t="shared" si="12"/>
        <v>1154.504677</v>
      </c>
      <c r="AA207" s="26"/>
    </row>
    <row r="208">
      <c r="A208" s="16" t="s">
        <v>6</v>
      </c>
      <c r="B208" s="17">
        <v>207.0</v>
      </c>
      <c r="C208" s="24">
        <f t="shared" si="5"/>
        <v>3476056.825</v>
      </c>
      <c r="D208" s="25">
        <v>0.05</v>
      </c>
      <c r="E208" s="24">
        <f t="shared" si="6"/>
        <v>295.532595</v>
      </c>
      <c r="F208" s="25">
        <v>0.02</v>
      </c>
      <c r="G208" s="24">
        <f t="shared" si="7"/>
        <v>2317371.217</v>
      </c>
      <c r="H208" s="25">
        <v>0.05</v>
      </c>
      <c r="I208" s="24">
        <f t="shared" si="8"/>
        <v>591.0651901</v>
      </c>
      <c r="J208" s="25">
        <v>0.02</v>
      </c>
      <c r="K208" s="25">
        <v>0.0</v>
      </c>
      <c r="L208" s="24">
        <f t="shared" ref="L208:O208" si="419">IF(L207="", "", 1 + MROUND(IFERROR(MINIFS(OFFSET(L207, -1, 0, -$B208, 1), OFFSET(L207, -1, 0, -$B208, 1), "&gt;0"), L207) + (LN(1 + $Z208) ^ U$2) * U$3, 1))</f>
        <v>113910</v>
      </c>
      <c r="M208" s="24">
        <f t="shared" si="419"/>
        <v>9794</v>
      </c>
      <c r="N208" s="24">
        <f t="shared" si="419"/>
        <v>1204</v>
      </c>
      <c r="O208" s="24">
        <f t="shared" si="419"/>
        <v>5023</v>
      </c>
      <c r="P208" s="24">
        <f t="shared" ref="P208:S208" si="420">L208*$Y$2</f>
        <v>28477.5</v>
      </c>
      <c r="Q208" s="24">
        <f t="shared" si="420"/>
        <v>2448.5</v>
      </c>
      <c r="R208" s="24">
        <f t="shared" si="420"/>
        <v>301</v>
      </c>
      <c r="S208" s="24">
        <f t="shared" si="420"/>
        <v>1255.75</v>
      </c>
      <c r="T208" s="24">
        <f t="shared" si="4"/>
        <v>22</v>
      </c>
      <c r="Z208" s="25">
        <f t="shared" si="12"/>
        <v>1194.94734</v>
      </c>
      <c r="AA208" s="26"/>
    </row>
    <row r="209">
      <c r="A209" s="16" t="s">
        <v>6</v>
      </c>
      <c r="B209" s="17">
        <v>208.0</v>
      </c>
      <c r="C209" s="24">
        <f t="shared" si="5"/>
        <v>3649859.666</v>
      </c>
      <c r="D209" s="25">
        <v>0.05</v>
      </c>
      <c r="E209" s="24">
        <f t="shared" si="6"/>
        <v>301.4432469</v>
      </c>
      <c r="F209" s="25">
        <v>0.02</v>
      </c>
      <c r="G209" s="24">
        <f t="shared" si="7"/>
        <v>2433239.777</v>
      </c>
      <c r="H209" s="25">
        <v>0.05</v>
      </c>
      <c r="I209" s="24">
        <f t="shared" si="8"/>
        <v>602.8864939</v>
      </c>
      <c r="J209" s="25">
        <v>0.02</v>
      </c>
      <c r="K209" s="25">
        <v>0.0</v>
      </c>
      <c r="L209" s="24">
        <f t="shared" ref="L209:O209" si="421">IF(L208="", "", 1 + MROUND(IFERROR(MINIFS(OFFSET(L208, -1, 0, -$B209, 1), OFFSET(L208, -1, 0, -$B209, 1), "&gt;0"), L208) + (LN(1 + $Z209) ^ U$2) * U$3, 1))</f>
        <v>114899</v>
      </c>
      <c r="M209" s="24">
        <f t="shared" si="421"/>
        <v>9874</v>
      </c>
      <c r="N209" s="24">
        <f t="shared" si="421"/>
        <v>1245</v>
      </c>
      <c r="O209" s="24">
        <f t="shared" si="421"/>
        <v>5064</v>
      </c>
      <c r="P209" s="24">
        <f t="shared" ref="P209:S209" si="422">L209*$Y$2</f>
        <v>28724.75</v>
      </c>
      <c r="Q209" s="24">
        <f t="shared" si="422"/>
        <v>2468.5</v>
      </c>
      <c r="R209" s="24">
        <f t="shared" si="422"/>
        <v>311.25</v>
      </c>
      <c r="S209" s="24">
        <f t="shared" si="422"/>
        <v>1266</v>
      </c>
      <c r="T209" s="24">
        <f t="shared" si="4"/>
        <v>22</v>
      </c>
      <c r="Z209" s="25">
        <f t="shared" si="12"/>
        <v>1236.805497</v>
      </c>
      <c r="AA209" s="26"/>
    </row>
    <row r="210">
      <c r="A210" s="16" t="s">
        <v>6</v>
      </c>
      <c r="B210" s="17">
        <v>209.0</v>
      </c>
      <c r="C210" s="24">
        <f t="shared" si="5"/>
        <v>3832352.649</v>
      </c>
      <c r="D210" s="25">
        <v>0.05</v>
      </c>
      <c r="E210" s="24">
        <f t="shared" si="6"/>
        <v>307.4721119</v>
      </c>
      <c r="F210" s="25">
        <v>0.02</v>
      </c>
      <c r="G210" s="24">
        <f t="shared" si="7"/>
        <v>2554901.766</v>
      </c>
      <c r="H210" s="25">
        <v>0.05</v>
      </c>
      <c r="I210" s="24">
        <f t="shared" si="8"/>
        <v>614.9442237</v>
      </c>
      <c r="J210" s="25">
        <v>0.02</v>
      </c>
      <c r="K210" s="25">
        <v>0.0</v>
      </c>
      <c r="L210" s="24">
        <f t="shared" ref="L210:O210" si="423">IF(L209="", "", 1 + MROUND(IFERROR(MINIFS(OFFSET(L209, -1, 0, -$B210, 1), OFFSET(L209, -1, 0, -$B210, 1), "&gt;0"), L209) + (LN(1 + $Z210) ^ U$2) * U$3, 1))</f>
        <v>115891</v>
      </c>
      <c r="M210" s="24">
        <f t="shared" si="423"/>
        <v>9954</v>
      </c>
      <c r="N210" s="24">
        <f t="shared" si="423"/>
        <v>1286</v>
      </c>
      <c r="O210" s="24">
        <f t="shared" si="423"/>
        <v>5105</v>
      </c>
      <c r="P210" s="24">
        <f t="shared" ref="P210:S210" si="424">L210*$Y$2</f>
        <v>28972.75</v>
      </c>
      <c r="Q210" s="24">
        <f t="shared" si="424"/>
        <v>2488.5</v>
      </c>
      <c r="R210" s="24">
        <f t="shared" si="424"/>
        <v>321.5</v>
      </c>
      <c r="S210" s="24">
        <f t="shared" si="424"/>
        <v>1276.25</v>
      </c>
      <c r="T210" s="24">
        <f t="shared" si="4"/>
        <v>22</v>
      </c>
      <c r="Z210" s="25">
        <f t="shared" si="12"/>
        <v>1280.12869</v>
      </c>
      <c r="AA210" s="26"/>
    </row>
    <row r="211">
      <c r="A211" s="16" t="s">
        <v>6</v>
      </c>
      <c r="B211" s="17">
        <v>210.0</v>
      </c>
      <c r="C211" s="24">
        <f t="shared" si="5"/>
        <v>4023970.282</v>
      </c>
      <c r="D211" s="25">
        <v>0.05</v>
      </c>
      <c r="E211" s="24">
        <f t="shared" si="6"/>
        <v>313.6215541</v>
      </c>
      <c r="F211" s="25">
        <v>0.02</v>
      </c>
      <c r="G211" s="24">
        <f t="shared" si="7"/>
        <v>2682646.855</v>
      </c>
      <c r="H211" s="25">
        <v>0.05</v>
      </c>
      <c r="I211" s="24">
        <f t="shared" si="8"/>
        <v>627.2431082</v>
      </c>
      <c r="J211" s="25">
        <v>0.02</v>
      </c>
      <c r="K211" s="25">
        <v>0.0</v>
      </c>
      <c r="L211" s="24">
        <f t="shared" ref="L211:O211" si="425">IF(L210="", "", 1 + MROUND(IFERROR(MINIFS(OFFSET(L210, -1, 0, -$B211, 1), OFFSET(L210, -1, 0, -$B211, 1), "&gt;0"), L210) + (LN(1 + $Z211) ^ U$2) * U$3, 1))</f>
        <v>116887</v>
      </c>
      <c r="M211" s="24">
        <f t="shared" si="425"/>
        <v>10035</v>
      </c>
      <c r="N211" s="24">
        <f t="shared" si="425"/>
        <v>1327</v>
      </c>
      <c r="O211" s="24">
        <f t="shared" si="425"/>
        <v>5146</v>
      </c>
      <c r="P211" s="24">
        <f t="shared" ref="P211:S211" si="426">L211*$Y$2</f>
        <v>29221.75</v>
      </c>
      <c r="Q211" s="24">
        <f t="shared" si="426"/>
        <v>2508.75</v>
      </c>
      <c r="R211" s="24">
        <f t="shared" si="426"/>
        <v>331.75</v>
      </c>
      <c r="S211" s="24">
        <f t="shared" si="426"/>
        <v>1286.5</v>
      </c>
      <c r="T211" s="24">
        <f t="shared" si="4"/>
        <v>22</v>
      </c>
      <c r="Z211" s="25">
        <f t="shared" si="12"/>
        <v>1324.968194</v>
      </c>
      <c r="AA211" s="26"/>
    </row>
    <row r="212">
      <c r="A212" s="16" t="s">
        <v>6</v>
      </c>
      <c r="B212" s="17">
        <v>211.0</v>
      </c>
      <c r="C212" s="24">
        <f t="shared" si="5"/>
        <v>4225168.796</v>
      </c>
      <c r="D212" s="25">
        <v>0.05</v>
      </c>
      <c r="E212" s="24">
        <f t="shared" si="6"/>
        <v>319.8939852</v>
      </c>
      <c r="F212" s="25">
        <v>0.02</v>
      </c>
      <c r="G212" s="24">
        <f t="shared" si="7"/>
        <v>2816779.197</v>
      </c>
      <c r="H212" s="25">
        <v>0.05</v>
      </c>
      <c r="I212" s="24">
        <f t="shared" si="8"/>
        <v>639.7879704</v>
      </c>
      <c r="J212" s="25">
        <v>0.02</v>
      </c>
      <c r="K212" s="25">
        <v>0.0</v>
      </c>
      <c r="L212" s="24">
        <f t="shared" ref="L212:O212" si="427">IF(L211="", "", 1 + MROUND(IFERROR(MINIFS(OFFSET(L211, -1, 0, -$B212, 1), OFFSET(L211, -1, 0, -$B212, 1), "&gt;0"), L211) + (LN(1 + $Z212) ^ U$2) * U$3, 1))</f>
        <v>117886</v>
      </c>
      <c r="M212" s="24">
        <f t="shared" si="427"/>
        <v>10116</v>
      </c>
      <c r="N212" s="24">
        <f t="shared" si="427"/>
        <v>1368</v>
      </c>
      <c r="O212" s="24">
        <f t="shared" si="427"/>
        <v>5187</v>
      </c>
      <c r="P212" s="24">
        <f t="shared" ref="P212:S212" si="428">L212*$Y$2</f>
        <v>29471.5</v>
      </c>
      <c r="Q212" s="24">
        <f t="shared" si="428"/>
        <v>2529</v>
      </c>
      <c r="R212" s="24">
        <f t="shared" si="428"/>
        <v>342</v>
      </c>
      <c r="S212" s="24">
        <f t="shared" si="428"/>
        <v>1296.75</v>
      </c>
      <c r="T212" s="24">
        <f t="shared" si="4"/>
        <v>22</v>
      </c>
      <c r="Z212" s="25">
        <f t="shared" si="12"/>
        <v>1371.377081</v>
      </c>
      <c r="AA212" s="26"/>
    </row>
    <row r="213">
      <c r="A213" s="16" t="s">
        <v>6</v>
      </c>
      <c r="B213" s="17">
        <v>212.0</v>
      </c>
      <c r="C213" s="24">
        <f t="shared" si="5"/>
        <v>4436427.236</v>
      </c>
      <c r="D213" s="25">
        <v>0.05</v>
      </c>
      <c r="E213" s="24">
        <f t="shared" si="6"/>
        <v>326.2918649</v>
      </c>
      <c r="F213" s="25">
        <v>0.02</v>
      </c>
      <c r="G213" s="24">
        <f t="shared" si="7"/>
        <v>2957618.157</v>
      </c>
      <c r="H213" s="25">
        <v>0.05</v>
      </c>
      <c r="I213" s="24">
        <f t="shared" si="8"/>
        <v>652.5837298</v>
      </c>
      <c r="J213" s="25">
        <v>0.02</v>
      </c>
      <c r="K213" s="25">
        <v>0.0</v>
      </c>
      <c r="L213" s="24">
        <f t="shared" ref="L213:O213" si="429">IF(L212="", "", 1 + MROUND(IFERROR(MINIFS(OFFSET(L212, -1, 0, -$B213, 1), OFFSET(L212, -1, 0, -$B213, 1), "&gt;0"), L212) + (LN(1 + $Z213) ^ U$2) * U$3, 1))</f>
        <v>118888</v>
      </c>
      <c r="M213" s="24">
        <f t="shared" si="429"/>
        <v>10197</v>
      </c>
      <c r="N213" s="24">
        <f t="shared" si="429"/>
        <v>1409</v>
      </c>
      <c r="O213" s="24">
        <f t="shared" si="429"/>
        <v>5228</v>
      </c>
      <c r="P213" s="24">
        <f t="shared" ref="P213:S213" si="430">L213*$Y$2</f>
        <v>29722</v>
      </c>
      <c r="Q213" s="24">
        <f t="shared" si="430"/>
        <v>2549.25</v>
      </c>
      <c r="R213" s="24">
        <f t="shared" si="430"/>
        <v>352.25</v>
      </c>
      <c r="S213" s="24">
        <f t="shared" si="430"/>
        <v>1307</v>
      </c>
      <c r="T213" s="24">
        <f t="shared" si="4"/>
        <v>22</v>
      </c>
      <c r="Z213" s="25">
        <f t="shared" si="12"/>
        <v>1419.410278</v>
      </c>
      <c r="AA213" s="26"/>
    </row>
    <row r="214">
      <c r="A214" s="16" t="s">
        <v>6</v>
      </c>
      <c r="B214" s="17">
        <v>213.0</v>
      </c>
      <c r="C214" s="24">
        <f t="shared" si="5"/>
        <v>4658248.598</v>
      </c>
      <c r="D214" s="25">
        <v>0.05</v>
      </c>
      <c r="E214" s="24">
        <f t="shared" si="6"/>
        <v>332.8177022</v>
      </c>
      <c r="F214" s="25">
        <v>0.02</v>
      </c>
      <c r="G214" s="24">
        <f t="shared" si="7"/>
        <v>3105499.065</v>
      </c>
      <c r="H214" s="25">
        <v>0.05</v>
      </c>
      <c r="I214" s="24">
        <f t="shared" si="8"/>
        <v>665.6354044</v>
      </c>
      <c r="J214" s="25">
        <v>0.02</v>
      </c>
      <c r="K214" s="25">
        <v>0.0</v>
      </c>
      <c r="L214" s="24">
        <f t="shared" ref="L214:O214" si="431">IF(L213="", "", 1 + MROUND(IFERROR(MINIFS(OFFSET(L213, -1, 0, -$B214, 1), OFFSET(L213, -1, 0, -$B214, 1), "&gt;0"), L213) + (LN(1 + $Z214) ^ U$2) * U$3, 1))</f>
        <v>119894</v>
      </c>
      <c r="M214" s="24">
        <f t="shared" si="431"/>
        <v>10278</v>
      </c>
      <c r="N214" s="24">
        <f t="shared" si="431"/>
        <v>1450</v>
      </c>
      <c r="O214" s="24">
        <f t="shared" si="431"/>
        <v>5269</v>
      </c>
      <c r="P214" s="24">
        <f t="shared" ref="P214:S214" si="432">L214*$Y$2</f>
        <v>29973.5</v>
      </c>
      <c r="Q214" s="24">
        <f t="shared" si="432"/>
        <v>2569.5</v>
      </c>
      <c r="R214" s="24">
        <f t="shared" si="432"/>
        <v>362.5</v>
      </c>
      <c r="S214" s="24">
        <f t="shared" si="432"/>
        <v>1317.25</v>
      </c>
      <c r="T214" s="24">
        <f t="shared" si="4"/>
        <v>22</v>
      </c>
      <c r="Z214" s="25">
        <f t="shared" si="12"/>
        <v>1469.124638</v>
      </c>
      <c r="AA214" s="26"/>
    </row>
    <row r="215">
      <c r="A215" s="16" t="s">
        <v>6</v>
      </c>
      <c r="B215" s="17">
        <v>214.0</v>
      </c>
      <c r="C215" s="24">
        <f t="shared" si="5"/>
        <v>4891161.027</v>
      </c>
      <c r="D215" s="25">
        <v>0.05</v>
      </c>
      <c r="E215" s="24">
        <f t="shared" si="6"/>
        <v>339.4740562</v>
      </c>
      <c r="F215" s="25">
        <v>0.02</v>
      </c>
      <c r="G215" s="24">
        <f t="shared" si="7"/>
        <v>3260774.018</v>
      </c>
      <c r="H215" s="25">
        <v>0.05</v>
      </c>
      <c r="I215" s="24">
        <f t="shared" si="8"/>
        <v>678.9481125</v>
      </c>
      <c r="J215" s="25">
        <v>0.02</v>
      </c>
      <c r="K215" s="25">
        <v>0.0</v>
      </c>
      <c r="L215" s="24">
        <f t="shared" ref="L215:O215" si="433">IF(L214="", "", 1 + MROUND(IFERROR(MINIFS(OFFSET(L214, -1, 0, -$B215, 1), OFFSET(L214, -1, 0, -$B215, 1), "&gt;0"), L214) + (LN(1 + $Z215) ^ U$2) * U$3, 1))</f>
        <v>120903</v>
      </c>
      <c r="M215" s="24">
        <f t="shared" si="433"/>
        <v>10360</v>
      </c>
      <c r="N215" s="24">
        <f t="shared" si="433"/>
        <v>1491</v>
      </c>
      <c r="O215" s="24">
        <f t="shared" si="433"/>
        <v>5310</v>
      </c>
      <c r="P215" s="24">
        <f t="shared" ref="P215:S215" si="434">L215*$Y$2</f>
        <v>30225.75</v>
      </c>
      <c r="Q215" s="24">
        <f t="shared" si="434"/>
        <v>2590</v>
      </c>
      <c r="R215" s="24">
        <f t="shared" si="434"/>
        <v>372.75</v>
      </c>
      <c r="S215" s="24">
        <f t="shared" si="434"/>
        <v>1327.5</v>
      </c>
      <c r="T215" s="24">
        <f t="shared" si="4"/>
        <v>22</v>
      </c>
      <c r="Z215" s="25">
        <f t="shared" si="12"/>
        <v>1520.579001</v>
      </c>
      <c r="AA215" s="26"/>
    </row>
    <row r="216">
      <c r="A216" s="16" t="s">
        <v>6</v>
      </c>
      <c r="B216" s="17">
        <v>215.0</v>
      </c>
      <c r="C216" s="24">
        <f t="shared" si="5"/>
        <v>5135719.079</v>
      </c>
      <c r="D216" s="25">
        <v>0.05</v>
      </c>
      <c r="E216" s="24">
        <f t="shared" si="6"/>
        <v>346.2635374</v>
      </c>
      <c r="F216" s="25">
        <v>0.02</v>
      </c>
      <c r="G216" s="24">
        <f t="shared" si="7"/>
        <v>3423812.719</v>
      </c>
      <c r="H216" s="25">
        <v>0.05</v>
      </c>
      <c r="I216" s="24">
        <f t="shared" si="8"/>
        <v>692.5270747</v>
      </c>
      <c r="J216" s="25">
        <v>0.02</v>
      </c>
      <c r="K216" s="25">
        <v>0.0</v>
      </c>
      <c r="L216" s="24">
        <f t="shared" ref="L216:O216" si="435">IF(L215="", "", 1 + MROUND(IFERROR(MINIFS(OFFSET(L215, -1, 0, -$B216, 1), OFFSET(L215, -1, 0, -$B216, 1), "&gt;0"), L215) + (LN(1 + $Z216) ^ U$2) * U$3, 1))</f>
        <v>121915</v>
      </c>
      <c r="M216" s="24">
        <f t="shared" si="435"/>
        <v>10442</v>
      </c>
      <c r="N216" s="24">
        <f t="shared" si="435"/>
        <v>1532</v>
      </c>
      <c r="O216" s="24">
        <f t="shared" si="435"/>
        <v>5351</v>
      </c>
      <c r="P216" s="24">
        <f t="shared" ref="P216:S216" si="436">L216*$Y$2</f>
        <v>30478.75</v>
      </c>
      <c r="Q216" s="24">
        <f t="shared" si="436"/>
        <v>2610.5</v>
      </c>
      <c r="R216" s="24">
        <f t="shared" si="436"/>
        <v>383</v>
      </c>
      <c r="S216" s="24">
        <f t="shared" si="436"/>
        <v>1337.75</v>
      </c>
      <c r="T216" s="24">
        <f t="shared" si="4"/>
        <v>23</v>
      </c>
      <c r="Z216" s="25">
        <f t="shared" si="12"/>
        <v>1573.834266</v>
      </c>
      <c r="AA216" s="26"/>
    </row>
    <row r="217">
      <c r="A217" s="16" t="s">
        <v>6</v>
      </c>
      <c r="B217" s="17">
        <v>216.0</v>
      </c>
      <c r="C217" s="24">
        <f t="shared" si="5"/>
        <v>5392505.033</v>
      </c>
      <c r="D217" s="25">
        <v>0.05</v>
      </c>
      <c r="E217" s="24">
        <f t="shared" si="6"/>
        <v>353.1888081</v>
      </c>
      <c r="F217" s="25">
        <v>0.02</v>
      </c>
      <c r="G217" s="24">
        <f t="shared" si="7"/>
        <v>3595003.355</v>
      </c>
      <c r="H217" s="25">
        <v>0.05</v>
      </c>
      <c r="I217" s="24">
        <f t="shared" si="8"/>
        <v>706.3776162</v>
      </c>
      <c r="J217" s="25">
        <v>0.02</v>
      </c>
      <c r="K217" s="25">
        <v>0.0</v>
      </c>
      <c r="L217" s="24">
        <f t="shared" ref="L217:O217" si="437">IF(L216="", "", 1 + MROUND(IFERROR(MINIFS(OFFSET(L216, -1, 0, -$B217, 1), OFFSET(L216, -1, 0, -$B217, 1), "&gt;0"), L216) + (LN(1 + $Z217) ^ U$2) * U$3, 1))</f>
        <v>122930</v>
      </c>
      <c r="M217" s="24">
        <f t="shared" si="437"/>
        <v>10524</v>
      </c>
      <c r="N217" s="24">
        <f t="shared" si="437"/>
        <v>1574</v>
      </c>
      <c r="O217" s="24">
        <f t="shared" si="437"/>
        <v>5393</v>
      </c>
      <c r="P217" s="24">
        <f t="shared" ref="P217:S217" si="438">L217*$Y$2</f>
        <v>30732.5</v>
      </c>
      <c r="Q217" s="24">
        <f t="shared" si="438"/>
        <v>2631</v>
      </c>
      <c r="R217" s="24">
        <f t="shared" si="438"/>
        <v>393.5</v>
      </c>
      <c r="S217" s="24">
        <f t="shared" si="438"/>
        <v>1348.25</v>
      </c>
      <c r="T217" s="24">
        <f t="shared" si="4"/>
        <v>23</v>
      </c>
      <c r="Z217" s="25">
        <f t="shared" si="12"/>
        <v>1628.953465</v>
      </c>
      <c r="AA217" s="26"/>
    </row>
    <row r="218">
      <c r="A218" s="16" t="s">
        <v>6</v>
      </c>
      <c r="B218" s="17">
        <v>217.0</v>
      </c>
      <c r="C218" s="24">
        <f t="shared" si="5"/>
        <v>5662130.284</v>
      </c>
      <c r="D218" s="25">
        <v>0.05</v>
      </c>
      <c r="E218" s="24">
        <f t="shared" si="6"/>
        <v>360.2525843</v>
      </c>
      <c r="F218" s="25">
        <v>0.02</v>
      </c>
      <c r="G218" s="24">
        <f t="shared" si="7"/>
        <v>3774753.523</v>
      </c>
      <c r="H218" s="25">
        <v>0.05</v>
      </c>
      <c r="I218" s="24">
        <f t="shared" si="8"/>
        <v>720.5051685</v>
      </c>
      <c r="J218" s="25">
        <v>0.02</v>
      </c>
      <c r="K218" s="25">
        <v>0.0</v>
      </c>
      <c r="L218" s="24">
        <f t="shared" ref="L218:O218" si="439">IF(L217="", "", 1 + MROUND(IFERROR(MINIFS(OFFSET(L217, -1, 0, -$B218, 1), OFFSET(L217, -1, 0, -$B218, 1), "&gt;0"), L217) + (LN(1 + $Z218) ^ U$2) * U$3, 1))</f>
        <v>123949</v>
      </c>
      <c r="M218" s="24">
        <f t="shared" si="439"/>
        <v>10606</v>
      </c>
      <c r="N218" s="24">
        <f t="shared" si="439"/>
        <v>1616</v>
      </c>
      <c r="O218" s="24">
        <f t="shared" si="439"/>
        <v>5435</v>
      </c>
      <c r="P218" s="24">
        <f t="shared" ref="P218:S218" si="440">L218*$Y$2</f>
        <v>30987.25</v>
      </c>
      <c r="Q218" s="24">
        <f t="shared" si="440"/>
        <v>2651.5</v>
      </c>
      <c r="R218" s="24">
        <f t="shared" si="440"/>
        <v>404</v>
      </c>
      <c r="S218" s="24">
        <f t="shared" si="440"/>
        <v>1358.75</v>
      </c>
      <c r="T218" s="24">
        <f t="shared" si="4"/>
        <v>23</v>
      </c>
      <c r="Z218" s="25">
        <f t="shared" si="12"/>
        <v>1686.001836</v>
      </c>
      <c r="AA218" s="26"/>
    </row>
    <row r="219">
      <c r="A219" s="16" t="s">
        <v>6</v>
      </c>
      <c r="B219" s="17">
        <v>218.0</v>
      </c>
      <c r="C219" s="24">
        <f t="shared" si="5"/>
        <v>5945236.799</v>
      </c>
      <c r="D219" s="25">
        <v>0.05</v>
      </c>
      <c r="E219" s="24">
        <f t="shared" si="6"/>
        <v>367.457636</v>
      </c>
      <c r="F219" s="25">
        <v>0.02</v>
      </c>
      <c r="G219" s="24">
        <f t="shared" si="7"/>
        <v>3963491.199</v>
      </c>
      <c r="H219" s="25">
        <v>0.05</v>
      </c>
      <c r="I219" s="24">
        <f t="shared" si="8"/>
        <v>734.9152719</v>
      </c>
      <c r="J219" s="25">
        <v>0.02</v>
      </c>
      <c r="K219" s="25">
        <v>0.0</v>
      </c>
      <c r="L219" s="24">
        <f t="shared" ref="L219:O219" si="441">IF(L218="", "", 1 + MROUND(IFERROR(MINIFS(OFFSET(L218, -1, 0, -$B219, 1), OFFSET(L218, -1, 0, -$B219, 1), "&gt;0"), L218) + (LN(1 + $Z219) ^ U$2) * U$3, 1))</f>
        <v>124971</v>
      </c>
      <c r="M219" s="24">
        <f t="shared" si="441"/>
        <v>10689</v>
      </c>
      <c r="N219" s="24">
        <f t="shared" si="441"/>
        <v>1658</v>
      </c>
      <c r="O219" s="24">
        <f t="shared" si="441"/>
        <v>5477</v>
      </c>
      <c r="P219" s="24">
        <f t="shared" ref="P219:S219" si="442">L219*$Y$2</f>
        <v>31242.75</v>
      </c>
      <c r="Q219" s="24">
        <f t="shared" si="442"/>
        <v>2672.25</v>
      </c>
      <c r="R219" s="24">
        <f t="shared" si="442"/>
        <v>414.5</v>
      </c>
      <c r="S219" s="24">
        <f t="shared" si="442"/>
        <v>1369.25</v>
      </c>
      <c r="T219" s="24">
        <f t="shared" si="4"/>
        <v>23</v>
      </c>
      <c r="Z219" s="25">
        <f t="shared" si="12"/>
        <v>1745.0469</v>
      </c>
      <c r="AA219" s="26"/>
    </row>
    <row r="220">
      <c r="A220" s="16" t="s">
        <v>6</v>
      </c>
      <c r="B220" s="17">
        <v>219.0</v>
      </c>
      <c r="C220" s="24">
        <f t="shared" si="5"/>
        <v>6242498.638</v>
      </c>
      <c r="D220" s="25">
        <v>0.05</v>
      </c>
      <c r="E220" s="24">
        <f t="shared" si="6"/>
        <v>374.8067887</v>
      </c>
      <c r="F220" s="25">
        <v>0.02</v>
      </c>
      <c r="G220" s="24">
        <f t="shared" si="7"/>
        <v>4161665.759</v>
      </c>
      <c r="H220" s="25">
        <v>0.05</v>
      </c>
      <c r="I220" s="24">
        <f t="shared" si="8"/>
        <v>749.6135774</v>
      </c>
      <c r="J220" s="25">
        <v>0.02</v>
      </c>
      <c r="K220" s="25">
        <v>0.0</v>
      </c>
      <c r="L220" s="24">
        <f t="shared" ref="L220:O220" si="443">IF(L219="", "", 1 + MROUND(IFERROR(MINIFS(OFFSET(L219, -1, 0, -$B220, 1), OFFSET(L219, -1, 0, -$B220, 1), "&gt;0"), L219) + (LN(1 + $Z220) ^ U$2) * U$3, 1))</f>
        <v>125996</v>
      </c>
      <c r="M220" s="24">
        <f t="shared" si="443"/>
        <v>10772</v>
      </c>
      <c r="N220" s="24">
        <f t="shared" si="443"/>
        <v>1700</v>
      </c>
      <c r="O220" s="24">
        <f t="shared" si="443"/>
        <v>5519</v>
      </c>
      <c r="P220" s="24">
        <f t="shared" ref="P220:S220" si="444">L220*$Y$2</f>
        <v>31499</v>
      </c>
      <c r="Q220" s="24">
        <f t="shared" si="444"/>
        <v>2693</v>
      </c>
      <c r="R220" s="24">
        <f t="shared" si="444"/>
        <v>425</v>
      </c>
      <c r="S220" s="24">
        <f t="shared" si="444"/>
        <v>1379.75</v>
      </c>
      <c r="T220" s="24">
        <f t="shared" si="4"/>
        <v>23</v>
      </c>
      <c r="Z220" s="25">
        <f t="shared" si="12"/>
        <v>1806.158542</v>
      </c>
      <c r="AA220" s="26"/>
    </row>
    <row r="221">
      <c r="A221" s="16" t="s">
        <v>6</v>
      </c>
      <c r="B221" s="17">
        <v>220.0</v>
      </c>
      <c r="C221" s="24">
        <f t="shared" si="5"/>
        <v>6554623.57</v>
      </c>
      <c r="D221" s="25">
        <v>0.05</v>
      </c>
      <c r="E221" s="24">
        <f t="shared" si="6"/>
        <v>382.3029245</v>
      </c>
      <c r="F221" s="25">
        <v>0.02</v>
      </c>
      <c r="G221" s="24">
        <f t="shared" si="7"/>
        <v>4369749.047</v>
      </c>
      <c r="H221" s="25">
        <v>0.05</v>
      </c>
      <c r="I221" s="24">
        <f t="shared" si="8"/>
        <v>764.6058489</v>
      </c>
      <c r="J221" s="25">
        <v>0.02</v>
      </c>
      <c r="K221" s="25">
        <v>0.0</v>
      </c>
      <c r="L221" s="24">
        <f t="shared" ref="L221:O221" si="445">IF(L220="", "", 1 + MROUND(IFERROR(MINIFS(OFFSET(L220, -1, 0, -$B221, 1), OFFSET(L220, -1, 0, -$B221, 1), "&gt;0"), L220) + (LN(1 + $Z221) ^ U$2) * U$3, 1))</f>
        <v>127025</v>
      </c>
      <c r="M221" s="24">
        <f t="shared" si="445"/>
        <v>10855</v>
      </c>
      <c r="N221" s="24">
        <f t="shared" si="445"/>
        <v>1742</v>
      </c>
      <c r="O221" s="24">
        <f t="shared" si="445"/>
        <v>5561</v>
      </c>
      <c r="P221" s="24">
        <f t="shared" ref="P221:S221" si="446">L221*$Y$2</f>
        <v>31756.25</v>
      </c>
      <c r="Q221" s="24">
        <f t="shared" si="446"/>
        <v>2713.75</v>
      </c>
      <c r="R221" s="24">
        <f t="shared" si="446"/>
        <v>435.5</v>
      </c>
      <c r="S221" s="24">
        <f t="shared" si="446"/>
        <v>1390.25</v>
      </c>
      <c r="T221" s="24">
        <f t="shared" si="4"/>
        <v>23</v>
      </c>
      <c r="Z221" s="25">
        <f t="shared" si="12"/>
        <v>1869.409091</v>
      </c>
      <c r="AA221" s="26"/>
    </row>
    <row r="222">
      <c r="A222" s="16" t="s">
        <v>6</v>
      </c>
      <c r="B222" s="17">
        <v>221.0</v>
      </c>
      <c r="C222" s="24">
        <f t="shared" si="5"/>
        <v>6882354.749</v>
      </c>
      <c r="D222" s="25">
        <v>0.05</v>
      </c>
      <c r="E222" s="24">
        <f t="shared" si="6"/>
        <v>389.9489829</v>
      </c>
      <c r="F222" s="25">
        <v>0.02</v>
      </c>
      <c r="G222" s="24">
        <f t="shared" si="7"/>
        <v>4588236.499</v>
      </c>
      <c r="H222" s="25">
        <v>0.05</v>
      </c>
      <c r="I222" s="24">
        <f t="shared" si="8"/>
        <v>779.8979659</v>
      </c>
      <c r="J222" s="25">
        <v>0.02</v>
      </c>
      <c r="K222" s="25">
        <v>0.0</v>
      </c>
      <c r="L222" s="24">
        <f t="shared" ref="L222:O222" si="447">IF(L221="", "", 1 + MROUND(IFERROR(MINIFS(OFFSET(L221, -1, 0, -$B222, 1), OFFSET(L221, -1, 0, -$B222, 1), "&gt;0"), L221) + (LN(1 + $Z222) ^ U$2) * U$3, 1))</f>
        <v>128057</v>
      </c>
      <c r="M222" s="24">
        <f t="shared" si="447"/>
        <v>10938</v>
      </c>
      <c r="N222" s="24">
        <f t="shared" si="447"/>
        <v>1784</v>
      </c>
      <c r="O222" s="24">
        <f t="shared" si="447"/>
        <v>5603</v>
      </c>
      <c r="P222" s="24">
        <f t="shared" ref="P222:S222" si="448">L222*$Y$2</f>
        <v>32014.25</v>
      </c>
      <c r="Q222" s="24">
        <f t="shared" si="448"/>
        <v>2734.5</v>
      </c>
      <c r="R222" s="24">
        <f t="shared" si="448"/>
        <v>446</v>
      </c>
      <c r="S222" s="24">
        <f t="shared" si="448"/>
        <v>1400.75</v>
      </c>
      <c r="T222" s="24">
        <f t="shared" si="4"/>
        <v>23</v>
      </c>
      <c r="Z222" s="25">
        <f t="shared" si="12"/>
        <v>1934.873409</v>
      </c>
      <c r="AA222" s="26"/>
    </row>
    <row r="223">
      <c r="A223" s="16" t="s">
        <v>6</v>
      </c>
      <c r="B223" s="17">
        <v>222.0</v>
      </c>
      <c r="C223" s="24">
        <f t="shared" si="5"/>
        <v>7226472.486</v>
      </c>
      <c r="D223" s="25">
        <v>0.05</v>
      </c>
      <c r="E223" s="24">
        <f t="shared" si="6"/>
        <v>397.7479626</v>
      </c>
      <c r="F223" s="25">
        <v>0.02</v>
      </c>
      <c r="G223" s="24">
        <f t="shared" si="7"/>
        <v>4817648.324</v>
      </c>
      <c r="H223" s="25">
        <v>0.05</v>
      </c>
      <c r="I223" s="24">
        <f t="shared" si="8"/>
        <v>795.4959252</v>
      </c>
      <c r="J223" s="25">
        <v>0.02</v>
      </c>
      <c r="K223" s="25">
        <v>0.0</v>
      </c>
      <c r="L223" s="24">
        <f t="shared" ref="L223:O223" si="449">IF(L222="", "", 1 + MROUND(IFERROR(MINIFS(OFFSET(L222, -1, 0, -$B223, 1), OFFSET(L222, -1, 0, -$B223, 1), "&gt;0"), L222) + (LN(1 + $Z223) ^ U$2) * U$3, 1))</f>
        <v>129092</v>
      </c>
      <c r="M223" s="24">
        <f t="shared" si="449"/>
        <v>11022</v>
      </c>
      <c r="N223" s="24">
        <f t="shared" si="449"/>
        <v>1826</v>
      </c>
      <c r="O223" s="24">
        <f t="shared" si="449"/>
        <v>5645</v>
      </c>
      <c r="P223" s="24">
        <f t="shared" ref="P223:S223" si="450">L223*$Y$2</f>
        <v>32273</v>
      </c>
      <c r="Q223" s="24">
        <f t="shared" si="450"/>
        <v>2755.5</v>
      </c>
      <c r="R223" s="24">
        <f t="shared" si="450"/>
        <v>456.5</v>
      </c>
      <c r="S223" s="24">
        <f t="shared" si="450"/>
        <v>1411.25</v>
      </c>
      <c r="T223" s="24">
        <f t="shared" si="4"/>
        <v>23</v>
      </c>
      <c r="Z223" s="25">
        <f t="shared" si="12"/>
        <v>2002.628978</v>
      </c>
      <c r="AA223" s="26"/>
    </row>
    <row r="224">
      <c r="A224" s="16" t="s">
        <v>6</v>
      </c>
      <c r="B224" s="17">
        <v>223.0</v>
      </c>
      <c r="C224" s="24">
        <f t="shared" si="5"/>
        <v>7587796.111</v>
      </c>
      <c r="D224" s="25">
        <v>0.05</v>
      </c>
      <c r="E224" s="24">
        <f t="shared" si="6"/>
        <v>405.7029219</v>
      </c>
      <c r="F224" s="25">
        <v>0.02</v>
      </c>
      <c r="G224" s="24">
        <f t="shared" si="7"/>
        <v>5058530.74</v>
      </c>
      <c r="H224" s="25">
        <v>0.05</v>
      </c>
      <c r="I224" s="24">
        <f t="shared" si="8"/>
        <v>811.4058437</v>
      </c>
      <c r="J224" s="25">
        <v>0.02</v>
      </c>
      <c r="K224" s="25">
        <v>0.0</v>
      </c>
      <c r="L224" s="24">
        <f t="shared" ref="L224:O224" si="451">IF(L223="", "", 1 + MROUND(IFERROR(MINIFS(OFFSET(L223, -1, 0, -$B224, 1), OFFSET(L223, -1, 0, -$B224, 1), "&gt;0"), L223) + (LN(1 + $Z224) ^ U$2) * U$3, 1))</f>
        <v>130131</v>
      </c>
      <c r="M224" s="24">
        <f t="shared" si="451"/>
        <v>11106</v>
      </c>
      <c r="N224" s="24">
        <f t="shared" si="451"/>
        <v>1869</v>
      </c>
      <c r="O224" s="24">
        <f t="shared" si="451"/>
        <v>5688</v>
      </c>
      <c r="P224" s="24">
        <f t="shared" ref="P224:S224" si="452">L224*$Y$2</f>
        <v>32532.75</v>
      </c>
      <c r="Q224" s="24">
        <f t="shared" si="452"/>
        <v>2776.5</v>
      </c>
      <c r="R224" s="24">
        <f t="shared" si="452"/>
        <v>467.25</v>
      </c>
      <c r="S224" s="24">
        <f t="shared" si="452"/>
        <v>1422</v>
      </c>
      <c r="T224" s="24">
        <f t="shared" si="4"/>
        <v>23</v>
      </c>
      <c r="Z224" s="25">
        <f t="shared" si="12"/>
        <v>2072.755993</v>
      </c>
      <c r="AA224" s="26"/>
    </row>
    <row r="225">
      <c r="A225" s="16" t="s">
        <v>6</v>
      </c>
      <c r="B225" s="17">
        <v>224.0</v>
      </c>
      <c r="C225" s="24">
        <f t="shared" si="5"/>
        <v>7967185.916</v>
      </c>
      <c r="D225" s="25">
        <v>0.05</v>
      </c>
      <c r="E225" s="24">
        <f t="shared" si="6"/>
        <v>413.8169803</v>
      </c>
      <c r="F225" s="25">
        <v>0.02</v>
      </c>
      <c r="G225" s="24">
        <f t="shared" si="7"/>
        <v>5311457.277</v>
      </c>
      <c r="H225" s="25">
        <v>0.05</v>
      </c>
      <c r="I225" s="24">
        <f t="shared" si="8"/>
        <v>827.6339606</v>
      </c>
      <c r="J225" s="25">
        <v>0.02</v>
      </c>
      <c r="K225" s="25">
        <v>0.0</v>
      </c>
      <c r="L225" s="24">
        <f t="shared" ref="L225:O225" si="453">IF(L224="", "", 1 + MROUND(IFERROR(MINIFS(OFFSET(L224, -1, 0, -$B225, 1), OFFSET(L224, -1, 0, -$B225, 1), "&gt;0"), L224) + (LN(1 + $Z225) ^ U$2) * U$3, 1))</f>
        <v>131173</v>
      </c>
      <c r="M225" s="24">
        <f t="shared" si="453"/>
        <v>11190</v>
      </c>
      <c r="N225" s="24">
        <f t="shared" si="453"/>
        <v>1912</v>
      </c>
      <c r="O225" s="24">
        <f t="shared" si="453"/>
        <v>5731</v>
      </c>
      <c r="P225" s="24">
        <f t="shared" ref="P225:S225" si="454">L225*$Y$2</f>
        <v>32793.25</v>
      </c>
      <c r="Q225" s="24">
        <f t="shared" si="454"/>
        <v>2797.5</v>
      </c>
      <c r="R225" s="24">
        <f t="shared" si="454"/>
        <v>478</v>
      </c>
      <c r="S225" s="24">
        <f t="shared" si="454"/>
        <v>1432.75</v>
      </c>
      <c r="T225" s="24">
        <f t="shared" si="4"/>
        <v>23</v>
      </c>
      <c r="Z225" s="25">
        <f t="shared" si="12"/>
        <v>2145.337452</v>
      </c>
      <c r="AA225" s="26"/>
    </row>
    <row r="226">
      <c r="A226" s="16" t="s">
        <v>6</v>
      </c>
      <c r="B226" s="17">
        <v>225.0</v>
      </c>
      <c r="C226" s="24">
        <f t="shared" si="5"/>
        <v>8365545.212</v>
      </c>
      <c r="D226" s="25">
        <v>0.05</v>
      </c>
      <c r="E226" s="24">
        <f t="shared" si="6"/>
        <v>422.0933199</v>
      </c>
      <c r="F226" s="25">
        <v>0.02</v>
      </c>
      <c r="G226" s="24">
        <f t="shared" si="7"/>
        <v>5577030.141</v>
      </c>
      <c r="H226" s="25">
        <v>0.05</v>
      </c>
      <c r="I226" s="24">
        <f t="shared" si="8"/>
        <v>844.1866398</v>
      </c>
      <c r="J226" s="25">
        <v>0.02</v>
      </c>
      <c r="K226" s="25">
        <v>0.0</v>
      </c>
      <c r="L226" s="24">
        <f t="shared" ref="L226:O226" si="455">IF(L225="", "", 1 + MROUND(IFERROR(MINIFS(OFFSET(L225, -1, 0, -$B226, 1), OFFSET(L225, -1, 0, -$B226, 1), "&gt;0"), L225) + (LN(1 + $Z226) ^ U$2) * U$3, 1))</f>
        <v>132218</v>
      </c>
      <c r="M226" s="24">
        <f t="shared" si="455"/>
        <v>11275</v>
      </c>
      <c r="N226" s="24">
        <f t="shared" si="455"/>
        <v>1955</v>
      </c>
      <c r="O226" s="24">
        <f t="shared" si="455"/>
        <v>5774</v>
      </c>
      <c r="P226" s="24">
        <f t="shared" ref="P226:S226" si="456">L226*$Y$2</f>
        <v>33054.5</v>
      </c>
      <c r="Q226" s="24">
        <f t="shared" si="456"/>
        <v>2818.75</v>
      </c>
      <c r="R226" s="24">
        <f t="shared" si="456"/>
        <v>488.75</v>
      </c>
      <c r="S226" s="24">
        <f t="shared" si="456"/>
        <v>1443.5</v>
      </c>
      <c r="T226" s="24">
        <f t="shared" si="4"/>
        <v>24</v>
      </c>
      <c r="Z226" s="25">
        <f t="shared" si="12"/>
        <v>2220.459263</v>
      </c>
      <c r="AA226" s="26"/>
    </row>
    <row r="227">
      <c r="A227" s="16" t="s">
        <v>6</v>
      </c>
      <c r="B227" s="17">
        <v>226.0</v>
      </c>
      <c r="C227" s="24">
        <f t="shared" si="5"/>
        <v>8783822.473</v>
      </c>
      <c r="D227" s="25">
        <v>0.05</v>
      </c>
      <c r="E227" s="24">
        <f t="shared" si="6"/>
        <v>430.5351863</v>
      </c>
      <c r="F227" s="25">
        <v>0.02</v>
      </c>
      <c r="G227" s="24">
        <f t="shared" si="7"/>
        <v>5855881.648</v>
      </c>
      <c r="H227" s="25">
        <v>0.05</v>
      </c>
      <c r="I227" s="24">
        <f t="shared" si="8"/>
        <v>861.0703726</v>
      </c>
      <c r="J227" s="25">
        <v>0.02</v>
      </c>
      <c r="K227" s="25">
        <v>0.0</v>
      </c>
      <c r="L227" s="24">
        <f t="shared" ref="L227:O227" si="457">IF(L226="", "", 1 + MROUND(IFERROR(MINIFS(OFFSET(L226, -1, 0, -$B227, 1), OFFSET(L226, -1, 0, -$B227, 1), "&gt;0"), L226) + (LN(1 + $Z227) ^ U$2) * U$3, 1))</f>
        <v>133266</v>
      </c>
      <c r="M227" s="24">
        <f t="shared" si="457"/>
        <v>11360</v>
      </c>
      <c r="N227" s="24">
        <f t="shared" si="457"/>
        <v>1998</v>
      </c>
      <c r="O227" s="24">
        <f t="shared" si="457"/>
        <v>5817</v>
      </c>
      <c r="P227" s="24">
        <f t="shared" ref="P227:S227" si="458">L227*$Y$2</f>
        <v>33316.5</v>
      </c>
      <c r="Q227" s="24">
        <f t="shared" si="458"/>
        <v>2840</v>
      </c>
      <c r="R227" s="24">
        <f t="shared" si="458"/>
        <v>499.5</v>
      </c>
      <c r="S227" s="24">
        <f t="shared" si="458"/>
        <v>1454.25</v>
      </c>
      <c r="T227" s="24">
        <f t="shared" si="4"/>
        <v>24</v>
      </c>
      <c r="Z227" s="25">
        <f t="shared" si="12"/>
        <v>2298.210337</v>
      </c>
      <c r="AA227" s="26"/>
    </row>
    <row r="228">
      <c r="A228" s="16" t="s">
        <v>6</v>
      </c>
      <c r="B228" s="17">
        <v>227.0</v>
      </c>
      <c r="C228" s="24">
        <f t="shared" si="5"/>
        <v>9223013.596</v>
      </c>
      <c r="D228" s="25">
        <v>0.05</v>
      </c>
      <c r="E228" s="24">
        <f t="shared" si="6"/>
        <v>439.14589</v>
      </c>
      <c r="F228" s="25">
        <v>0.02</v>
      </c>
      <c r="G228" s="24">
        <f t="shared" si="7"/>
        <v>6148675.731</v>
      </c>
      <c r="H228" s="25">
        <v>0.05</v>
      </c>
      <c r="I228" s="24">
        <f t="shared" si="8"/>
        <v>878.29178</v>
      </c>
      <c r="J228" s="25">
        <v>0.02</v>
      </c>
      <c r="K228" s="25">
        <v>0.0</v>
      </c>
      <c r="L228" s="24">
        <f t="shared" ref="L228:O228" si="459">IF(L227="", "", 1 + MROUND(IFERROR(MINIFS(OFFSET(L227, -1, 0, -$B228, 1), OFFSET(L227, -1, 0, -$B228, 1), "&gt;0"), L227) + (LN(1 + $Z228) ^ U$2) * U$3, 1))</f>
        <v>134318</v>
      </c>
      <c r="M228" s="24">
        <f t="shared" si="459"/>
        <v>11445</v>
      </c>
      <c r="N228" s="24">
        <f t="shared" si="459"/>
        <v>2041</v>
      </c>
      <c r="O228" s="24">
        <f t="shared" si="459"/>
        <v>5860</v>
      </c>
      <c r="P228" s="24">
        <f t="shared" ref="P228:S228" si="460">L228*$Y$2</f>
        <v>33579.5</v>
      </c>
      <c r="Q228" s="24">
        <f t="shared" si="460"/>
        <v>2861.25</v>
      </c>
      <c r="R228" s="24">
        <f t="shared" si="460"/>
        <v>510.25</v>
      </c>
      <c r="S228" s="24">
        <f t="shared" si="460"/>
        <v>1465</v>
      </c>
      <c r="T228" s="24">
        <f t="shared" si="4"/>
        <v>24</v>
      </c>
      <c r="Z228" s="25">
        <f t="shared" si="12"/>
        <v>2378.682699</v>
      </c>
      <c r="AA228" s="26"/>
    </row>
    <row r="229">
      <c r="A229" s="16" t="s">
        <v>6</v>
      </c>
      <c r="B229" s="17">
        <v>228.0</v>
      </c>
      <c r="C229" s="24">
        <f t="shared" si="5"/>
        <v>9684164.276</v>
      </c>
      <c r="D229" s="25">
        <v>0.05</v>
      </c>
      <c r="E229" s="24">
        <f t="shared" si="6"/>
        <v>447.9288078</v>
      </c>
      <c r="F229" s="25">
        <v>0.02</v>
      </c>
      <c r="G229" s="24">
        <f t="shared" si="7"/>
        <v>6456109.517</v>
      </c>
      <c r="H229" s="25">
        <v>0.05</v>
      </c>
      <c r="I229" s="24">
        <f t="shared" si="8"/>
        <v>895.8576156</v>
      </c>
      <c r="J229" s="25">
        <v>0.02</v>
      </c>
      <c r="K229" s="25">
        <v>0.0</v>
      </c>
      <c r="L229" s="24">
        <f t="shared" ref="L229:O229" si="461">IF(L228="", "", 1 + MROUND(IFERROR(MINIFS(OFFSET(L228, -1, 0, -$B229, 1), OFFSET(L228, -1, 0, -$B229, 1), "&gt;0"), L228) + (LN(1 + $Z229) ^ U$2) * U$3, 1))</f>
        <v>135373</v>
      </c>
      <c r="M229" s="24">
        <f t="shared" si="461"/>
        <v>11530</v>
      </c>
      <c r="N229" s="24">
        <f t="shared" si="461"/>
        <v>2084</v>
      </c>
      <c r="O229" s="24">
        <f t="shared" si="461"/>
        <v>5903</v>
      </c>
      <c r="P229" s="24">
        <f t="shared" ref="P229:S229" si="462">L229*$Y$2</f>
        <v>33843.25</v>
      </c>
      <c r="Q229" s="24">
        <f t="shared" si="462"/>
        <v>2882.5</v>
      </c>
      <c r="R229" s="24">
        <f t="shared" si="462"/>
        <v>521</v>
      </c>
      <c r="S229" s="24">
        <f t="shared" si="462"/>
        <v>1475.75</v>
      </c>
      <c r="T229" s="24">
        <f t="shared" si="4"/>
        <v>24</v>
      </c>
      <c r="Z229" s="25">
        <f t="shared" si="12"/>
        <v>2461.971594</v>
      </c>
      <c r="AA229" s="26"/>
    </row>
    <row r="230">
      <c r="A230" s="16" t="s">
        <v>6</v>
      </c>
      <c r="B230" s="17">
        <v>229.0</v>
      </c>
      <c r="C230" s="24">
        <f t="shared" si="5"/>
        <v>10168372.49</v>
      </c>
      <c r="D230" s="25">
        <v>0.05</v>
      </c>
      <c r="E230" s="24">
        <f t="shared" si="6"/>
        <v>456.887384</v>
      </c>
      <c r="F230" s="25">
        <v>0.02</v>
      </c>
      <c r="G230" s="24">
        <f t="shared" si="7"/>
        <v>6778914.993</v>
      </c>
      <c r="H230" s="25">
        <v>0.05</v>
      </c>
      <c r="I230" s="24">
        <f t="shared" si="8"/>
        <v>913.7747679</v>
      </c>
      <c r="J230" s="25">
        <v>0.02</v>
      </c>
      <c r="K230" s="25">
        <v>0.0</v>
      </c>
      <c r="L230" s="24">
        <f t="shared" ref="L230:O230" si="463">IF(L229="", "", 1 + MROUND(IFERROR(MINIFS(OFFSET(L229, -1, 0, -$B230, 1), OFFSET(L229, -1, 0, -$B230, 1), "&gt;0"), L229) + (LN(1 + $Z230) ^ U$2) * U$3, 1))</f>
        <v>136431</v>
      </c>
      <c r="M230" s="24">
        <f t="shared" si="463"/>
        <v>11616</v>
      </c>
      <c r="N230" s="24">
        <f t="shared" si="463"/>
        <v>2127</v>
      </c>
      <c r="O230" s="24">
        <f t="shared" si="463"/>
        <v>5946</v>
      </c>
      <c r="P230" s="24">
        <f t="shared" ref="P230:S230" si="464">L230*$Y$2</f>
        <v>34107.75</v>
      </c>
      <c r="Q230" s="24">
        <f t="shared" si="464"/>
        <v>2904</v>
      </c>
      <c r="R230" s="24">
        <f t="shared" si="464"/>
        <v>531.75</v>
      </c>
      <c r="S230" s="24">
        <f t="shared" si="464"/>
        <v>1486.5</v>
      </c>
      <c r="T230" s="24">
        <f t="shared" si="4"/>
        <v>24</v>
      </c>
      <c r="Z230" s="25">
        <f t="shared" si="12"/>
        <v>2548.175599</v>
      </c>
      <c r="AA230" s="26"/>
    </row>
    <row r="231">
      <c r="A231" s="16" t="s">
        <v>6</v>
      </c>
      <c r="B231" s="17">
        <v>230.0</v>
      </c>
      <c r="C231" s="24">
        <f t="shared" si="5"/>
        <v>10676791.11</v>
      </c>
      <c r="D231" s="25">
        <v>0.05</v>
      </c>
      <c r="E231" s="24">
        <f t="shared" si="6"/>
        <v>466.0251317</v>
      </c>
      <c r="F231" s="25">
        <v>0.02</v>
      </c>
      <c r="G231" s="24">
        <f t="shared" si="7"/>
        <v>7117860.743</v>
      </c>
      <c r="H231" s="25">
        <v>0.05</v>
      </c>
      <c r="I231" s="24">
        <f t="shared" si="8"/>
        <v>932.0502633</v>
      </c>
      <c r="J231" s="25">
        <v>0.02</v>
      </c>
      <c r="K231" s="25">
        <v>0.0</v>
      </c>
      <c r="L231" s="24">
        <f t="shared" ref="L231:O231" si="465">IF(L230="", "", 1 + MROUND(IFERROR(MINIFS(OFFSET(L230, -1, 0, -$B231, 1), OFFSET(L230, -1, 0, -$B231, 1), "&gt;0"), L230) + (LN(1 + $Z231) ^ U$2) * U$3, 1))</f>
        <v>137492</v>
      </c>
      <c r="M231" s="24">
        <f t="shared" si="465"/>
        <v>11702</v>
      </c>
      <c r="N231" s="24">
        <f t="shared" si="465"/>
        <v>2170</v>
      </c>
      <c r="O231" s="24">
        <f t="shared" si="465"/>
        <v>5989</v>
      </c>
      <c r="P231" s="24">
        <f t="shared" ref="P231:S231" si="466">L231*$Y$2</f>
        <v>34373</v>
      </c>
      <c r="Q231" s="24">
        <f t="shared" si="466"/>
        <v>2925.5</v>
      </c>
      <c r="R231" s="24">
        <f t="shared" si="466"/>
        <v>542.5</v>
      </c>
      <c r="S231" s="24">
        <f t="shared" si="466"/>
        <v>1497.25</v>
      </c>
      <c r="T231" s="24">
        <f t="shared" si="4"/>
        <v>24</v>
      </c>
      <c r="Z231" s="25">
        <f t="shared" si="12"/>
        <v>2637.396745</v>
      </c>
      <c r="AA231" s="26"/>
    </row>
    <row r="232">
      <c r="A232" s="16" t="s">
        <v>6</v>
      </c>
      <c r="B232" s="17">
        <v>231.0</v>
      </c>
      <c r="C232" s="24">
        <f t="shared" si="5"/>
        <v>11210630.67</v>
      </c>
      <c r="D232" s="25">
        <v>0.05</v>
      </c>
      <c r="E232" s="24">
        <f t="shared" si="6"/>
        <v>475.3456343</v>
      </c>
      <c r="F232" s="25">
        <v>0.02</v>
      </c>
      <c r="G232" s="24">
        <f t="shared" si="7"/>
        <v>7473753.78</v>
      </c>
      <c r="H232" s="25">
        <v>0.05</v>
      </c>
      <c r="I232" s="24">
        <f t="shared" si="8"/>
        <v>950.6912686</v>
      </c>
      <c r="J232" s="25">
        <v>0.02</v>
      </c>
      <c r="K232" s="25">
        <v>0.0</v>
      </c>
      <c r="L232" s="24">
        <f t="shared" ref="L232:O232" si="467">IF(L231="", "", 1 + MROUND(IFERROR(MINIFS(OFFSET(L231, -1, 0, -$B232, 1), OFFSET(L231, -1, 0, -$B232, 1), "&gt;0"), L231) + (LN(1 + $Z232) ^ U$2) * U$3, 1))</f>
        <v>138557</v>
      </c>
      <c r="M232" s="24">
        <f t="shared" si="467"/>
        <v>11788</v>
      </c>
      <c r="N232" s="24">
        <f t="shared" si="467"/>
        <v>2214</v>
      </c>
      <c r="O232" s="24">
        <f t="shared" si="467"/>
        <v>6033</v>
      </c>
      <c r="P232" s="24">
        <f t="shared" ref="P232:S232" si="468">L232*$Y$2</f>
        <v>34639.25</v>
      </c>
      <c r="Q232" s="24">
        <f t="shared" si="468"/>
        <v>2947</v>
      </c>
      <c r="R232" s="24">
        <f t="shared" si="468"/>
        <v>553.5</v>
      </c>
      <c r="S232" s="24">
        <f t="shared" si="468"/>
        <v>1508.25</v>
      </c>
      <c r="T232" s="24">
        <f t="shared" si="4"/>
        <v>24</v>
      </c>
      <c r="Z232" s="25">
        <f t="shared" si="12"/>
        <v>2729.740632</v>
      </c>
      <c r="AA232" s="26"/>
    </row>
    <row r="233">
      <c r="A233" s="16" t="s">
        <v>6</v>
      </c>
      <c r="B233" s="17">
        <v>232.0</v>
      </c>
      <c r="C233" s="24">
        <f t="shared" si="5"/>
        <v>11771162.2</v>
      </c>
      <c r="D233" s="25">
        <v>0.05</v>
      </c>
      <c r="E233" s="24">
        <f t="shared" si="6"/>
        <v>484.852547</v>
      </c>
      <c r="F233" s="25">
        <v>0.02</v>
      </c>
      <c r="G233" s="24">
        <f t="shared" si="7"/>
        <v>7847441.469</v>
      </c>
      <c r="H233" s="25">
        <v>0.05</v>
      </c>
      <c r="I233" s="24">
        <f t="shared" si="8"/>
        <v>969.7050939</v>
      </c>
      <c r="J233" s="25">
        <v>0.02</v>
      </c>
      <c r="K233" s="25">
        <v>0.0</v>
      </c>
      <c r="L233" s="24">
        <f t="shared" ref="L233:O233" si="469">IF(L232="", "", 1 + MROUND(IFERROR(MINIFS(OFFSET(L232, -1, 0, -$B233, 1), OFFSET(L232, -1, 0, -$B233, 1), "&gt;0"), L232) + (LN(1 + $Z233) ^ U$2) * U$3, 1))</f>
        <v>139625</v>
      </c>
      <c r="M233" s="24">
        <f t="shared" si="469"/>
        <v>11874</v>
      </c>
      <c r="N233" s="24">
        <f t="shared" si="469"/>
        <v>2258</v>
      </c>
      <c r="O233" s="24">
        <f t="shared" si="469"/>
        <v>6077</v>
      </c>
      <c r="P233" s="24">
        <f t="shared" ref="P233:S233" si="470">L233*$Y$2</f>
        <v>34906.25</v>
      </c>
      <c r="Q233" s="24">
        <f t="shared" si="470"/>
        <v>2968.5</v>
      </c>
      <c r="R233" s="24">
        <f t="shared" si="470"/>
        <v>564.5</v>
      </c>
      <c r="S233" s="24">
        <f t="shared" si="470"/>
        <v>1519.25</v>
      </c>
      <c r="T233" s="24">
        <f t="shared" si="4"/>
        <v>24</v>
      </c>
      <c r="Z233" s="25">
        <f t="shared" si="12"/>
        <v>2825.316554</v>
      </c>
      <c r="AA233" s="26"/>
    </row>
    <row r="234">
      <c r="A234" s="16" t="s">
        <v>6</v>
      </c>
      <c r="B234" s="17">
        <v>233.0</v>
      </c>
      <c r="C234" s="24">
        <f t="shared" si="5"/>
        <v>12359720.31</v>
      </c>
      <c r="D234" s="25">
        <v>0.05</v>
      </c>
      <c r="E234" s="24">
        <f t="shared" si="6"/>
        <v>494.5495979</v>
      </c>
      <c r="F234" s="25">
        <v>0.02</v>
      </c>
      <c r="G234" s="24">
        <f t="shared" si="7"/>
        <v>8239813.543</v>
      </c>
      <c r="H234" s="25">
        <v>0.05</v>
      </c>
      <c r="I234" s="24">
        <f t="shared" si="8"/>
        <v>989.0991958</v>
      </c>
      <c r="J234" s="25">
        <v>0.02</v>
      </c>
      <c r="K234" s="25">
        <v>0.0</v>
      </c>
      <c r="L234" s="24">
        <f t="shared" ref="L234:O234" si="471">IF(L233="", "", 1 + MROUND(IFERROR(MINIFS(OFFSET(L233, -1, 0, -$B234, 1), OFFSET(L233, -1, 0, -$B234, 1), "&gt;0"), L233) + (LN(1 + $Z234) ^ U$2) * U$3, 1))</f>
        <v>140696</v>
      </c>
      <c r="M234" s="24">
        <f t="shared" si="471"/>
        <v>11961</v>
      </c>
      <c r="N234" s="24">
        <f t="shared" si="471"/>
        <v>2302</v>
      </c>
      <c r="O234" s="24">
        <f t="shared" si="471"/>
        <v>6121</v>
      </c>
      <c r="P234" s="24">
        <f t="shared" ref="P234:S234" si="472">L234*$Y$2</f>
        <v>35174</v>
      </c>
      <c r="Q234" s="24">
        <f t="shared" si="472"/>
        <v>2990.25</v>
      </c>
      <c r="R234" s="24">
        <f t="shared" si="472"/>
        <v>575.5</v>
      </c>
      <c r="S234" s="24">
        <f t="shared" si="472"/>
        <v>1530.25</v>
      </c>
      <c r="T234" s="24">
        <f t="shared" si="4"/>
        <v>24</v>
      </c>
      <c r="Z234" s="25">
        <f t="shared" si="12"/>
        <v>2924.237633</v>
      </c>
      <c r="AA234" s="26"/>
    </row>
    <row r="235">
      <c r="A235" s="16" t="s">
        <v>6</v>
      </c>
      <c r="B235" s="17">
        <v>234.0</v>
      </c>
      <c r="C235" s="24">
        <f t="shared" si="5"/>
        <v>12977706.33</v>
      </c>
      <c r="D235" s="25">
        <v>0.05</v>
      </c>
      <c r="E235" s="24">
        <f t="shared" si="6"/>
        <v>504.4405899</v>
      </c>
      <c r="F235" s="25">
        <v>0.02</v>
      </c>
      <c r="G235" s="24">
        <f t="shared" si="7"/>
        <v>8651804.22</v>
      </c>
      <c r="H235" s="25">
        <v>0.05</v>
      </c>
      <c r="I235" s="24">
        <f t="shared" si="8"/>
        <v>1008.88118</v>
      </c>
      <c r="J235" s="25">
        <v>0.02</v>
      </c>
      <c r="K235" s="25">
        <v>0.0</v>
      </c>
      <c r="L235" s="24">
        <f t="shared" ref="L235:O235" si="473">IF(L234="", "", 1 + MROUND(IFERROR(MINIFS(OFFSET(L234, -1, 0, -$B235, 1), OFFSET(L234, -1, 0, -$B235, 1), "&gt;0"), L234) + (LN(1 + $Z235) ^ U$2) * U$3, 1))</f>
        <v>141770</v>
      </c>
      <c r="M235" s="24">
        <f t="shared" si="473"/>
        <v>12048</v>
      </c>
      <c r="N235" s="24">
        <f t="shared" si="473"/>
        <v>2346</v>
      </c>
      <c r="O235" s="24">
        <f t="shared" si="473"/>
        <v>6165</v>
      </c>
      <c r="P235" s="24">
        <f t="shared" ref="P235:S235" si="474">L235*$Y$2</f>
        <v>35442.5</v>
      </c>
      <c r="Q235" s="24">
        <f t="shared" si="474"/>
        <v>3012</v>
      </c>
      <c r="R235" s="24">
        <f t="shared" si="474"/>
        <v>586.5</v>
      </c>
      <c r="S235" s="24">
        <f t="shared" si="474"/>
        <v>1541.25</v>
      </c>
      <c r="T235" s="24">
        <f t="shared" si="4"/>
        <v>24</v>
      </c>
      <c r="Z235" s="25">
        <f t="shared" si="12"/>
        <v>3026.62095</v>
      </c>
      <c r="AA235" s="26"/>
    </row>
    <row r="236">
      <c r="A236" s="16" t="s">
        <v>6</v>
      </c>
      <c r="B236" s="17">
        <v>235.0</v>
      </c>
      <c r="C236" s="24">
        <f t="shared" si="5"/>
        <v>13626591.65</v>
      </c>
      <c r="D236" s="25">
        <v>0.05</v>
      </c>
      <c r="E236" s="24">
        <f t="shared" si="6"/>
        <v>514.5294017</v>
      </c>
      <c r="F236" s="25">
        <v>0.02</v>
      </c>
      <c r="G236" s="24">
        <f t="shared" si="7"/>
        <v>9084394.431</v>
      </c>
      <c r="H236" s="25">
        <v>0.05</v>
      </c>
      <c r="I236" s="24">
        <f t="shared" si="8"/>
        <v>1029.058803</v>
      </c>
      <c r="J236" s="25">
        <v>0.02</v>
      </c>
      <c r="K236" s="25">
        <v>0.0</v>
      </c>
      <c r="L236" s="24">
        <f t="shared" ref="L236:O236" si="475">IF(L235="", "", 1 + MROUND(IFERROR(MINIFS(OFFSET(L235, -1, 0, -$B236, 1), OFFSET(L235, -1, 0, -$B236, 1), "&gt;0"), L235) + (LN(1 + $Z236) ^ U$2) * U$3, 1))</f>
        <v>142847</v>
      </c>
      <c r="M236" s="24">
        <f t="shared" si="475"/>
        <v>12135</v>
      </c>
      <c r="N236" s="24">
        <f t="shared" si="475"/>
        <v>2390</v>
      </c>
      <c r="O236" s="24">
        <f t="shared" si="475"/>
        <v>6209</v>
      </c>
      <c r="P236" s="24">
        <f t="shared" ref="P236:S236" si="476">L236*$Y$2</f>
        <v>35711.75</v>
      </c>
      <c r="Q236" s="24">
        <f t="shared" si="476"/>
        <v>3033.75</v>
      </c>
      <c r="R236" s="24">
        <f t="shared" si="476"/>
        <v>597.5</v>
      </c>
      <c r="S236" s="24">
        <f t="shared" si="476"/>
        <v>1552.25</v>
      </c>
      <c r="T236" s="24">
        <f t="shared" si="4"/>
        <v>25</v>
      </c>
      <c r="Z236" s="25">
        <f t="shared" si="12"/>
        <v>3132.587683</v>
      </c>
      <c r="AA236" s="26"/>
    </row>
    <row r="237">
      <c r="A237" s="16" t="s">
        <v>6</v>
      </c>
      <c r="B237" s="17">
        <v>236.0</v>
      </c>
      <c r="C237" s="24">
        <f t="shared" si="5"/>
        <v>14307921.23</v>
      </c>
      <c r="D237" s="25">
        <v>0.05</v>
      </c>
      <c r="E237" s="24">
        <f t="shared" si="6"/>
        <v>524.8199897</v>
      </c>
      <c r="F237" s="25">
        <v>0.02</v>
      </c>
      <c r="G237" s="24">
        <f t="shared" si="7"/>
        <v>9538614.152</v>
      </c>
      <c r="H237" s="25">
        <v>0.05</v>
      </c>
      <c r="I237" s="24">
        <f t="shared" si="8"/>
        <v>1049.639979</v>
      </c>
      <c r="J237" s="25">
        <v>0.02</v>
      </c>
      <c r="K237" s="25">
        <v>0.0</v>
      </c>
      <c r="L237" s="24">
        <f t="shared" ref="L237:O237" si="477">IF(L236="", "", 1 + MROUND(IFERROR(MINIFS(OFFSET(L236, -1, 0, -$B237, 1), OFFSET(L236, -1, 0, -$B237, 1), "&gt;0"), L236) + (LN(1 + $Z237) ^ U$2) * U$3, 1))</f>
        <v>143928</v>
      </c>
      <c r="M237" s="24">
        <f t="shared" si="477"/>
        <v>12222</v>
      </c>
      <c r="N237" s="24">
        <f t="shared" si="477"/>
        <v>2434</v>
      </c>
      <c r="O237" s="24">
        <f t="shared" si="477"/>
        <v>6253</v>
      </c>
      <c r="P237" s="24">
        <f t="shared" ref="P237:S237" si="478">L237*$Y$2</f>
        <v>35982</v>
      </c>
      <c r="Q237" s="24">
        <f t="shared" si="478"/>
        <v>3055.5</v>
      </c>
      <c r="R237" s="24">
        <f t="shared" si="478"/>
        <v>608.5</v>
      </c>
      <c r="S237" s="24">
        <f t="shared" si="478"/>
        <v>1563.25</v>
      </c>
      <c r="T237" s="24">
        <f t="shared" si="4"/>
        <v>25</v>
      </c>
      <c r="Z237" s="25">
        <f t="shared" si="12"/>
        <v>3242.263252</v>
      </c>
      <c r="AA237" s="26"/>
    </row>
    <row r="238">
      <c r="A238" s="16" t="s">
        <v>6</v>
      </c>
      <c r="B238" s="17">
        <v>237.0</v>
      </c>
      <c r="C238" s="24">
        <f t="shared" si="5"/>
        <v>15023317.29</v>
      </c>
      <c r="D238" s="25">
        <v>0.05</v>
      </c>
      <c r="E238" s="24">
        <f t="shared" si="6"/>
        <v>535.3163895</v>
      </c>
      <c r="F238" s="25">
        <v>0.02</v>
      </c>
      <c r="G238" s="24">
        <f t="shared" si="7"/>
        <v>10015544.86</v>
      </c>
      <c r="H238" s="25">
        <v>0.05</v>
      </c>
      <c r="I238" s="24">
        <f t="shared" si="8"/>
        <v>1070.632779</v>
      </c>
      <c r="J238" s="25">
        <v>0.02</v>
      </c>
      <c r="K238" s="25">
        <v>0.0</v>
      </c>
      <c r="L238" s="24">
        <f t="shared" ref="L238:O238" si="479">IF(L237="", "", 1 + MROUND(IFERROR(MINIFS(OFFSET(L237, -1, 0, -$B238, 1), OFFSET(L237, -1, 0, -$B238, 1), "&gt;0"), L237) + (LN(1 + $Z238) ^ U$2) * U$3, 1))</f>
        <v>145012</v>
      </c>
      <c r="M238" s="24">
        <f t="shared" si="479"/>
        <v>12310</v>
      </c>
      <c r="N238" s="24">
        <f t="shared" si="479"/>
        <v>2478</v>
      </c>
      <c r="O238" s="24">
        <f t="shared" si="479"/>
        <v>6297</v>
      </c>
      <c r="P238" s="24">
        <f t="shared" ref="P238:S238" si="480">L238*$Y$2</f>
        <v>36253</v>
      </c>
      <c r="Q238" s="24">
        <f t="shared" si="480"/>
        <v>3077.5</v>
      </c>
      <c r="R238" s="24">
        <f t="shared" si="480"/>
        <v>619.5</v>
      </c>
      <c r="S238" s="24">
        <f t="shared" si="480"/>
        <v>1574.25</v>
      </c>
      <c r="T238" s="24">
        <f t="shared" si="4"/>
        <v>25</v>
      </c>
      <c r="Z238" s="25">
        <f t="shared" si="12"/>
        <v>3355.777466</v>
      </c>
      <c r="AA238" s="26"/>
    </row>
    <row r="239">
      <c r="A239" s="16" t="s">
        <v>6</v>
      </c>
      <c r="B239" s="17">
        <v>238.0</v>
      </c>
      <c r="C239" s="24">
        <f t="shared" si="5"/>
        <v>15774483.15</v>
      </c>
      <c r="D239" s="25">
        <v>0.05</v>
      </c>
      <c r="E239" s="24">
        <f t="shared" si="6"/>
        <v>546.0227173</v>
      </c>
      <c r="F239" s="25">
        <v>0.02</v>
      </c>
      <c r="G239" s="24">
        <f t="shared" si="7"/>
        <v>10516322.1</v>
      </c>
      <c r="H239" s="25">
        <v>0.05</v>
      </c>
      <c r="I239" s="24">
        <f t="shared" si="8"/>
        <v>1092.045435</v>
      </c>
      <c r="J239" s="25">
        <v>0.02</v>
      </c>
      <c r="K239" s="25">
        <v>0.0</v>
      </c>
      <c r="L239" s="24">
        <f t="shared" ref="L239:O239" si="481">IF(L238="", "", 1 + MROUND(IFERROR(MINIFS(OFFSET(L238, -1, 0, -$B239, 1), OFFSET(L238, -1, 0, -$B239, 1), "&gt;0"), L238) + (LN(1 + $Z239) ^ U$2) * U$3, 1))</f>
        <v>146099</v>
      </c>
      <c r="M239" s="24">
        <f t="shared" si="481"/>
        <v>12398</v>
      </c>
      <c r="N239" s="24">
        <f t="shared" si="481"/>
        <v>2522</v>
      </c>
      <c r="O239" s="24">
        <f t="shared" si="481"/>
        <v>6341</v>
      </c>
      <c r="P239" s="24">
        <f t="shared" ref="P239:S239" si="482">L239*$Y$2</f>
        <v>36524.75</v>
      </c>
      <c r="Q239" s="24">
        <f t="shared" si="482"/>
        <v>3099.5</v>
      </c>
      <c r="R239" s="24">
        <f t="shared" si="482"/>
        <v>630.5</v>
      </c>
      <c r="S239" s="24">
        <f t="shared" si="482"/>
        <v>1585.25</v>
      </c>
      <c r="T239" s="24">
        <f t="shared" si="4"/>
        <v>25</v>
      </c>
      <c r="Z239" s="25">
        <f t="shared" si="12"/>
        <v>3473.264677</v>
      </c>
      <c r="AA239" s="26"/>
    </row>
    <row r="240">
      <c r="A240" s="16" t="s">
        <v>6</v>
      </c>
      <c r="B240" s="17">
        <v>239.0</v>
      </c>
      <c r="C240" s="24">
        <f t="shared" si="5"/>
        <v>16563207.31</v>
      </c>
      <c r="D240" s="25">
        <v>0.05</v>
      </c>
      <c r="E240" s="24">
        <f t="shared" si="6"/>
        <v>556.9431716</v>
      </c>
      <c r="F240" s="25">
        <v>0.02</v>
      </c>
      <c r="G240" s="24">
        <f t="shared" si="7"/>
        <v>11042138.21</v>
      </c>
      <c r="H240" s="25">
        <v>0.05</v>
      </c>
      <c r="I240" s="24">
        <f t="shared" si="8"/>
        <v>1113.886343</v>
      </c>
      <c r="J240" s="25">
        <v>0.02</v>
      </c>
      <c r="K240" s="25">
        <v>0.0</v>
      </c>
      <c r="L240" s="24">
        <f t="shared" ref="L240:O240" si="483">IF(L239="", "", 1 + MROUND(IFERROR(MINIFS(OFFSET(L239, -1, 0, -$B240, 1), OFFSET(L239, -1, 0, -$B240, 1), "&gt;0"), L239) + (LN(1 + $Z240) ^ U$2) * U$3, 1))</f>
        <v>147189</v>
      </c>
      <c r="M240" s="24">
        <f t="shared" si="483"/>
        <v>12486</v>
      </c>
      <c r="N240" s="24">
        <f t="shared" si="483"/>
        <v>2567</v>
      </c>
      <c r="O240" s="24">
        <f t="shared" si="483"/>
        <v>6386</v>
      </c>
      <c r="P240" s="24">
        <f t="shared" ref="P240:S240" si="484">L240*$Y$2</f>
        <v>36797.25</v>
      </c>
      <c r="Q240" s="24">
        <f t="shared" si="484"/>
        <v>3121.5</v>
      </c>
      <c r="R240" s="24">
        <f t="shared" si="484"/>
        <v>641.75</v>
      </c>
      <c r="S240" s="24">
        <f t="shared" si="484"/>
        <v>1596.5</v>
      </c>
      <c r="T240" s="24">
        <f t="shared" si="4"/>
        <v>25</v>
      </c>
      <c r="Z240" s="25">
        <f t="shared" si="12"/>
        <v>3594.863941</v>
      </c>
      <c r="AA240" s="26"/>
    </row>
    <row r="241">
      <c r="A241" s="16" t="s">
        <v>6</v>
      </c>
      <c r="B241" s="17">
        <v>240.0</v>
      </c>
      <c r="C241" s="24">
        <f t="shared" si="5"/>
        <v>17391367.68</v>
      </c>
      <c r="D241" s="25">
        <v>0.05</v>
      </c>
      <c r="E241" s="24">
        <f t="shared" si="6"/>
        <v>568.0820351</v>
      </c>
      <c r="F241" s="25">
        <v>0.02</v>
      </c>
      <c r="G241" s="24">
        <f t="shared" si="7"/>
        <v>11594245.12</v>
      </c>
      <c r="H241" s="25">
        <v>0.05</v>
      </c>
      <c r="I241" s="24">
        <f t="shared" si="8"/>
        <v>1136.16407</v>
      </c>
      <c r="J241" s="25">
        <v>0.02</v>
      </c>
      <c r="K241" s="25">
        <v>0.0</v>
      </c>
      <c r="L241" s="24">
        <f t="shared" ref="L241:O241" si="485">IF(L240="", "", 1 + MROUND(IFERROR(MINIFS(OFFSET(L240, -1, 0, -$B241, 1), OFFSET(L240, -1, 0, -$B241, 1), "&gt;0"), L240) + (LN(1 + $Z241) ^ U$2) * U$3, 1))</f>
        <v>148283</v>
      </c>
      <c r="M241" s="24">
        <f t="shared" si="485"/>
        <v>12574</v>
      </c>
      <c r="N241" s="24">
        <f t="shared" si="485"/>
        <v>2612</v>
      </c>
      <c r="O241" s="24">
        <f t="shared" si="485"/>
        <v>6431</v>
      </c>
      <c r="P241" s="24">
        <f t="shared" ref="P241:S241" si="486">L241*$Y$2</f>
        <v>37070.75</v>
      </c>
      <c r="Q241" s="24">
        <f t="shared" si="486"/>
        <v>3143.5</v>
      </c>
      <c r="R241" s="24">
        <f t="shared" si="486"/>
        <v>653</v>
      </c>
      <c r="S241" s="24">
        <f t="shared" si="486"/>
        <v>1607.75</v>
      </c>
      <c r="T241" s="24">
        <f t="shared" si="4"/>
        <v>25</v>
      </c>
      <c r="Z241" s="25">
        <f t="shared" si="12"/>
        <v>3720.719179</v>
      </c>
      <c r="AA241" s="26"/>
    </row>
    <row r="242">
      <c r="A242" s="16" t="s">
        <v>6</v>
      </c>
      <c r="B242" s="17">
        <v>241.0</v>
      </c>
      <c r="C242" s="24">
        <f t="shared" si="5"/>
        <v>18260936.06</v>
      </c>
      <c r="D242" s="25">
        <v>0.05</v>
      </c>
      <c r="E242" s="24">
        <f t="shared" si="6"/>
        <v>579.4436758</v>
      </c>
      <c r="F242" s="25">
        <v>0.02</v>
      </c>
      <c r="G242" s="24">
        <f t="shared" si="7"/>
        <v>12173957.37</v>
      </c>
      <c r="H242" s="25">
        <v>0.05</v>
      </c>
      <c r="I242" s="24">
        <f t="shared" si="8"/>
        <v>1158.887352</v>
      </c>
      <c r="J242" s="25">
        <v>0.02</v>
      </c>
      <c r="K242" s="25">
        <v>0.0</v>
      </c>
      <c r="L242" s="24">
        <f t="shared" ref="L242:O242" si="487">IF(L241="", "", 1 + MROUND(IFERROR(MINIFS(OFFSET(L241, -1, 0, -$B242, 1), OFFSET(L241, -1, 0, -$B242, 1), "&gt;0"), L241) + (LN(1 + $Z242) ^ U$2) * U$3, 1))</f>
        <v>149380</v>
      </c>
      <c r="M242" s="24">
        <f t="shared" si="487"/>
        <v>12663</v>
      </c>
      <c r="N242" s="24">
        <f t="shared" si="487"/>
        <v>2657</v>
      </c>
      <c r="O242" s="24">
        <f t="shared" si="487"/>
        <v>6476</v>
      </c>
      <c r="P242" s="24">
        <f t="shared" ref="P242:S242" si="488">L242*$Y$2</f>
        <v>37345</v>
      </c>
      <c r="Q242" s="24">
        <f t="shared" si="488"/>
        <v>3165.75</v>
      </c>
      <c r="R242" s="24">
        <f t="shared" si="488"/>
        <v>664.25</v>
      </c>
      <c r="S242" s="24">
        <f t="shared" si="488"/>
        <v>1619</v>
      </c>
      <c r="T242" s="24">
        <f t="shared" si="4"/>
        <v>25</v>
      </c>
      <c r="Z242" s="25">
        <f t="shared" si="12"/>
        <v>3850.97935</v>
      </c>
      <c r="AA242" s="26"/>
    </row>
    <row r="243">
      <c r="A243" s="16" t="s">
        <v>6</v>
      </c>
      <c r="B243" s="17">
        <v>242.0</v>
      </c>
      <c r="C243" s="24">
        <f t="shared" si="5"/>
        <v>19173982.86</v>
      </c>
      <c r="D243" s="25">
        <v>0.05</v>
      </c>
      <c r="E243" s="24">
        <f t="shared" si="6"/>
        <v>591.0325493</v>
      </c>
      <c r="F243" s="25">
        <v>0.02</v>
      </c>
      <c r="G243" s="24">
        <f t="shared" si="7"/>
        <v>12782655.24</v>
      </c>
      <c r="H243" s="25">
        <v>0.05</v>
      </c>
      <c r="I243" s="24">
        <f t="shared" si="8"/>
        <v>1182.065099</v>
      </c>
      <c r="J243" s="25">
        <v>0.02</v>
      </c>
      <c r="K243" s="25">
        <v>0.0</v>
      </c>
      <c r="L243" s="24">
        <f t="shared" ref="L243:O243" si="489">IF(L242="", "", 1 + MROUND(IFERROR(MINIFS(OFFSET(L242, -1, 0, -$B243, 1), OFFSET(L242, -1, 0, -$B243, 1), "&gt;0"), L242) + (LN(1 + $Z243) ^ U$2) * U$3, 1))</f>
        <v>150480</v>
      </c>
      <c r="M243" s="24">
        <f t="shared" si="489"/>
        <v>12752</v>
      </c>
      <c r="N243" s="24">
        <f t="shared" si="489"/>
        <v>2702</v>
      </c>
      <c r="O243" s="24">
        <f t="shared" si="489"/>
        <v>6521</v>
      </c>
      <c r="P243" s="24">
        <f t="shared" ref="P243:S243" si="490">L243*$Y$2</f>
        <v>37620</v>
      </c>
      <c r="Q243" s="24">
        <f t="shared" si="490"/>
        <v>3188</v>
      </c>
      <c r="R243" s="24">
        <f t="shared" si="490"/>
        <v>675.5</v>
      </c>
      <c r="S243" s="24">
        <f t="shared" si="490"/>
        <v>1630.25</v>
      </c>
      <c r="T243" s="24">
        <f t="shared" si="4"/>
        <v>25</v>
      </c>
      <c r="Z243" s="25">
        <f t="shared" si="12"/>
        <v>3985.798628</v>
      </c>
      <c r="AA243" s="26"/>
    </row>
    <row r="244">
      <c r="A244" s="16" t="s">
        <v>6</v>
      </c>
      <c r="B244" s="17">
        <v>243.0</v>
      </c>
      <c r="C244" s="24">
        <f t="shared" si="5"/>
        <v>20132682.01</v>
      </c>
      <c r="D244" s="25">
        <v>0.05</v>
      </c>
      <c r="E244" s="24">
        <f t="shared" si="6"/>
        <v>602.8532003</v>
      </c>
      <c r="F244" s="25">
        <v>0.02</v>
      </c>
      <c r="G244" s="24">
        <f t="shared" si="7"/>
        <v>13421788.01</v>
      </c>
      <c r="H244" s="25">
        <v>0.05</v>
      </c>
      <c r="I244" s="24">
        <f t="shared" si="8"/>
        <v>1205.706401</v>
      </c>
      <c r="J244" s="25">
        <v>0.02</v>
      </c>
      <c r="K244" s="25">
        <v>0.0</v>
      </c>
      <c r="L244" s="24">
        <f t="shared" ref="L244:O244" si="491">IF(L243="", "", 1 + MROUND(IFERROR(MINIFS(OFFSET(L243, -1, 0, -$B244, 1), OFFSET(L243, -1, 0, -$B244, 1), "&gt;0"), L243) + (LN(1 + $Z244) ^ U$2) * U$3, 1))</f>
        <v>151583</v>
      </c>
      <c r="M244" s="24">
        <f t="shared" si="491"/>
        <v>12841</v>
      </c>
      <c r="N244" s="24">
        <f t="shared" si="491"/>
        <v>2747</v>
      </c>
      <c r="O244" s="24">
        <f t="shared" si="491"/>
        <v>6566</v>
      </c>
      <c r="P244" s="24">
        <f t="shared" ref="P244:S244" si="492">L244*$Y$2</f>
        <v>37895.75</v>
      </c>
      <c r="Q244" s="24">
        <f t="shared" si="492"/>
        <v>3210.25</v>
      </c>
      <c r="R244" s="24">
        <f t="shared" si="492"/>
        <v>686.75</v>
      </c>
      <c r="S244" s="24">
        <f t="shared" si="492"/>
        <v>1641.5</v>
      </c>
      <c r="T244" s="24">
        <f t="shared" si="4"/>
        <v>25</v>
      </c>
      <c r="Z244" s="25">
        <f t="shared" si="12"/>
        <v>4125.33658</v>
      </c>
      <c r="AA244" s="26"/>
    </row>
    <row r="245">
      <c r="A245" s="16" t="s">
        <v>6</v>
      </c>
      <c r="B245" s="17">
        <v>244.0</v>
      </c>
      <c r="C245" s="24">
        <f t="shared" si="5"/>
        <v>21139316.11</v>
      </c>
      <c r="D245" s="25">
        <v>0.05</v>
      </c>
      <c r="E245" s="24">
        <f t="shared" si="6"/>
        <v>614.9102643</v>
      </c>
      <c r="F245" s="25">
        <v>0.02</v>
      </c>
      <c r="G245" s="24">
        <f t="shared" si="7"/>
        <v>14092877.41</v>
      </c>
      <c r="H245" s="25">
        <v>0.05</v>
      </c>
      <c r="I245" s="24">
        <f t="shared" si="8"/>
        <v>1229.820529</v>
      </c>
      <c r="J245" s="25">
        <v>0.02</v>
      </c>
      <c r="K245" s="25">
        <v>0.0</v>
      </c>
      <c r="L245" s="24">
        <f t="shared" ref="L245:O245" si="493">IF(L244="", "", 1 + MROUND(IFERROR(MINIFS(OFFSET(L244, -1, 0, -$B245, 1), OFFSET(L244, -1, 0, -$B245, 1), "&gt;0"), L244) + (LN(1 + $Z245) ^ U$2) * U$3, 1))</f>
        <v>152689</v>
      </c>
      <c r="M245" s="24">
        <f t="shared" si="493"/>
        <v>12930</v>
      </c>
      <c r="N245" s="24">
        <f t="shared" si="493"/>
        <v>2792</v>
      </c>
      <c r="O245" s="24">
        <f t="shared" si="493"/>
        <v>6611</v>
      </c>
      <c r="P245" s="24">
        <f t="shared" ref="P245:S245" si="494">L245*$Y$2</f>
        <v>38172.25</v>
      </c>
      <c r="Q245" s="24">
        <f t="shared" si="494"/>
        <v>3232.5</v>
      </c>
      <c r="R245" s="24">
        <f t="shared" si="494"/>
        <v>698</v>
      </c>
      <c r="S245" s="24">
        <f t="shared" si="494"/>
        <v>1652.75</v>
      </c>
      <c r="T245" s="24">
        <f t="shared" si="4"/>
        <v>25</v>
      </c>
      <c r="Z245" s="25">
        <f t="shared" si="12"/>
        <v>4269.75836</v>
      </c>
      <c r="AA245" s="26"/>
    </row>
    <row r="246">
      <c r="A246" s="16" t="s">
        <v>6</v>
      </c>
      <c r="B246" s="17">
        <v>245.0</v>
      </c>
      <c r="C246" s="24">
        <f t="shared" si="5"/>
        <v>22196281.91</v>
      </c>
      <c r="D246" s="25">
        <v>0.05</v>
      </c>
      <c r="E246" s="24">
        <f t="shared" si="6"/>
        <v>627.2084696</v>
      </c>
      <c r="F246" s="25">
        <v>0.02</v>
      </c>
      <c r="G246" s="24">
        <f t="shared" si="7"/>
        <v>14797521.28</v>
      </c>
      <c r="H246" s="25">
        <v>0.05</v>
      </c>
      <c r="I246" s="24">
        <f t="shared" si="8"/>
        <v>1254.416939</v>
      </c>
      <c r="J246" s="25">
        <v>0.02</v>
      </c>
      <c r="K246" s="25">
        <v>0.0</v>
      </c>
      <c r="L246" s="24">
        <f t="shared" ref="L246:O246" si="495">IF(L245="", "", 1 + MROUND(IFERROR(MINIFS(OFFSET(L245, -1, 0, -$B246, 1), OFFSET(L245, -1, 0, -$B246, 1), "&gt;0"), L245) + (LN(1 + $Z246) ^ U$2) * U$3, 1))</f>
        <v>153798</v>
      </c>
      <c r="M246" s="24">
        <f t="shared" si="495"/>
        <v>13020</v>
      </c>
      <c r="N246" s="24">
        <f t="shared" si="495"/>
        <v>2837</v>
      </c>
      <c r="O246" s="24">
        <f t="shared" si="495"/>
        <v>6656</v>
      </c>
      <c r="P246" s="24">
        <f t="shared" ref="P246:S246" si="496">L246*$Y$2</f>
        <v>38449.5</v>
      </c>
      <c r="Q246" s="24">
        <f t="shared" si="496"/>
        <v>3255</v>
      </c>
      <c r="R246" s="24">
        <f t="shared" si="496"/>
        <v>709.25</v>
      </c>
      <c r="S246" s="24">
        <f t="shared" si="496"/>
        <v>1664</v>
      </c>
      <c r="T246" s="24">
        <f t="shared" si="4"/>
        <v>26</v>
      </c>
      <c r="Z246" s="25">
        <f t="shared" si="12"/>
        <v>4419.234903</v>
      </c>
      <c r="AA246" s="26"/>
    </row>
    <row r="247">
      <c r="A247" s="16" t="s">
        <v>6</v>
      </c>
      <c r="B247" s="17">
        <v>246.0</v>
      </c>
      <c r="C247" s="24">
        <f t="shared" si="5"/>
        <v>23306096.01</v>
      </c>
      <c r="D247" s="25">
        <v>0.05</v>
      </c>
      <c r="E247" s="24">
        <f t="shared" si="6"/>
        <v>639.7526389</v>
      </c>
      <c r="F247" s="25">
        <v>0.02</v>
      </c>
      <c r="G247" s="24">
        <f t="shared" si="7"/>
        <v>15537397.34</v>
      </c>
      <c r="H247" s="25">
        <v>0.05</v>
      </c>
      <c r="I247" s="24">
        <f t="shared" si="8"/>
        <v>1279.505278</v>
      </c>
      <c r="J247" s="25">
        <v>0.02</v>
      </c>
      <c r="K247" s="25">
        <v>0.0</v>
      </c>
      <c r="L247" s="24">
        <f t="shared" ref="L247:O247" si="497">IF(L246="", "", 1 + MROUND(IFERROR(MINIFS(OFFSET(L246, -1, 0, -$B247, 1), OFFSET(L246, -1, 0, -$B247, 1), "&gt;0"), L246) + (LN(1 + $Z247) ^ U$2) * U$3, 1))</f>
        <v>154911</v>
      </c>
      <c r="M247" s="24">
        <f t="shared" si="497"/>
        <v>13110</v>
      </c>
      <c r="N247" s="24">
        <f t="shared" si="497"/>
        <v>2882</v>
      </c>
      <c r="O247" s="24">
        <f t="shared" si="497"/>
        <v>6701</v>
      </c>
      <c r="P247" s="24">
        <f t="shared" ref="P247:S247" si="498">L247*$Y$2</f>
        <v>38727.75</v>
      </c>
      <c r="Q247" s="24">
        <f t="shared" si="498"/>
        <v>3277.5</v>
      </c>
      <c r="R247" s="24">
        <f t="shared" si="498"/>
        <v>720.5</v>
      </c>
      <c r="S247" s="24">
        <f t="shared" si="498"/>
        <v>1675.25</v>
      </c>
      <c r="T247" s="24">
        <f t="shared" si="4"/>
        <v>26</v>
      </c>
      <c r="Z247" s="25">
        <f t="shared" si="12"/>
        <v>4573.943124</v>
      </c>
      <c r="AA247" s="26"/>
    </row>
    <row r="248">
      <c r="A248" s="16" t="s">
        <v>6</v>
      </c>
      <c r="B248" s="17">
        <v>247.0</v>
      </c>
      <c r="C248" s="24">
        <f t="shared" si="5"/>
        <v>24471400.81</v>
      </c>
      <c r="D248" s="25">
        <v>0.05</v>
      </c>
      <c r="E248" s="24">
        <f t="shared" si="6"/>
        <v>652.5476917</v>
      </c>
      <c r="F248" s="25">
        <v>0.02</v>
      </c>
      <c r="G248" s="24">
        <f t="shared" si="7"/>
        <v>16314267.21</v>
      </c>
      <c r="H248" s="25">
        <v>0.05</v>
      </c>
      <c r="I248" s="24">
        <f t="shared" si="8"/>
        <v>1305.095383</v>
      </c>
      <c r="J248" s="25">
        <v>0.02</v>
      </c>
      <c r="K248" s="25">
        <v>0.0</v>
      </c>
      <c r="L248" s="24">
        <f t="shared" ref="L248:O248" si="499">IF(L247="", "", 1 + MROUND(IFERROR(MINIFS(OFFSET(L247, -1, 0, -$B248, 1), OFFSET(L247, -1, 0, -$B248, 1), "&gt;0"), L247) + (LN(1 + $Z248) ^ U$2) * U$3, 1))</f>
        <v>156027</v>
      </c>
      <c r="M248" s="24">
        <f t="shared" si="499"/>
        <v>13200</v>
      </c>
      <c r="N248" s="24">
        <f t="shared" si="499"/>
        <v>2928</v>
      </c>
      <c r="O248" s="24">
        <f t="shared" si="499"/>
        <v>6747</v>
      </c>
      <c r="P248" s="24">
        <f t="shared" ref="P248:S248" si="500">L248*$Y$2</f>
        <v>39006.75</v>
      </c>
      <c r="Q248" s="24">
        <f t="shared" si="500"/>
        <v>3300</v>
      </c>
      <c r="R248" s="24">
        <f t="shared" si="500"/>
        <v>732</v>
      </c>
      <c r="S248" s="24">
        <f t="shared" si="500"/>
        <v>1686.75</v>
      </c>
      <c r="T248" s="24">
        <f t="shared" si="4"/>
        <v>26</v>
      </c>
      <c r="Z248" s="25">
        <f t="shared" si="12"/>
        <v>4734.066133</v>
      </c>
      <c r="AA248" s="26"/>
    </row>
    <row r="249">
      <c r="A249" s="16" t="s">
        <v>6</v>
      </c>
      <c r="B249" s="17">
        <v>248.0</v>
      </c>
      <c r="C249" s="24">
        <f t="shared" si="5"/>
        <v>25694970.85</v>
      </c>
      <c r="D249" s="25">
        <v>0.05</v>
      </c>
      <c r="E249" s="24">
        <f t="shared" si="6"/>
        <v>665.5986456</v>
      </c>
      <c r="F249" s="25">
        <v>0.02</v>
      </c>
      <c r="G249" s="24">
        <f t="shared" si="7"/>
        <v>17129980.57</v>
      </c>
      <c r="H249" s="25">
        <v>0.05</v>
      </c>
      <c r="I249" s="24">
        <f t="shared" si="8"/>
        <v>1331.197291</v>
      </c>
      <c r="J249" s="25">
        <v>0.02</v>
      </c>
      <c r="K249" s="25">
        <v>0.0</v>
      </c>
      <c r="L249" s="24">
        <f t="shared" ref="L249:O249" si="501">IF(L248="", "", 1 + MROUND(IFERROR(MINIFS(OFFSET(L248, -1, 0, -$B249, 1), OFFSET(L248, -1, 0, -$B249, 1), "&gt;0"), L248) + (LN(1 + $Z249) ^ U$2) * U$3, 1))</f>
        <v>157146</v>
      </c>
      <c r="M249" s="24">
        <f t="shared" si="501"/>
        <v>13290</v>
      </c>
      <c r="N249" s="24">
        <f t="shared" si="501"/>
        <v>2974</v>
      </c>
      <c r="O249" s="24">
        <f t="shared" si="501"/>
        <v>6793</v>
      </c>
      <c r="P249" s="24">
        <f t="shared" ref="P249:S249" si="502">L249*$Y$2</f>
        <v>39286.5</v>
      </c>
      <c r="Q249" s="24">
        <f t="shared" si="502"/>
        <v>3322.5</v>
      </c>
      <c r="R249" s="24">
        <f t="shared" si="502"/>
        <v>743.5</v>
      </c>
      <c r="S249" s="24">
        <f t="shared" si="502"/>
        <v>1698.25</v>
      </c>
      <c r="T249" s="24">
        <f t="shared" si="4"/>
        <v>26</v>
      </c>
      <c r="Z249" s="25">
        <f t="shared" si="12"/>
        <v>4899.793448</v>
      </c>
      <c r="AA249" s="26"/>
    </row>
    <row r="250">
      <c r="A250" s="16" t="s">
        <v>6</v>
      </c>
      <c r="B250" s="17">
        <v>249.0</v>
      </c>
      <c r="C250" s="24">
        <f t="shared" si="5"/>
        <v>26979719.39</v>
      </c>
      <c r="D250" s="25">
        <v>0.05</v>
      </c>
      <c r="E250" s="24">
        <f t="shared" si="6"/>
        <v>678.9106185</v>
      </c>
      <c r="F250" s="25">
        <v>0.02</v>
      </c>
      <c r="G250" s="24">
        <f t="shared" si="7"/>
        <v>17986479.6</v>
      </c>
      <c r="H250" s="25">
        <v>0.05</v>
      </c>
      <c r="I250" s="24">
        <f t="shared" si="8"/>
        <v>1357.821237</v>
      </c>
      <c r="J250" s="25">
        <v>0.02</v>
      </c>
      <c r="K250" s="25">
        <v>0.0</v>
      </c>
      <c r="L250" s="24">
        <f t="shared" ref="L250:O250" si="503">IF(L249="", "", 1 + MROUND(IFERROR(MINIFS(OFFSET(L249, -1, 0, -$B250, 1), OFFSET(L249, -1, 0, -$B250, 1), "&gt;0"), L249) + (LN(1 + $Z250) ^ U$2) * U$3, 1))</f>
        <v>158268</v>
      </c>
      <c r="M250" s="24">
        <f t="shared" si="503"/>
        <v>13381</v>
      </c>
      <c r="N250" s="24">
        <f t="shared" si="503"/>
        <v>3020</v>
      </c>
      <c r="O250" s="24">
        <f t="shared" si="503"/>
        <v>6839</v>
      </c>
      <c r="P250" s="24">
        <f t="shared" ref="P250:S250" si="504">L250*$Y$2</f>
        <v>39567</v>
      </c>
      <c r="Q250" s="24">
        <f t="shared" si="504"/>
        <v>3345.25</v>
      </c>
      <c r="R250" s="24">
        <f t="shared" si="504"/>
        <v>755</v>
      </c>
      <c r="S250" s="24">
        <f t="shared" si="504"/>
        <v>1709.75</v>
      </c>
      <c r="T250" s="24">
        <f t="shared" si="4"/>
        <v>26</v>
      </c>
      <c r="Z250" s="25">
        <f t="shared" si="12"/>
        <v>5071.321219</v>
      </c>
      <c r="AA250" s="26"/>
    </row>
    <row r="251">
      <c r="A251" s="16" t="s">
        <v>6</v>
      </c>
      <c r="B251" s="17">
        <v>250.0</v>
      </c>
      <c r="C251" s="24">
        <f t="shared" si="5"/>
        <v>28328705.36</v>
      </c>
      <c r="D251" s="25">
        <v>0.05</v>
      </c>
      <c r="E251" s="24">
        <f t="shared" si="6"/>
        <v>692.4888308</v>
      </c>
      <c r="F251" s="25">
        <v>0.02</v>
      </c>
      <c r="G251" s="24">
        <f t="shared" si="7"/>
        <v>18885803.57</v>
      </c>
      <c r="H251" s="25">
        <v>0.05</v>
      </c>
      <c r="I251" s="24">
        <f t="shared" si="8"/>
        <v>1384.977662</v>
      </c>
      <c r="J251" s="25">
        <v>0.02</v>
      </c>
      <c r="K251" s="25">
        <v>0.0</v>
      </c>
      <c r="L251" s="24">
        <f t="shared" ref="L251:O251" si="505">IF(L250="", "", 1 + MROUND(IFERROR(MINIFS(OFFSET(L250, -1, 0, -$B251, 1), OFFSET(L250, -1, 0, -$B251, 1), "&gt;0"), L250) + (LN(1 + $Z251) ^ U$2) * U$3, 1))</f>
        <v>159393</v>
      </c>
      <c r="M251" s="24">
        <f t="shared" si="505"/>
        <v>13472</v>
      </c>
      <c r="N251" s="24">
        <f t="shared" si="505"/>
        <v>3066</v>
      </c>
      <c r="O251" s="24">
        <f t="shared" si="505"/>
        <v>6885</v>
      </c>
      <c r="P251" s="24">
        <f t="shared" ref="P251:S251" si="506">L251*$Y$2</f>
        <v>39848.25</v>
      </c>
      <c r="Q251" s="24">
        <f t="shared" si="506"/>
        <v>3368</v>
      </c>
      <c r="R251" s="24">
        <f t="shared" si="506"/>
        <v>766.5</v>
      </c>
      <c r="S251" s="24">
        <f t="shared" si="506"/>
        <v>1721.25</v>
      </c>
      <c r="T251" s="24">
        <f t="shared" si="4"/>
        <v>26</v>
      </c>
      <c r="Z251" s="25">
        <f t="shared" si="12"/>
        <v>5248.852461</v>
      </c>
      <c r="AA251" s="26"/>
    </row>
    <row r="252">
      <c r="A252" s="16" t="s">
        <v>6</v>
      </c>
      <c r="B252" s="17">
        <v>251.0</v>
      </c>
      <c r="C252" s="24">
        <f t="shared" si="5"/>
        <v>29745140.63</v>
      </c>
      <c r="D252" s="25">
        <v>0.05</v>
      </c>
      <c r="E252" s="24">
        <f t="shared" si="6"/>
        <v>706.3386075</v>
      </c>
      <c r="F252" s="25">
        <v>0.02</v>
      </c>
      <c r="G252" s="24">
        <f t="shared" si="7"/>
        <v>19830093.75</v>
      </c>
      <c r="H252" s="25">
        <v>0.05</v>
      </c>
      <c r="I252" s="24">
        <f t="shared" si="8"/>
        <v>1412.677215</v>
      </c>
      <c r="J252" s="25">
        <v>0.02</v>
      </c>
      <c r="K252" s="25">
        <v>0.0</v>
      </c>
      <c r="L252" s="24">
        <f t="shared" ref="L252:O252" si="507">IF(L251="", "", 1 + MROUND(IFERROR(MINIFS(OFFSET(L251, -1, 0, -$B252, 1), OFFSET(L251, -1, 0, -$B252, 1), "&gt;0"), L251) + (LN(1 + $Z252) ^ U$2) * U$3, 1))</f>
        <v>160521</v>
      </c>
      <c r="M252" s="24">
        <f t="shared" si="507"/>
        <v>13563</v>
      </c>
      <c r="N252" s="24">
        <f t="shared" si="507"/>
        <v>3112</v>
      </c>
      <c r="O252" s="24">
        <f t="shared" si="507"/>
        <v>6931</v>
      </c>
      <c r="P252" s="24">
        <f t="shared" ref="P252:S252" si="508">L252*$Y$2</f>
        <v>40130.25</v>
      </c>
      <c r="Q252" s="24">
        <f t="shared" si="508"/>
        <v>3390.75</v>
      </c>
      <c r="R252" s="24">
        <f t="shared" si="508"/>
        <v>778</v>
      </c>
      <c r="S252" s="24">
        <f t="shared" si="508"/>
        <v>1732.75</v>
      </c>
      <c r="T252" s="24">
        <f t="shared" si="4"/>
        <v>26</v>
      </c>
      <c r="Z252" s="25">
        <f t="shared" si="12"/>
        <v>5432.597298</v>
      </c>
      <c r="AA252" s="26"/>
    </row>
    <row r="253">
      <c r="A253" s="16" t="s">
        <v>6</v>
      </c>
      <c r="B253" s="17">
        <v>252.0</v>
      </c>
      <c r="C253" s="24">
        <f t="shared" si="5"/>
        <v>31232397.66</v>
      </c>
      <c r="D253" s="25">
        <v>0.05</v>
      </c>
      <c r="E253" s="24">
        <f t="shared" si="6"/>
        <v>720.4653796</v>
      </c>
      <c r="F253" s="25">
        <v>0.02</v>
      </c>
      <c r="G253" s="24">
        <f t="shared" si="7"/>
        <v>20821598.44</v>
      </c>
      <c r="H253" s="25">
        <v>0.05</v>
      </c>
      <c r="I253" s="24">
        <f t="shared" si="8"/>
        <v>1440.930759</v>
      </c>
      <c r="J253" s="25">
        <v>0.02</v>
      </c>
      <c r="K253" s="25">
        <v>0.0</v>
      </c>
      <c r="L253" s="24">
        <f t="shared" ref="L253:O253" si="509">IF(L252="", "", 1 + MROUND(IFERROR(MINIFS(OFFSET(L252, -1, 0, -$B253, 1), OFFSET(L252, -1, 0, -$B253, 1), "&gt;0"), L252) + (LN(1 + $Z253) ^ U$2) * U$3, 1))</f>
        <v>161653</v>
      </c>
      <c r="M253" s="24">
        <f t="shared" si="509"/>
        <v>13654</v>
      </c>
      <c r="N253" s="24">
        <f t="shared" si="509"/>
        <v>3158</v>
      </c>
      <c r="O253" s="24">
        <f t="shared" si="509"/>
        <v>6977</v>
      </c>
      <c r="P253" s="24">
        <f t="shared" ref="P253:S253" si="510">L253*$Y$2</f>
        <v>40413.25</v>
      </c>
      <c r="Q253" s="24">
        <f t="shared" si="510"/>
        <v>3413.5</v>
      </c>
      <c r="R253" s="24">
        <f t="shared" si="510"/>
        <v>789.5</v>
      </c>
      <c r="S253" s="24">
        <f t="shared" si="510"/>
        <v>1744.25</v>
      </c>
      <c r="T253" s="24">
        <f t="shared" si="4"/>
        <v>26</v>
      </c>
      <c r="Z253" s="25">
        <f t="shared" si="12"/>
        <v>5622.773203</v>
      </c>
      <c r="AA253" s="26"/>
    </row>
    <row r="254">
      <c r="A254" s="16" t="s">
        <v>6</v>
      </c>
      <c r="B254" s="17">
        <v>253.0</v>
      </c>
      <c r="C254" s="24">
        <f t="shared" si="5"/>
        <v>32794017.54</v>
      </c>
      <c r="D254" s="25">
        <v>0.05</v>
      </c>
      <c r="E254" s="24">
        <f t="shared" si="6"/>
        <v>734.8746872</v>
      </c>
      <c r="F254" s="25">
        <v>0.02</v>
      </c>
      <c r="G254" s="24">
        <f t="shared" si="7"/>
        <v>21862678.36</v>
      </c>
      <c r="H254" s="25">
        <v>0.05</v>
      </c>
      <c r="I254" s="24">
        <f t="shared" si="8"/>
        <v>1469.749374</v>
      </c>
      <c r="J254" s="25">
        <v>0.02</v>
      </c>
      <c r="K254" s="25">
        <v>0.0</v>
      </c>
      <c r="L254" s="24">
        <f t="shared" ref="L254:O254" si="511">IF(L253="", "", 1 + MROUND(IFERROR(MINIFS(OFFSET(L253, -1, 0, -$B254, 1), OFFSET(L253, -1, 0, -$B254, 1), "&gt;0"), L253) + (LN(1 + $Z254) ^ U$2) * U$3, 1))</f>
        <v>162788</v>
      </c>
      <c r="M254" s="24">
        <f t="shared" si="511"/>
        <v>13746</v>
      </c>
      <c r="N254" s="24">
        <f t="shared" si="511"/>
        <v>3204</v>
      </c>
      <c r="O254" s="24">
        <f t="shared" si="511"/>
        <v>7023</v>
      </c>
      <c r="P254" s="24">
        <f t="shared" ref="P254:S254" si="512">L254*$Y$2</f>
        <v>40697</v>
      </c>
      <c r="Q254" s="24">
        <f t="shared" si="512"/>
        <v>3436.5</v>
      </c>
      <c r="R254" s="24">
        <f t="shared" si="512"/>
        <v>801</v>
      </c>
      <c r="S254" s="24">
        <f t="shared" si="512"/>
        <v>1755.75</v>
      </c>
      <c r="T254" s="24">
        <f t="shared" si="4"/>
        <v>26</v>
      </c>
      <c r="Z254" s="25">
        <f t="shared" si="12"/>
        <v>5819.605265</v>
      </c>
      <c r="AA254" s="26"/>
    </row>
    <row r="255">
      <c r="A255" s="16" t="s">
        <v>6</v>
      </c>
      <c r="B255" s="17">
        <v>254.0</v>
      </c>
      <c r="C255" s="24">
        <f t="shared" si="5"/>
        <v>34433718.42</v>
      </c>
      <c r="D255" s="25">
        <v>0.05</v>
      </c>
      <c r="E255" s="24">
        <f t="shared" si="6"/>
        <v>749.5721809</v>
      </c>
      <c r="F255" s="25">
        <v>0.02</v>
      </c>
      <c r="G255" s="24">
        <f t="shared" si="7"/>
        <v>22955812.28</v>
      </c>
      <c r="H255" s="25">
        <v>0.05</v>
      </c>
      <c r="I255" s="24">
        <f t="shared" si="8"/>
        <v>1499.144362</v>
      </c>
      <c r="J255" s="25">
        <v>0.02</v>
      </c>
      <c r="K255" s="25">
        <v>0.0</v>
      </c>
      <c r="L255" s="24">
        <f t="shared" ref="L255:O255" si="513">IF(L254="", "", 1 + MROUND(IFERROR(MINIFS(OFFSET(L254, -1, 0, -$B255, 1), OFFSET(L254, -1, 0, -$B255, 1), "&gt;0"), L254) + (LN(1 + $Z255) ^ U$2) * U$3, 1))</f>
        <v>163926</v>
      </c>
      <c r="M255" s="24">
        <f t="shared" si="513"/>
        <v>13838</v>
      </c>
      <c r="N255" s="24">
        <f t="shared" si="513"/>
        <v>3250</v>
      </c>
      <c r="O255" s="24">
        <f t="shared" si="513"/>
        <v>7069</v>
      </c>
      <c r="P255" s="24">
        <f t="shared" ref="P255:S255" si="514">L255*$Y$2</f>
        <v>40981.5</v>
      </c>
      <c r="Q255" s="24">
        <f t="shared" si="514"/>
        <v>3459.5</v>
      </c>
      <c r="R255" s="24">
        <f t="shared" si="514"/>
        <v>812.5</v>
      </c>
      <c r="S255" s="24">
        <f t="shared" si="514"/>
        <v>1767.25</v>
      </c>
      <c r="T255" s="24">
        <f t="shared" si="4"/>
        <v>26</v>
      </c>
      <c r="Z255" s="25">
        <f t="shared" si="12"/>
        <v>6023.326449</v>
      </c>
      <c r="AA255" s="26"/>
    </row>
    <row r="256">
      <c r="A256" s="16" t="s">
        <v>6</v>
      </c>
      <c r="B256" s="17">
        <v>255.0</v>
      </c>
      <c r="C256" s="24">
        <f t="shared" si="5"/>
        <v>36155404.34</v>
      </c>
      <c r="D256" s="25">
        <v>0.05</v>
      </c>
      <c r="E256" s="24">
        <f t="shared" si="6"/>
        <v>764.5636246</v>
      </c>
      <c r="F256" s="25">
        <v>0.02</v>
      </c>
      <c r="G256" s="24">
        <f t="shared" si="7"/>
        <v>24103602.9</v>
      </c>
      <c r="H256" s="25">
        <v>0.05</v>
      </c>
      <c r="I256" s="24">
        <f t="shared" si="8"/>
        <v>1529.127249</v>
      </c>
      <c r="J256" s="25">
        <v>0.02</v>
      </c>
      <c r="K256" s="25">
        <v>0.0</v>
      </c>
      <c r="L256" s="24">
        <f t="shared" ref="L256:O256" si="515">IF(L255="", "", 1 + MROUND(IFERROR(MINIFS(OFFSET(L255, -1, 0, -$B256, 1), OFFSET(L255, -1, 0, -$B256, 1), "&gt;0"), L255) + (LN(1 + $Z256) ^ U$2) * U$3, 1))</f>
        <v>165067</v>
      </c>
      <c r="M256" s="24">
        <f t="shared" si="515"/>
        <v>13930</v>
      </c>
      <c r="N256" s="24">
        <f t="shared" si="515"/>
        <v>3297</v>
      </c>
      <c r="O256" s="24">
        <f t="shared" si="515"/>
        <v>7116</v>
      </c>
      <c r="P256" s="24">
        <f t="shared" ref="P256:S256" si="516">L256*$Y$2</f>
        <v>41266.75</v>
      </c>
      <c r="Q256" s="24">
        <f t="shared" si="516"/>
        <v>3482.5</v>
      </c>
      <c r="R256" s="24">
        <f t="shared" si="516"/>
        <v>824.25</v>
      </c>
      <c r="S256" s="24">
        <f t="shared" si="516"/>
        <v>1779</v>
      </c>
      <c r="T256" s="24">
        <f t="shared" si="4"/>
        <v>27</v>
      </c>
      <c r="Z256" s="25">
        <f t="shared" si="12"/>
        <v>6234.177875</v>
      </c>
      <c r="AA256" s="26"/>
    </row>
    <row r="257">
      <c r="A257" s="16" t="s">
        <v>6</v>
      </c>
      <c r="B257" s="17">
        <v>256.0</v>
      </c>
      <c r="C257" s="24">
        <f t="shared" si="5"/>
        <v>37963174.56</v>
      </c>
      <c r="D257" s="25">
        <v>0.05</v>
      </c>
      <c r="E257" s="24">
        <f t="shared" si="6"/>
        <v>779.8548971</v>
      </c>
      <c r="F257" s="25">
        <v>0.02</v>
      </c>
      <c r="G257" s="24">
        <f t="shared" si="7"/>
        <v>25308783.04</v>
      </c>
      <c r="H257" s="25">
        <v>0.05</v>
      </c>
      <c r="I257" s="24">
        <f t="shared" si="8"/>
        <v>1559.709794</v>
      </c>
      <c r="J257" s="25">
        <v>0.02</v>
      </c>
      <c r="K257" s="25">
        <v>0.0</v>
      </c>
      <c r="L257" s="24">
        <f t="shared" ref="L257:O257" si="517">IF(L256="", "", 1 + MROUND(IFERROR(MINIFS(OFFSET(L256, -1, 0, -$B257, 1), OFFSET(L256, -1, 0, -$B257, 1), "&gt;0"), L256) + (LN(1 + $Z257) ^ U$2) * U$3, 1))</f>
        <v>166211</v>
      </c>
      <c r="M257" s="24">
        <f t="shared" si="517"/>
        <v>14022</v>
      </c>
      <c r="N257" s="24">
        <f t="shared" si="517"/>
        <v>3344</v>
      </c>
      <c r="O257" s="24">
        <f t="shared" si="517"/>
        <v>7163</v>
      </c>
      <c r="P257" s="24">
        <f t="shared" ref="P257:S257" si="518">L257*$Y$2</f>
        <v>41552.75</v>
      </c>
      <c r="Q257" s="24">
        <f t="shared" si="518"/>
        <v>3505.5</v>
      </c>
      <c r="R257" s="24">
        <f t="shared" si="518"/>
        <v>836</v>
      </c>
      <c r="S257" s="24">
        <f t="shared" si="518"/>
        <v>1790.75</v>
      </c>
      <c r="T257" s="24">
        <f t="shared" si="4"/>
        <v>27</v>
      </c>
      <c r="Z257" s="25">
        <f t="shared" si="12"/>
        <v>6452.409101</v>
      </c>
      <c r="AA257" s="26"/>
    </row>
    <row r="258">
      <c r="A258" s="16" t="s">
        <v>6</v>
      </c>
      <c r="B258" s="17">
        <v>257.0</v>
      </c>
      <c r="C258" s="24">
        <f t="shared" si="5"/>
        <v>39861333.29</v>
      </c>
      <c r="D258" s="25">
        <v>0.05</v>
      </c>
      <c r="E258" s="24">
        <f t="shared" si="6"/>
        <v>795.451995</v>
      </c>
      <c r="F258" s="25">
        <v>0.02</v>
      </c>
      <c r="G258" s="24">
        <f t="shared" si="7"/>
        <v>26574222.19</v>
      </c>
      <c r="H258" s="25">
        <v>0.05</v>
      </c>
      <c r="I258" s="24">
        <f t="shared" si="8"/>
        <v>1590.90399</v>
      </c>
      <c r="J258" s="25">
        <v>0.02</v>
      </c>
      <c r="K258" s="25">
        <v>0.0</v>
      </c>
      <c r="L258" s="24">
        <f t="shared" ref="L258:O258" si="519">IF(L257="", "", 1 + MROUND(IFERROR(MINIFS(OFFSET(L257, -1, 0, -$B258, 1), OFFSET(L257, -1, 0, -$B258, 1), "&gt;0"), L257) + (LN(1 + $Z258) ^ U$2) * U$3, 1))</f>
        <v>167358</v>
      </c>
      <c r="M258" s="24">
        <f t="shared" si="519"/>
        <v>14115</v>
      </c>
      <c r="N258" s="24">
        <f t="shared" si="519"/>
        <v>3391</v>
      </c>
      <c r="O258" s="24">
        <f t="shared" si="519"/>
        <v>7210</v>
      </c>
      <c r="P258" s="24">
        <f t="shared" ref="P258:S258" si="520">L258*$Y$2</f>
        <v>41839.5</v>
      </c>
      <c r="Q258" s="24">
        <f t="shared" si="520"/>
        <v>3528.75</v>
      </c>
      <c r="R258" s="24">
        <f t="shared" si="520"/>
        <v>847.75</v>
      </c>
      <c r="S258" s="24">
        <f t="shared" si="520"/>
        <v>1802.5</v>
      </c>
      <c r="T258" s="24">
        <f t="shared" si="4"/>
        <v>27</v>
      </c>
      <c r="Z258" s="25">
        <f t="shared" si="12"/>
        <v>6678.278419</v>
      </c>
      <c r="AA258" s="26"/>
    </row>
    <row r="259">
      <c r="A259" s="16" t="s">
        <v>6</v>
      </c>
      <c r="B259" s="17">
        <v>258.0</v>
      </c>
      <c r="C259" s="24">
        <f t="shared" si="5"/>
        <v>41854399.95</v>
      </c>
      <c r="D259" s="25">
        <v>0.05</v>
      </c>
      <c r="E259" s="24">
        <f t="shared" si="6"/>
        <v>811.3610349</v>
      </c>
      <c r="F259" s="25">
        <v>0.02</v>
      </c>
      <c r="G259" s="24">
        <f t="shared" si="7"/>
        <v>27902933.3</v>
      </c>
      <c r="H259" s="25">
        <v>0.05</v>
      </c>
      <c r="I259" s="24">
        <f t="shared" si="8"/>
        <v>1622.72207</v>
      </c>
      <c r="J259" s="25">
        <v>0.02</v>
      </c>
      <c r="K259" s="25">
        <v>0.0</v>
      </c>
      <c r="L259" s="24">
        <f t="shared" ref="L259:O259" si="521">IF(L258="", "", 1 + MROUND(IFERROR(MINIFS(OFFSET(L258, -1, 0, -$B259, 1), OFFSET(L258, -1, 0, -$B259, 1), "&gt;0"), L258) + (LN(1 + $Z259) ^ U$2) * U$3, 1))</f>
        <v>168508</v>
      </c>
      <c r="M259" s="24">
        <f t="shared" si="521"/>
        <v>14208</v>
      </c>
      <c r="N259" s="24">
        <f t="shared" si="521"/>
        <v>3438</v>
      </c>
      <c r="O259" s="24">
        <f t="shared" si="521"/>
        <v>7257</v>
      </c>
      <c r="P259" s="24">
        <f t="shared" ref="P259:S259" si="522">L259*$Y$2</f>
        <v>42127</v>
      </c>
      <c r="Q259" s="24">
        <f t="shared" si="522"/>
        <v>3552</v>
      </c>
      <c r="R259" s="24">
        <f t="shared" si="522"/>
        <v>859.5</v>
      </c>
      <c r="S259" s="24">
        <f t="shared" si="522"/>
        <v>1814.25</v>
      </c>
      <c r="T259" s="24">
        <f t="shared" si="4"/>
        <v>27</v>
      </c>
      <c r="Z259" s="25">
        <f t="shared" si="12"/>
        <v>6912.053164</v>
      </c>
      <c r="AA259" s="26"/>
    </row>
    <row r="260">
      <c r="A260" s="16" t="s">
        <v>6</v>
      </c>
      <c r="B260" s="17">
        <v>259.0</v>
      </c>
      <c r="C260" s="24">
        <f t="shared" si="5"/>
        <v>43947119.95</v>
      </c>
      <c r="D260" s="25">
        <v>0.05</v>
      </c>
      <c r="E260" s="24">
        <f t="shared" si="6"/>
        <v>827.5882556</v>
      </c>
      <c r="F260" s="25">
        <v>0.02</v>
      </c>
      <c r="G260" s="24">
        <f t="shared" si="7"/>
        <v>29298079.97</v>
      </c>
      <c r="H260" s="25">
        <v>0.05</v>
      </c>
      <c r="I260" s="24">
        <f t="shared" si="8"/>
        <v>1655.176511</v>
      </c>
      <c r="J260" s="25">
        <v>0.02</v>
      </c>
      <c r="K260" s="25">
        <v>0.0</v>
      </c>
      <c r="L260" s="24">
        <f t="shared" ref="L260:O260" si="523">IF(L259="", "", 1 + MROUND(IFERROR(MINIFS(OFFSET(L259, -1, 0, -$B260, 1), OFFSET(L259, -1, 0, -$B260, 1), "&gt;0"), L259) + (LN(1 + $Z260) ^ U$2) * U$3, 1))</f>
        <v>169662</v>
      </c>
      <c r="M260" s="24">
        <f t="shared" si="523"/>
        <v>14301</v>
      </c>
      <c r="N260" s="24">
        <f t="shared" si="523"/>
        <v>3485</v>
      </c>
      <c r="O260" s="24">
        <f t="shared" si="523"/>
        <v>7304</v>
      </c>
      <c r="P260" s="24">
        <f t="shared" ref="P260:S260" si="524">L260*$Y$2</f>
        <v>42415.5</v>
      </c>
      <c r="Q260" s="24">
        <f t="shared" si="524"/>
        <v>3575.25</v>
      </c>
      <c r="R260" s="24">
        <f t="shared" si="524"/>
        <v>871.25</v>
      </c>
      <c r="S260" s="24">
        <f t="shared" si="524"/>
        <v>1826</v>
      </c>
      <c r="T260" s="24">
        <f t="shared" si="4"/>
        <v>27</v>
      </c>
      <c r="Z260" s="25">
        <f t="shared" si="12"/>
        <v>7154.010025</v>
      </c>
      <c r="AA260" s="26"/>
    </row>
    <row r="261">
      <c r="A261" s="16" t="s">
        <v>6</v>
      </c>
      <c r="B261" s="17">
        <v>260.0</v>
      </c>
      <c r="C261" s="24">
        <f t="shared" si="5"/>
        <v>46144475.95</v>
      </c>
      <c r="D261" s="25">
        <v>0.05</v>
      </c>
      <c r="E261" s="24">
        <f t="shared" si="6"/>
        <v>844.1400207</v>
      </c>
      <c r="F261" s="25">
        <v>0.02</v>
      </c>
      <c r="G261" s="24">
        <f t="shared" si="7"/>
        <v>30762983.97</v>
      </c>
      <c r="H261" s="25">
        <v>0.05</v>
      </c>
      <c r="I261" s="24">
        <f t="shared" si="8"/>
        <v>1688.280041</v>
      </c>
      <c r="J261" s="25">
        <v>0.02</v>
      </c>
      <c r="K261" s="25">
        <v>0.0</v>
      </c>
      <c r="L261" s="24">
        <f t="shared" ref="L261:O261" si="525">IF(L260="", "", 1 + MROUND(IFERROR(MINIFS(OFFSET(L260, -1, 0, -$B261, 1), OFFSET(L260, -1, 0, -$B261, 1), "&gt;0"), L260) + (LN(1 + $Z261) ^ U$2) * U$3, 1))</f>
        <v>170819</v>
      </c>
      <c r="M261" s="24">
        <f t="shared" si="525"/>
        <v>14394</v>
      </c>
      <c r="N261" s="24">
        <f t="shared" si="525"/>
        <v>3532</v>
      </c>
      <c r="O261" s="24">
        <f t="shared" si="525"/>
        <v>7351</v>
      </c>
      <c r="P261" s="24">
        <f t="shared" ref="P261:S261" si="526">L261*$Y$2</f>
        <v>42704.75</v>
      </c>
      <c r="Q261" s="24">
        <f t="shared" si="526"/>
        <v>3598.5</v>
      </c>
      <c r="R261" s="24">
        <f t="shared" si="526"/>
        <v>883</v>
      </c>
      <c r="S261" s="24">
        <f t="shared" si="526"/>
        <v>1837.75</v>
      </c>
      <c r="T261" s="24">
        <f t="shared" si="4"/>
        <v>27</v>
      </c>
      <c r="Z261" s="25">
        <f t="shared" si="12"/>
        <v>7404.435376</v>
      </c>
      <c r="AA261" s="26"/>
    </row>
    <row r="262">
      <c r="A262" s="16" t="s">
        <v>6</v>
      </c>
      <c r="B262" s="17">
        <v>261.0</v>
      </c>
      <c r="C262" s="24">
        <f t="shared" si="5"/>
        <v>48451699.75</v>
      </c>
      <c r="D262" s="25">
        <v>0.05</v>
      </c>
      <c r="E262" s="24">
        <f t="shared" si="6"/>
        <v>861.0228211</v>
      </c>
      <c r="F262" s="25">
        <v>0.02</v>
      </c>
      <c r="G262" s="24">
        <f t="shared" si="7"/>
        <v>32301133.16</v>
      </c>
      <c r="H262" s="25">
        <v>0.05</v>
      </c>
      <c r="I262" s="24">
        <f t="shared" si="8"/>
        <v>1722.045642</v>
      </c>
      <c r="J262" s="25">
        <v>0.02</v>
      </c>
      <c r="K262" s="25">
        <v>0.0</v>
      </c>
      <c r="L262" s="24">
        <f t="shared" ref="L262:O262" si="527">IF(L261="", "", 1 + MROUND(IFERROR(MINIFS(OFFSET(L261, -1, 0, -$B262, 1), OFFSET(L261, -1, 0, -$B262, 1), "&gt;0"), L261) + (LN(1 + $Z262) ^ U$2) * U$3, 1))</f>
        <v>171979</v>
      </c>
      <c r="M262" s="24">
        <f t="shared" si="527"/>
        <v>14488</v>
      </c>
      <c r="N262" s="24">
        <f t="shared" si="527"/>
        <v>3579</v>
      </c>
      <c r="O262" s="24">
        <f t="shared" si="527"/>
        <v>7398</v>
      </c>
      <c r="P262" s="24">
        <f t="shared" ref="P262:S262" si="528">L262*$Y$2</f>
        <v>42994.75</v>
      </c>
      <c r="Q262" s="24">
        <f t="shared" si="528"/>
        <v>3622</v>
      </c>
      <c r="R262" s="24">
        <f t="shared" si="528"/>
        <v>894.75</v>
      </c>
      <c r="S262" s="24">
        <f t="shared" si="528"/>
        <v>1849.5</v>
      </c>
      <c r="T262" s="24">
        <f t="shared" si="4"/>
        <v>27</v>
      </c>
      <c r="Z262" s="25">
        <f t="shared" si="12"/>
        <v>7663.625614</v>
      </c>
      <c r="AA262" s="26"/>
    </row>
    <row r="263">
      <c r="A263" s="16" t="s">
        <v>6</v>
      </c>
      <c r="B263" s="17">
        <v>262.0</v>
      </c>
      <c r="C263" s="24">
        <f t="shared" si="5"/>
        <v>50874284.73</v>
      </c>
      <c r="D263" s="25">
        <v>0.05</v>
      </c>
      <c r="E263" s="24">
        <f t="shared" si="6"/>
        <v>878.2432775</v>
      </c>
      <c r="F263" s="25">
        <v>0.02</v>
      </c>
      <c r="G263" s="24">
        <f t="shared" si="7"/>
        <v>33916189.82</v>
      </c>
      <c r="H263" s="25">
        <v>0.05</v>
      </c>
      <c r="I263" s="24">
        <f t="shared" si="8"/>
        <v>1756.486555</v>
      </c>
      <c r="J263" s="25">
        <v>0.02</v>
      </c>
      <c r="K263" s="25">
        <v>0.0</v>
      </c>
      <c r="L263" s="24">
        <f t="shared" ref="L263:O263" si="529">IF(L262="", "", 1 + MROUND(IFERROR(MINIFS(OFFSET(L262, -1, 0, -$B263, 1), OFFSET(L262, -1, 0, -$B263, 1), "&gt;0"), L262) + (LN(1 + $Z263) ^ U$2) * U$3, 1))</f>
        <v>173142</v>
      </c>
      <c r="M263" s="24">
        <f t="shared" si="529"/>
        <v>14582</v>
      </c>
      <c r="N263" s="24">
        <f t="shared" si="529"/>
        <v>3626</v>
      </c>
      <c r="O263" s="24">
        <f t="shared" si="529"/>
        <v>7445</v>
      </c>
      <c r="P263" s="24">
        <f t="shared" ref="P263:S263" si="530">L263*$Y$2</f>
        <v>43285.5</v>
      </c>
      <c r="Q263" s="24">
        <f t="shared" si="530"/>
        <v>3645.5</v>
      </c>
      <c r="R263" s="24">
        <f t="shared" si="530"/>
        <v>906.5</v>
      </c>
      <c r="S263" s="24">
        <f t="shared" si="530"/>
        <v>1861.25</v>
      </c>
      <c r="T263" s="24">
        <f t="shared" si="4"/>
        <v>27</v>
      </c>
      <c r="Z263" s="25">
        <f t="shared" si="12"/>
        <v>7931.88751</v>
      </c>
      <c r="AA263" s="26"/>
    </row>
    <row r="264">
      <c r="A264" s="16" t="s">
        <v>6</v>
      </c>
      <c r="B264" s="17">
        <v>263.0</v>
      </c>
      <c r="C264" s="24">
        <f t="shared" si="5"/>
        <v>53417998.97</v>
      </c>
      <c r="D264" s="25">
        <v>0.05</v>
      </c>
      <c r="E264" s="24">
        <f t="shared" si="6"/>
        <v>895.8081431</v>
      </c>
      <c r="F264" s="25">
        <v>0.02</v>
      </c>
      <c r="G264" s="24">
        <f t="shared" si="7"/>
        <v>35611999.31</v>
      </c>
      <c r="H264" s="25">
        <v>0.05</v>
      </c>
      <c r="I264" s="24">
        <f t="shared" si="8"/>
        <v>1791.616286</v>
      </c>
      <c r="J264" s="25">
        <v>0.02</v>
      </c>
      <c r="K264" s="25">
        <v>0.0</v>
      </c>
      <c r="L264" s="24">
        <f t="shared" ref="L264:O264" si="531">IF(L263="", "", 1 + MROUND(IFERROR(MINIFS(OFFSET(L263, -1, 0, -$B264, 1), OFFSET(L263, -1, 0, -$B264, 1), "&gt;0"), L263) + (LN(1 + $Z264) ^ U$2) * U$3, 1))</f>
        <v>174308</v>
      </c>
      <c r="M264" s="24">
        <f t="shared" si="531"/>
        <v>14676</v>
      </c>
      <c r="N264" s="24">
        <f t="shared" si="531"/>
        <v>3674</v>
      </c>
      <c r="O264" s="24">
        <f t="shared" si="531"/>
        <v>7493</v>
      </c>
      <c r="P264" s="24">
        <f t="shared" ref="P264:S264" si="532">L264*$Y$2</f>
        <v>43577</v>
      </c>
      <c r="Q264" s="24">
        <f t="shared" si="532"/>
        <v>3669</v>
      </c>
      <c r="R264" s="24">
        <f t="shared" si="532"/>
        <v>918.5</v>
      </c>
      <c r="S264" s="24">
        <f t="shared" si="532"/>
        <v>1873.25</v>
      </c>
      <c r="T264" s="24">
        <f t="shared" si="4"/>
        <v>27</v>
      </c>
      <c r="Z264" s="25">
        <f t="shared" si="12"/>
        <v>8209.538573</v>
      </c>
      <c r="AA264" s="26"/>
    </row>
    <row r="265">
      <c r="A265" s="16" t="s">
        <v>6</v>
      </c>
      <c r="B265" s="17">
        <v>264.0</v>
      </c>
      <c r="C265" s="24">
        <f t="shared" si="5"/>
        <v>56088898.92</v>
      </c>
      <c r="D265" s="25">
        <v>0.05</v>
      </c>
      <c r="E265" s="24">
        <f t="shared" si="6"/>
        <v>913.724306</v>
      </c>
      <c r="F265" s="25">
        <v>0.02</v>
      </c>
      <c r="G265" s="24">
        <f t="shared" si="7"/>
        <v>37392599.28</v>
      </c>
      <c r="H265" s="25">
        <v>0.05</v>
      </c>
      <c r="I265" s="24">
        <f t="shared" si="8"/>
        <v>1827.448612</v>
      </c>
      <c r="J265" s="25">
        <v>0.02</v>
      </c>
      <c r="K265" s="25">
        <v>0.0</v>
      </c>
      <c r="L265" s="24">
        <f t="shared" ref="L265:O265" si="533">IF(L264="", "", 1 + MROUND(IFERROR(MINIFS(OFFSET(L264, -1, 0, -$B265, 1), OFFSET(L264, -1, 0, -$B265, 1), "&gt;0"), L264) + (LN(1 + $Z265) ^ U$2) * U$3, 1))</f>
        <v>175477</v>
      </c>
      <c r="M265" s="24">
        <f t="shared" si="533"/>
        <v>14770</v>
      </c>
      <c r="N265" s="24">
        <f t="shared" si="533"/>
        <v>3722</v>
      </c>
      <c r="O265" s="24">
        <f t="shared" si="533"/>
        <v>7541</v>
      </c>
      <c r="P265" s="24">
        <f t="shared" ref="P265:S265" si="534">L265*$Y$2</f>
        <v>43869.25</v>
      </c>
      <c r="Q265" s="24">
        <f t="shared" si="534"/>
        <v>3692.5</v>
      </c>
      <c r="R265" s="24">
        <f t="shared" si="534"/>
        <v>930.5</v>
      </c>
      <c r="S265" s="24">
        <f t="shared" si="534"/>
        <v>1885.25</v>
      </c>
      <c r="T265" s="24">
        <f t="shared" si="4"/>
        <v>27</v>
      </c>
      <c r="Z265" s="25">
        <f t="shared" si="12"/>
        <v>8496.907423</v>
      </c>
      <c r="AA265" s="26"/>
    </row>
    <row r="266">
      <c r="A266" s="16" t="s">
        <v>6</v>
      </c>
      <c r="B266" s="17">
        <v>265.0</v>
      </c>
      <c r="C266" s="24">
        <f t="shared" si="5"/>
        <v>58893343.86</v>
      </c>
      <c r="D266" s="25">
        <v>0.05</v>
      </c>
      <c r="E266" s="24">
        <f t="shared" si="6"/>
        <v>931.9987921</v>
      </c>
      <c r="F266" s="25">
        <v>0.02</v>
      </c>
      <c r="G266" s="24">
        <f t="shared" si="7"/>
        <v>39262229.24</v>
      </c>
      <c r="H266" s="25">
        <v>0.05</v>
      </c>
      <c r="I266" s="24">
        <f t="shared" si="8"/>
        <v>1863.997584</v>
      </c>
      <c r="J266" s="25">
        <v>0.02</v>
      </c>
      <c r="K266" s="25">
        <v>0.0</v>
      </c>
      <c r="L266" s="24">
        <f t="shared" ref="L266:O266" si="535">IF(L265="", "", 1 + MROUND(IFERROR(MINIFS(OFFSET(L265, -1, 0, -$B266, 1), OFFSET(L265, -1, 0, -$B266, 1), "&gt;0"), L265) + (LN(1 + $Z266) ^ U$2) * U$3, 1))</f>
        <v>176649</v>
      </c>
      <c r="M266" s="24">
        <f t="shared" si="535"/>
        <v>14865</v>
      </c>
      <c r="N266" s="24">
        <f t="shared" si="535"/>
        <v>3770</v>
      </c>
      <c r="O266" s="24">
        <f t="shared" si="535"/>
        <v>7589</v>
      </c>
      <c r="P266" s="24">
        <f t="shared" ref="P266:S266" si="536">L266*$Y$2</f>
        <v>44162.25</v>
      </c>
      <c r="Q266" s="24">
        <f t="shared" si="536"/>
        <v>3716.25</v>
      </c>
      <c r="R266" s="24">
        <f t="shared" si="536"/>
        <v>942.5</v>
      </c>
      <c r="S266" s="24">
        <f t="shared" si="536"/>
        <v>1897.25</v>
      </c>
      <c r="T266" s="24">
        <f t="shared" si="4"/>
        <v>28</v>
      </c>
      <c r="Z266" s="25">
        <f t="shared" si="12"/>
        <v>8794.334183</v>
      </c>
      <c r="AA266" s="26"/>
    </row>
    <row r="267">
      <c r="A267" s="16" t="s">
        <v>6</v>
      </c>
      <c r="B267" s="17">
        <v>266.0</v>
      </c>
      <c r="C267" s="24">
        <f t="shared" si="5"/>
        <v>61838011.06</v>
      </c>
      <c r="D267" s="25">
        <v>0.05</v>
      </c>
      <c r="E267" s="24">
        <f t="shared" si="6"/>
        <v>950.6387679</v>
      </c>
      <c r="F267" s="25">
        <v>0.02</v>
      </c>
      <c r="G267" s="24">
        <f t="shared" si="7"/>
        <v>41225340.7</v>
      </c>
      <c r="H267" s="25">
        <v>0.05</v>
      </c>
      <c r="I267" s="24">
        <f t="shared" si="8"/>
        <v>1901.277536</v>
      </c>
      <c r="J267" s="25">
        <v>0.02</v>
      </c>
      <c r="K267" s="25">
        <v>0.0</v>
      </c>
      <c r="L267" s="24">
        <f t="shared" ref="L267:O267" si="537">IF(L266="", "", 1 + MROUND(IFERROR(MINIFS(OFFSET(L266, -1, 0, -$B267, 1), OFFSET(L266, -1, 0, -$B267, 1), "&gt;0"), L266) + (LN(1 + $Z267) ^ U$2) * U$3, 1))</f>
        <v>177824</v>
      </c>
      <c r="M267" s="24">
        <f t="shared" si="537"/>
        <v>14960</v>
      </c>
      <c r="N267" s="24">
        <f t="shared" si="537"/>
        <v>3818</v>
      </c>
      <c r="O267" s="24">
        <f t="shared" si="537"/>
        <v>7637</v>
      </c>
      <c r="P267" s="24">
        <f t="shared" ref="P267:S267" si="538">L267*$Y$2</f>
        <v>44456</v>
      </c>
      <c r="Q267" s="24">
        <f t="shared" si="538"/>
        <v>3740</v>
      </c>
      <c r="R267" s="24">
        <f t="shared" si="538"/>
        <v>954.5</v>
      </c>
      <c r="S267" s="24">
        <f t="shared" si="538"/>
        <v>1909.25</v>
      </c>
      <c r="T267" s="24">
        <f t="shared" si="4"/>
        <v>28</v>
      </c>
      <c r="Z267" s="25">
        <f t="shared" si="12"/>
        <v>9102.170879</v>
      </c>
      <c r="AA267" s="26"/>
    </row>
    <row r="268">
      <c r="A268" s="16" t="s">
        <v>6</v>
      </c>
      <c r="B268" s="17">
        <v>267.0</v>
      </c>
      <c r="C268" s="24">
        <f t="shared" si="5"/>
        <v>64929911.61</v>
      </c>
      <c r="D268" s="25">
        <v>0.05</v>
      </c>
      <c r="E268" s="24">
        <f t="shared" si="6"/>
        <v>969.6515433</v>
      </c>
      <c r="F268" s="25">
        <v>0.02</v>
      </c>
      <c r="G268" s="24">
        <f t="shared" si="7"/>
        <v>43286607.74</v>
      </c>
      <c r="H268" s="25">
        <v>0.05</v>
      </c>
      <c r="I268" s="24">
        <f t="shared" si="8"/>
        <v>1939.303087</v>
      </c>
      <c r="J268" s="25">
        <v>0.02</v>
      </c>
      <c r="K268" s="25">
        <v>0.0</v>
      </c>
      <c r="L268" s="24">
        <f t="shared" ref="L268:O268" si="539">IF(L267="", "", 1 + MROUND(IFERROR(MINIFS(OFFSET(L267, -1, 0, -$B268, 1), OFFSET(L267, -1, 0, -$B268, 1), "&gt;0"), L267) + (LN(1 + $Z268) ^ U$2) * U$3, 1))</f>
        <v>179002</v>
      </c>
      <c r="M268" s="24">
        <f t="shared" si="539"/>
        <v>15055</v>
      </c>
      <c r="N268" s="24">
        <f t="shared" si="539"/>
        <v>3866</v>
      </c>
      <c r="O268" s="24">
        <f t="shared" si="539"/>
        <v>7685</v>
      </c>
      <c r="P268" s="24">
        <f t="shared" ref="P268:S268" si="540">L268*$Y$2</f>
        <v>44750.5</v>
      </c>
      <c r="Q268" s="24">
        <f t="shared" si="540"/>
        <v>3763.75</v>
      </c>
      <c r="R268" s="24">
        <f t="shared" si="540"/>
        <v>966.5</v>
      </c>
      <c r="S268" s="24">
        <f t="shared" si="540"/>
        <v>1921.25</v>
      </c>
      <c r="T268" s="24">
        <f t="shared" si="4"/>
        <v>28</v>
      </c>
      <c r="Z268" s="25">
        <f t="shared" si="12"/>
        <v>9420.78186</v>
      </c>
      <c r="AA268" s="26"/>
    </row>
    <row r="269">
      <c r="A269" s="16" t="s">
        <v>6</v>
      </c>
      <c r="B269" s="17">
        <v>268.0</v>
      </c>
      <c r="C269" s="24">
        <f t="shared" si="5"/>
        <v>68176407.19</v>
      </c>
      <c r="D269" s="25">
        <v>0.05</v>
      </c>
      <c r="E269" s="24">
        <f t="shared" si="6"/>
        <v>989.0445741</v>
      </c>
      <c r="F269" s="25">
        <v>0.02</v>
      </c>
      <c r="G269" s="24">
        <f t="shared" si="7"/>
        <v>45450938.13</v>
      </c>
      <c r="H269" s="25">
        <v>0.05</v>
      </c>
      <c r="I269" s="24">
        <f t="shared" si="8"/>
        <v>1978.089148</v>
      </c>
      <c r="J269" s="25">
        <v>0.02</v>
      </c>
      <c r="K269" s="25">
        <v>0.0</v>
      </c>
      <c r="L269" s="24">
        <f t="shared" ref="L269:O269" si="541">IF(L268="", "", 1 + MROUND(IFERROR(MINIFS(OFFSET(L268, -1, 0, -$B269, 1), OFFSET(L268, -1, 0, -$B269, 1), "&gt;0"), L268) + (LN(1 + $Z269) ^ U$2) * U$3, 1))</f>
        <v>180184</v>
      </c>
      <c r="M269" s="24">
        <f t="shared" si="541"/>
        <v>15150</v>
      </c>
      <c r="N269" s="24">
        <f t="shared" si="541"/>
        <v>3914</v>
      </c>
      <c r="O269" s="24">
        <f t="shared" si="541"/>
        <v>7733</v>
      </c>
      <c r="P269" s="24">
        <f t="shared" ref="P269:S269" si="542">L269*$Y$2</f>
        <v>45046</v>
      </c>
      <c r="Q269" s="24">
        <f t="shared" si="542"/>
        <v>3787.5</v>
      </c>
      <c r="R269" s="24">
        <f t="shared" si="542"/>
        <v>978.5</v>
      </c>
      <c r="S269" s="24">
        <f t="shared" si="542"/>
        <v>1933.25</v>
      </c>
      <c r="T269" s="24">
        <f t="shared" si="4"/>
        <v>28</v>
      </c>
      <c r="Z269" s="25">
        <f t="shared" si="12"/>
        <v>9750.544225</v>
      </c>
      <c r="AA269" s="26"/>
    </row>
    <row r="270">
      <c r="A270" s="16" t="s">
        <v>6</v>
      </c>
      <c r="B270" s="17">
        <v>269.0</v>
      </c>
      <c r="C270" s="24">
        <f t="shared" si="5"/>
        <v>71585227.55</v>
      </c>
      <c r="D270" s="25">
        <v>0.05</v>
      </c>
      <c r="E270" s="24">
        <f t="shared" si="6"/>
        <v>1008.825466</v>
      </c>
      <c r="F270" s="25">
        <v>0.02</v>
      </c>
      <c r="G270" s="24">
        <f t="shared" si="7"/>
        <v>47723485.03</v>
      </c>
      <c r="H270" s="25">
        <v>0.05</v>
      </c>
      <c r="I270" s="24">
        <f t="shared" si="8"/>
        <v>2017.650931</v>
      </c>
      <c r="J270" s="25">
        <v>0.02</v>
      </c>
      <c r="K270" s="25">
        <v>0.0</v>
      </c>
      <c r="L270" s="24">
        <f t="shared" ref="L270:O270" si="543">IF(L269="", "", 1 + MROUND(IFERROR(MINIFS(OFFSET(L269, -1, 0, -$B270, 1), OFFSET(L269, -1, 0, -$B270, 1), "&gt;0"), L269) + (LN(1 + $Z270) ^ U$2) * U$3, 1))</f>
        <v>181369</v>
      </c>
      <c r="M270" s="24">
        <f t="shared" si="543"/>
        <v>15246</v>
      </c>
      <c r="N270" s="24">
        <f t="shared" si="543"/>
        <v>3962</v>
      </c>
      <c r="O270" s="24">
        <f t="shared" si="543"/>
        <v>7781</v>
      </c>
      <c r="P270" s="24">
        <f t="shared" ref="P270:S270" si="544">L270*$Y$2</f>
        <v>45342.25</v>
      </c>
      <c r="Q270" s="24">
        <f t="shared" si="544"/>
        <v>3811.5</v>
      </c>
      <c r="R270" s="24">
        <f t="shared" si="544"/>
        <v>990.5</v>
      </c>
      <c r="S270" s="24">
        <f t="shared" si="544"/>
        <v>1945.25</v>
      </c>
      <c r="T270" s="24">
        <f t="shared" si="4"/>
        <v>28</v>
      </c>
      <c r="Z270" s="25">
        <f t="shared" si="12"/>
        <v>10091.84827</v>
      </c>
      <c r="AA270" s="26"/>
    </row>
    <row r="271">
      <c r="A271" s="16" t="s">
        <v>6</v>
      </c>
      <c r="B271" s="17">
        <v>270.0</v>
      </c>
      <c r="C271" s="24">
        <f t="shared" si="5"/>
        <v>75164488.93</v>
      </c>
      <c r="D271" s="25">
        <v>0.05</v>
      </c>
      <c r="E271" s="24">
        <f t="shared" si="6"/>
        <v>1029.001975</v>
      </c>
      <c r="F271" s="25">
        <v>0.02</v>
      </c>
      <c r="G271" s="24">
        <f t="shared" si="7"/>
        <v>50109659.28</v>
      </c>
      <c r="H271" s="25">
        <v>0.05</v>
      </c>
      <c r="I271" s="24">
        <f t="shared" si="8"/>
        <v>2058.00395</v>
      </c>
      <c r="J271" s="25">
        <v>0.02</v>
      </c>
      <c r="K271" s="25">
        <v>0.0</v>
      </c>
      <c r="L271" s="24">
        <f t="shared" ref="L271:O271" si="545">IF(L270="", "", 1 + MROUND(IFERROR(MINIFS(OFFSET(L270, -1, 0, -$B271, 1), OFFSET(L270, -1, 0, -$B271, 1), "&gt;0"), L270) + (LN(1 + $Z271) ^ U$2) * U$3, 1))</f>
        <v>182557</v>
      </c>
      <c r="M271" s="24">
        <f t="shared" si="545"/>
        <v>15342</v>
      </c>
      <c r="N271" s="24">
        <f t="shared" si="545"/>
        <v>4010</v>
      </c>
      <c r="O271" s="24">
        <f t="shared" si="545"/>
        <v>7829</v>
      </c>
      <c r="P271" s="24">
        <f t="shared" ref="P271:S271" si="546">L271*$Y$2</f>
        <v>45639.25</v>
      </c>
      <c r="Q271" s="24">
        <f t="shared" si="546"/>
        <v>3835.5</v>
      </c>
      <c r="R271" s="24">
        <f t="shared" si="546"/>
        <v>1002.5</v>
      </c>
      <c r="S271" s="24">
        <f t="shared" si="546"/>
        <v>1957.25</v>
      </c>
      <c r="T271" s="24">
        <f t="shared" si="4"/>
        <v>28</v>
      </c>
      <c r="Z271" s="25">
        <f t="shared" si="12"/>
        <v>10445.09796</v>
      </c>
      <c r="AA271" s="26"/>
    </row>
    <row r="272">
      <c r="A272" s="16" t="s">
        <v>6</v>
      </c>
      <c r="B272" s="17">
        <v>271.0</v>
      </c>
      <c r="C272" s="24">
        <f t="shared" si="5"/>
        <v>78922713.37</v>
      </c>
      <c r="D272" s="25">
        <v>0.05</v>
      </c>
      <c r="E272" s="24">
        <f t="shared" si="6"/>
        <v>1049.582014</v>
      </c>
      <c r="F272" s="25">
        <v>0.02</v>
      </c>
      <c r="G272" s="24">
        <f t="shared" si="7"/>
        <v>52615142.25</v>
      </c>
      <c r="H272" s="25">
        <v>0.05</v>
      </c>
      <c r="I272" s="24">
        <f t="shared" si="8"/>
        <v>2099.164029</v>
      </c>
      <c r="J272" s="25">
        <v>0.02</v>
      </c>
      <c r="K272" s="25">
        <v>0.0</v>
      </c>
      <c r="L272" s="24">
        <f t="shared" ref="L272:O272" si="547">IF(L271="", "", 1 + MROUND(IFERROR(MINIFS(OFFSET(L271, -1, 0, -$B272, 1), OFFSET(L271, -1, 0, -$B272, 1), "&gt;0"), L271) + (LN(1 + $Z272) ^ U$2) * U$3, 1))</f>
        <v>183748</v>
      </c>
      <c r="M272" s="24">
        <f t="shared" si="547"/>
        <v>15438</v>
      </c>
      <c r="N272" s="24">
        <f t="shared" si="547"/>
        <v>4059</v>
      </c>
      <c r="O272" s="24">
        <f t="shared" si="547"/>
        <v>7878</v>
      </c>
      <c r="P272" s="24">
        <f t="shared" ref="P272:S272" si="548">L272*$Y$2</f>
        <v>45937</v>
      </c>
      <c r="Q272" s="24">
        <f t="shared" si="548"/>
        <v>3859.5</v>
      </c>
      <c r="R272" s="24">
        <f t="shared" si="548"/>
        <v>1014.75</v>
      </c>
      <c r="S272" s="24">
        <f t="shared" si="548"/>
        <v>1969.5</v>
      </c>
      <c r="T272" s="24">
        <f t="shared" si="4"/>
        <v>28</v>
      </c>
      <c r="Z272" s="25">
        <f t="shared" si="12"/>
        <v>10810.71139</v>
      </c>
      <c r="AA272" s="26"/>
    </row>
    <row r="273">
      <c r="A273" s="16" t="s">
        <v>6</v>
      </c>
      <c r="B273" s="17">
        <v>272.0</v>
      </c>
      <c r="C273" s="24">
        <f t="shared" si="5"/>
        <v>82868849.04</v>
      </c>
      <c r="D273" s="25">
        <v>0.05</v>
      </c>
      <c r="E273" s="24">
        <f t="shared" si="6"/>
        <v>1070.573655</v>
      </c>
      <c r="F273" s="25">
        <v>0.02</v>
      </c>
      <c r="G273" s="24">
        <f t="shared" si="7"/>
        <v>55245899.36</v>
      </c>
      <c r="H273" s="25">
        <v>0.05</v>
      </c>
      <c r="I273" s="24">
        <f t="shared" si="8"/>
        <v>2141.147309</v>
      </c>
      <c r="J273" s="25">
        <v>0.02</v>
      </c>
      <c r="K273" s="25">
        <v>0.0</v>
      </c>
      <c r="L273" s="24">
        <f t="shared" ref="L273:O273" si="549">IF(L272="", "", 1 + MROUND(IFERROR(MINIFS(OFFSET(L272, -1, 0, -$B273, 1), OFFSET(L272, -1, 0, -$B273, 1), "&gt;0"), L272) + (LN(1 + $Z273) ^ U$2) * U$3, 1))</f>
        <v>184942</v>
      </c>
      <c r="M273" s="24">
        <f t="shared" si="549"/>
        <v>15534</v>
      </c>
      <c r="N273" s="24">
        <f t="shared" si="549"/>
        <v>4108</v>
      </c>
      <c r="O273" s="24">
        <f t="shared" si="549"/>
        <v>7927</v>
      </c>
      <c r="P273" s="24">
        <f t="shared" ref="P273:S273" si="550">L273*$Y$2</f>
        <v>46235.5</v>
      </c>
      <c r="Q273" s="24">
        <f t="shared" si="550"/>
        <v>3883.5</v>
      </c>
      <c r="R273" s="24">
        <f t="shared" si="550"/>
        <v>1027</v>
      </c>
      <c r="S273" s="24">
        <f t="shared" si="550"/>
        <v>1981.75</v>
      </c>
      <c r="T273" s="24">
        <f t="shared" si="4"/>
        <v>28</v>
      </c>
      <c r="Z273" s="25">
        <f t="shared" si="12"/>
        <v>11189.12129</v>
      </c>
      <c r="AA273" s="26"/>
    </row>
    <row r="274">
      <c r="A274" s="16" t="s">
        <v>6</v>
      </c>
      <c r="B274" s="17">
        <v>273.0</v>
      </c>
      <c r="C274" s="24">
        <f t="shared" si="5"/>
        <v>87012291.49</v>
      </c>
      <c r="D274" s="25">
        <v>0.05</v>
      </c>
      <c r="E274" s="24">
        <f t="shared" si="6"/>
        <v>1091.985128</v>
      </c>
      <c r="F274" s="25">
        <v>0.02</v>
      </c>
      <c r="G274" s="24">
        <f t="shared" si="7"/>
        <v>58008194.33</v>
      </c>
      <c r="H274" s="25">
        <v>0.05</v>
      </c>
      <c r="I274" s="24">
        <f t="shared" si="8"/>
        <v>2183.970256</v>
      </c>
      <c r="J274" s="25">
        <v>0.02</v>
      </c>
      <c r="K274" s="25">
        <v>0.0</v>
      </c>
      <c r="L274" s="24">
        <f t="shared" ref="L274:O274" si="551">IF(L273="", "", 1 + MROUND(IFERROR(MINIFS(OFFSET(L273, -1, 0, -$B274, 1), OFFSET(L273, -1, 0, -$B274, 1), "&gt;0"), L273) + (LN(1 + $Z274) ^ U$2) * U$3, 1))</f>
        <v>186139</v>
      </c>
      <c r="M274" s="24">
        <f t="shared" si="551"/>
        <v>15631</v>
      </c>
      <c r="N274" s="24">
        <f t="shared" si="551"/>
        <v>4157</v>
      </c>
      <c r="O274" s="24">
        <f t="shared" si="551"/>
        <v>7976</v>
      </c>
      <c r="P274" s="24">
        <f t="shared" ref="P274:S274" si="552">L274*$Y$2</f>
        <v>46534.75</v>
      </c>
      <c r="Q274" s="24">
        <f t="shared" si="552"/>
        <v>3907.75</v>
      </c>
      <c r="R274" s="24">
        <f t="shared" si="552"/>
        <v>1039.25</v>
      </c>
      <c r="S274" s="24">
        <f t="shared" si="552"/>
        <v>1994</v>
      </c>
      <c r="T274" s="24">
        <f t="shared" si="4"/>
        <v>28</v>
      </c>
      <c r="Z274" s="25">
        <f t="shared" si="12"/>
        <v>11580.77554</v>
      </c>
      <c r="AA274" s="26"/>
    </row>
    <row r="275">
      <c r="A275" s="16" t="s">
        <v>6</v>
      </c>
      <c r="B275" s="17">
        <v>274.0</v>
      </c>
      <c r="C275" s="24">
        <f t="shared" si="5"/>
        <v>91362906.07</v>
      </c>
      <c r="D275" s="25">
        <v>0.05</v>
      </c>
      <c r="E275" s="24">
        <f t="shared" si="6"/>
        <v>1113.82483</v>
      </c>
      <c r="F275" s="25">
        <v>0.02</v>
      </c>
      <c r="G275" s="24">
        <f t="shared" si="7"/>
        <v>60908604.05</v>
      </c>
      <c r="H275" s="25">
        <v>0.05</v>
      </c>
      <c r="I275" s="24">
        <f t="shared" si="8"/>
        <v>2227.649661</v>
      </c>
      <c r="J275" s="25">
        <v>0.02</v>
      </c>
      <c r="K275" s="25">
        <v>0.0</v>
      </c>
      <c r="L275" s="24">
        <f t="shared" ref="L275:O275" si="553">IF(L274="", "", 1 + MROUND(IFERROR(MINIFS(OFFSET(L274, -1, 0, -$B275, 1), OFFSET(L274, -1, 0, -$B275, 1), "&gt;0"), L274) + (LN(1 + $Z275) ^ U$2) * U$3, 1))</f>
        <v>187339</v>
      </c>
      <c r="M275" s="24">
        <f t="shared" si="553"/>
        <v>15728</v>
      </c>
      <c r="N275" s="24">
        <f t="shared" si="553"/>
        <v>4206</v>
      </c>
      <c r="O275" s="24">
        <f t="shared" si="553"/>
        <v>8025</v>
      </c>
      <c r="P275" s="24">
        <f t="shared" ref="P275:S275" si="554">L275*$Y$2</f>
        <v>46834.75</v>
      </c>
      <c r="Q275" s="24">
        <f t="shared" si="554"/>
        <v>3932</v>
      </c>
      <c r="R275" s="24">
        <f t="shared" si="554"/>
        <v>1051.5</v>
      </c>
      <c r="S275" s="24">
        <f t="shared" si="554"/>
        <v>2006.25</v>
      </c>
      <c r="T275" s="24">
        <f t="shared" si="4"/>
        <v>28</v>
      </c>
      <c r="Z275" s="25">
        <f t="shared" si="12"/>
        <v>11986.13768</v>
      </c>
      <c r="AA275" s="26"/>
    </row>
    <row r="276">
      <c r="A276" s="16" t="s">
        <v>6</v>
      </c>
      <c r="B276" s="17">
        <v>275.0</v>
      </c>
      <c r="C276" s="24">
        <f t="shared" si="5"/>
        <v>95931051.37</v>
      </c>
      <c r="D276" s="25">
        <v>0.05</v>
      </c>
      <c r="E276" s="24">
        <f t="shared" si="6"/>
        <v>1136.101327</v>
      </c>
      <c r="F276" s="25">
        <v>0.02</v>
      </c>
      <c r="G276" s="24">
        <f t="shared" si="7"/>
        <v>63954034.25</v>
      </c>
      <c r="H276" s="25">
        <v>0.05</v>
      </c>
      <c r="I276" s="24">
        <f t="shared" si="8"/>
        <v>2272.202654</v>
      </c>
      <c r="J276" s="25">
        <v>0.02</v>
      </c>
      <c r="K276" s="25">
        <v>0.0</v>
      </c>
      <c r="L276" s="24">
        <f t="shared" ref="L276:O276" si="555">IF(L275="", "", 1 + MROUND(IFERROR(MINIFS(OFFSET(L275, -1, 0, -$B276, 1), OFFSET(L275, -1, 0, -$B276, 1), "&gt;0"), L275) + (LN(1 + $Z276) ^ U$2) * U$3, 1))</f>
        <v>188542</v>
      </c>
      <c r="M276" s="24">
        <f t="shared" si="555"/>
        <v>15825</v>
      </c>
      <c r="N276" s="24">
        <f t="shared" si="555"/>
        <v>4255</v>
      </c>
      <c r="O276" s="24">
        <f t="shared" si="555"/>
        <v>8074</v>
      </c>
      <c r="P276" s="24">
        <f t="shared" ref="P276:S276" si="556">L276*$Y$2</f>
        <v>47135.5</v>
      </c>
      <c r="Q276" s="24">
        <f t="shared" si="556"/>
        <v>3956.25</v>
      </c>
      <c r="R276" s="24">
        <f t="shared" si="556"/>
        <v>1063.75</v>
      </c>
      <c r="S276" s="24">
        <f t="shared" si="556"/>
        <v>2018.5</v>
      </c>
      <c r="T276" s="24">
        <f t="shared" si="4"/>
        <v>29</v>
      </c>
      <c r="Z276" s="25">
        <f t="shared" si="12"/>
        <v>12405.6875</v>
      </c>
      <c r="AA276" s="26"/>
    </row>
    <row r="277">
      <c r="A277" s="16" t="s">
        <v>6</v>
      </c>
      <c r="B277" s="17">
        <v>276.0</v>
      </c>
      <c r="C277" s="24">
        <f t="shared" si="5"/>
        <v>100727603.9</v>
      </c>
      <c r="D277" s="25">
        <v>0.05</v>
      </c>
      <c r="E277" s="24">
        <f t="shared" si="6"/>
        <v>1158.823354</v>
      </c>
      <c r="F277" s="25">
        <v>0.02</v>
      </c>
      <c r="G277" s="24">
        <f t="shared" si="7"/>
        <v>67151735.96</v>
      </c>
      <c r="H277" s="25">
        <v>0.05</v>
      </c>
      <c r="I277" s="24">
        <f t="shared" si="8"/>
        <v>2317.646707</v>
      </c>
      <c r="J277" s="25">
        <v>0.02</v>
      </c>
      <c r="K277" s="25">
        <v>0.0</v>
      </c>
      <c r="L277" s="24">
        <f t="shared" ref="L277:O277" si="557">IF(L276="", "", 1 + MROUND(IFERROR(MINIFS(OFFSET(L276, -1, 0, -$B277, 1), OFFSET(L276, -1, 0, -$B277, 1), "&gt;0"), L276) + (LN(1 + $Z277) ^ U$2) * U$3, 1))</f>
        <v>189748</v>
      </c>
      <c r="M277" s="24">
        <f t="shared" si="557"/>
        <v>15922</v>
      </c>
      <c r="N277" s="24">
        <f t="shared" si="557"/>
        <v>4304</v>
      </c>
      <c r="O277" s="24">
        <f t="shared" si="557"/>
        <v>8123</v>
      </c>
      <c r="P277" s="24">
        <f t="shared" ref="P277:S277" si="558">L277*$Y$2</f>
        <v>47437</v>
      </c>
      <c r="Q277" s="24">
        <f t="shared" si="558"/>
        <v>3980.5</v>
      </c>
      <c r="R277" s="24">
        <f t="shared" si="558"/>
        <v>1076</v>
      </c>
      <c r="S277" s="24">
        <f t="shared" si="558"/>
        <v>2030.75</v>
      </c>
      <c r="T277" s="24">
        <f t="shared" si="4"/>
        <v>29</v>
      </c>
      <c r="Z277" s="25">
        <f t="shared" si="12"/>
        <v>12839.92156</v>
      </c>
      <c r="AA277" s="26"/>
    </row>
    <row r="278">
      <c r="A278" s="16" t="s">
        <v>6</v>
      </c>
      <c r="B278" s="17">
        <v>277.0</v>
      </c>
      <c r="C278" s="24">
        <f t="shared" si="5"/>
        <v>105763984.1</v>
      </c>
      <c r="D278" s="25">
        <v>0.05</v>
      </c>
      <c r="E278" s="24">
        <f t="shared" si="6"/>
        <v>1181.999821</v>
      </c>
      <c r="F278" s="25">
        <v>0.02</v>
      </c>
      <c r="G278" s="24">
        <f t="shared" si="7"/>
        <v>70509322.76</v>
      </c>
      <c r="H278" s="25">
        <v>0.05</v>
      </c>
      <c r="I278" s="24">
        <f t="shared" si="8"/>
        <v>2363.999641</v>
      </c>
      <c r="J278" s="25">
        <v>0.02</v>
      </c>
      <c r="K278" s="25">
        <v>0.0</v>
      </c>
      <c r="L278" s="24">
        <f t="shared" ref="L278:O278" si="559">IF(L277="", "", 1 + MROUND(IFERROR(MINIFS(OFFSET(L277, -1, 0, -$B278, 1), OFFSET(L277, -1, 0, -$B278, 1), "&gt;0"), L277) + (LN(1 + $Z278) ^ U$2) * U$3, 1))</f>
        <v>190957</v>
      </c>
      <c r="M278" s="24">
        <f t="shared" si="559"/>
        <v>16020</v>
      </c>
      <c r="N278" s="24">
        <f t="shared" si="559"/>
        <v>4353</v>
      </c>
      <c r="O278" s="24">
        <f t="shared" si="559"/>
        <v>8172</v>
      </c>
      <c r="P278" s="24">
        <f t="shared" ref="P278:S278" si="560">L278*$Y$2</f>
        <v>47739.25</v>
      </c>
      <c r="Q278" s="24">
        <f t="shared" si="560"/>
        <v>4005</v>
      </c>
      <c r="R278" s="24">
        <f t="shared" si="560"/>
        <v>1088.25</v>
      </c>
      <c r="S278" s="24">
        <f t="shared" si="560"/>
        <v>2043</v>
      </c>
      <c r="T278" s="24">
        <f t="shared" si="4"/>
        <v>29</v>
      </c>
      <c r="Z278" s="25">
        <f t="shared" si="12"/>
        <v>13289.35381</v>
      </c>
      <c r="AA278" s="26"/>
    </row>
    <row r="279">
      <c r="A279" s="16" t="s">
        <v>6</v>
      </c>
      <c r="B279" s="17">
        <v>278.0</v>
      </c>
      <c r="C279" s="24">
        <f t="shared" si="5"/>
        <v>111052183.3</v>
      </c>
      <c r="D279" s="25">
        <v>0.05</v>
      </c>
      <c r="E279" s="24">
        <f t="shared" si="6"/>
        <v>1205.639817</v>
      </c>
      <c r="F279" s="25">
        <v>0.02</v>
      </c>
      <c r="G279" s="24">
        <f t="shared" si="7"/>
        <v>74034788.9</v>
      </c>
      <c r="H279" s="25">
        <v>0.05</v>
      </c>
      <c r="I279" s="24">
        <f t="shared" si="8"/>
        <v>2411.279634</v>
      </c>
      <c r="J279" s="25">
        <v>0.02</v>
      </c>
      <c r="K279" s="25">
        <v>0.0</v>
      </c>
      <c r="L279" s="24">
        <f t="shared" ref="L279:O279" si="561">IF(L278="", "", 1 + MROUND(IFERROR(MINIFS(OFFSET(L278, -1, 0, -$B279, 1), OFFSET(L278, -1, 0, -$B279, 1), "&gt;0"), L278) + (LN(1 + $Z279) ^ U$2) * U$3, 1))</f>
        <v>192169</v>
      </c>
      <c r="M279" s="24">
        <f t="shared" si="561"/>
        <v>16118</v>
      </c>
      <c r="N279" s="24">
        <f t="shared" si="561"/>
        <v>4402</v>
      </c>
      <c r="O279" s="24">
        <f t="shared" si="561"/>
        <v>8221</v>
      </c>
      <c r="P279" s="24">
        <f t="shared" ref="P279:S279" si="562">L279*$Y$2</f>
        <v>48042.25</v>
      </c>
      <c r="Q279" s="24">
        <f t="shared" si="562"/>
        <v>4029.5</v>
      </c>
      <c r="R279" s="24">
        <f t="shared" si="562"/>
        <v>1100.5</v>
      </c>
      <c r="S279" s="24">
        <f t="shared" si="562"/>
        <v>2055.25</v>
      </c>
      <c r="T279" s="24">
        <f t="shared" si="4"/>
        <v>29</v>
      </c>
      <c r="Z279" s="25">
        <f t="shared" si="12"/>
        <v>13754.5162</v>
      </c>
      <c r="AA279" s="26"/>
    </row>
    <row r="280">
      <c r="A280" s="16" t="s">
        <v>6</v>
      </c>
      <c r="B280" s="17">
        <v>279.0</v>
      </c>
      <c r="C280" s="24">
        <f t="shared" si="5"/>
        <v>116604792.5</v>
      </c>
      <c r="D280" s="25">
        <v>0.05</v>
      </c>
      <c r="E280" s="24">
        <f t="shared" si="6"/>
        <v>1229.752613</v>
      </c>
      <c r="F280" s="25">
        <v>0.02</v>
      </c>
      <c r="G280" s="24">
        <f t="shared" si="7"/>
        <v>77736528.34</v>
      </c>
      <c r="H280" s="25">
        <v>0.05</v>
      </c>
      <c r="I280" s="24">
        <f t="shared" si="8"/>
        <v>2459.505227</v>
      </c>
      <c r="J280" s="25">
        <v>0.02</v>
      </c>
      <c r="K280" s="25">
        <v>0.0</v>
      </c>
      <c r="L280" s="24">
        <f t="shared" ref="L280:O280" si="563">IF(L279="", "", 1 + MROUND(IFERROR(MINIFS(OFFSET(L279, -1, 0, -$B280, 1), OFFSET(L279, -1, 0, -$B280, 1), "&gt;0"), L279) + (LN(1 + $Z280) ^ U$2) * U$3, 1))</f>
        <v>193384</v>
      </c>
      <c r="M280" s="24">
        <f t="shared" si="563"/>
        <v>16216</v>
      </c>
      <c r="N280" s="24">
        <f t="shared" si="563"/>
        <v>4452</v>
      </c>
      <c r="O280" s="24">
        <f t="shared" si="563"/>
        <v>8271</v>
      </c>
      <c r="P280" s="24">
        <f t="shared" ref="P280:S280" si="564">L280*$Y$2</f>
        <v>48346</v>
      </c>
      <c r="Q280" s="24">
        <f t="shared" si="564"/>
        <v>4054</v>
      </c>
      <c r="R280" s="24">
        <f t="shared" si="564"/>
        <v>1113</v>
      </c>
      <c r="S280" s="24">
        <f t="shared" si="564"/>
        <v>2067.75</v>
      </c>
      <c r="T280" s="24">
        <f t="shared" si="4"/>
        <v>29</v>
      </c>
      <c r="Z280" s="25">
        <f t="shared" si="12"/>
        <v>14235.95927</v>
      </c>
      <c r="AA280" s="26"/>
    </row>
    <row r="281">
      <c r="A281" s="16" t="s">
        <v>6</v>
      </c>
      <c r="B281" s="17">
        <v>280.0</v>
      </c>
      <c r="C281" s="24">
        <f t="shared" si="5"/>
        <v>122435032.1</v>
      </c>
      <c r="D281" s="25">
        <v>0.05</v>
      </c>
      <c r="E281" s="24">
        <f t="shared" si="6"/>
        <v>1254.347666</v>
      </c>
      <c r="F281" s="25">
        <v>0.02</v>
      </c>
      <c r="G281" s="24">
        <f t="shared" si="7"/>
        <v>81623354.76</v>
      </c>
      <c r="H281" s="25">
        <v>0.05</v>
      </c>
      <c r="I281" s="24">
        <f t="shared" si="8"/>
        <v>2508.695331</v>
      </c>
      <c r="J281" s="25">
        <v>0.02</v>
      </c>
      <c r="K281" s="25">
        <v>0.0</v>
      </c>
      <c r="L281" s="24">
        <f t="shared" ref="L281:O281" si="565">IF(L280="", "", 1 + MROUND(IFERROR(MINIFS(OFFSET(L280, -1, 0, -$B281, 1), OFFSET(L280, -1, 0, -$B281, 1), "&gt;0"), L280) + (LN(1 + $Z281) ^ U$2) * U$3, 1))</f>
        <v>194602</v>
      </c>
      <c r="M281" s="24">
        <f t="shared" si="565"/>
        <v>16314</v>
      </c>
      <c r="N281" s="24">
        <f t="shared" si="565"/>
        <v>4502</v>
      </c>
      <c r="O281" s="24">
        <f t="shared" si="565"/>
        <v>8321</v>
      </c>
      <c r="P281" s="24">
        <f t="shared" ref="P281:S281" si="566">L281*$Y$2</f>
        <v>48650.5</v>
      </c>
      <c r="Q281" s="24">
        <f t="shared" si="566"/>
        <v>4078.5</v>
      </c>
      <c r="R281" s="24">
        <f t="shared" si="566"/>
        <v>1125.5</v>
      </c>
      <c r="S281" s="24">
        <f t="shared" si="566"/>
        <v>2080.25</v>
      </c>
      <c r="T281" s="24">
        <f t="shared" si="4"/>
        <v>29</v>
      </c>
      <c r="Z281" s="25">
        <f t="shared" si="12"/>
        <v>14734.25284</v>
      </c>
      <c r="AA281" s="26"/>
    </row>
    <row r="282">
      <c r="A282" s="16" t="s">
        <v>6</v>
      </c>
      <c r="B282" s="17">
        <v>281.0</v>
      </c>
      <c r="C282" s="24">
        <f t="shared" si="5"/>
        <v>128556783.7</v>
      </c>
      <c r="D282" s="25">
        <v>0.05</v>
      </c>
      <c r="E282" s="24">
        <f t="shared" si="6"/>
        <v>1279.434619</v>
      </c>
      <c r="F282" s="25">
        <v>0.02</v>
      </c>
      <c r="G282" s="24">
        <f t="shared" si="7"/>
        <v>85704522.5</v>
      </c>
      <c r="H282" s="25">
        <v>0.05</v>
      </c>
      <c r="I282" s="24">
        <f t="shared" si="8"/>
        <v>2558.869238</v>
      </c>
      <c r="J282" s="25">
        <v>0.02</v>
      </c>
      <c r="K282" s="25">
        <v>0.0</v>
      </c>
      <c r="L282" s="24">
        <f t="shared" ref="L282:O282" si="567">IF(L281="", "", 1 + MROUND(IFERROR(MINIFS(OFFSET(L281, -1, 0, -$B282, 1), OFFSET(L281, -1, 0, -$B282, 1), "&gt;0"), L281) + (LN(1 + $Z282) ^ U$2) * U$3, 1))</f>
        <v>195824</v>
      </c>
      <c r="M282" s="24">
        <f t="shared" si="567"/>
        <v>16413</v>
      </c>
      <c r="N282" s="24">
        <f t="shared" si="567"/>
        <v>4552</v>
      </c>
      <c r="O282" s="24">
        <f t="shared" si="567"/>
        <v>8371</v>
      </c>
      <c r="P282" s="24">
        <f t="shared" ref="P282:S282" si="568">L282*$Y$2</f>
        <v>48956</v>
      </c>
      <c r="Q282" s="24">
        <f t="shared" si="568"/>
        <v>4103.25</v>
      </c>
      <c r="R282" s="24">
        <f t="shared" si="568"/>
        <v>1138</v>
      </c>
      <c r="S282" s="24">
        <f t="shared" si="568"/>
        <v>2092.75</v>
      </c>
      <c r="T282" s="24">
        <f t="shared" si="4"/>
        <v>29</v>
      </c>
      <c r="Z282" s="25">
        <f t="shared" si="12"/>
        <v>15249.98669</v>
      </c>
      <c r="AA282" s="26"/>
    </row>
    <row r="283">
      <c r="A283" s="16" t="s">
        <v>6</v>
      </c>
      <c r="B283" s="17">
        <v>282.0</v>
      </c>
      <c r="C283" s="24">
        <f t="shared" si="5"/>
        <v>134984622.9</v>
      </c>
      <c r="D283" s="25">
        <v>0.05</v>
      </c>
      <c r="E283" s="24">
        <f t="shared" si="6"/>
        <v>1305.023311</v>
      </c>
      <c r="F283" s="25">
        <v>0.02</v>
      </c>
      <c r="G283" s="24">
        <f t="shared" si="7"/>
        <v>89989748.62</v>
      </c>
      <c r="H283" s="25">
        <v>0.05</v>
      </c>
      <c r="I283" s="24">
        <f t="shared" si="8"/>
        <v>2610.046623</v>
      </c>
      <c r="J283" s="25">
        <v>0.02</v>
      </c>
      <c r="K283" s="25">
        <v>0.0</v>
      </c>
      <c r="L283" s="24">
        <f t="shared" ref="L283:O283" si="569">IF(L282="", "", 1 + MROUND(IFERROR(MINIFS(OFFSET(L282, -1, 0, -$B283, 1), OFFSET(L282, -1, 0, -$B283, 1), "&gt;0"), L282) + (LN(1 + $Z283) ^ U$2) * U$3, 1))</f>
        <v>197049</v>
      </c>
      <c r="M283" s="24">
        <f t="shared" si="569"/>
        <v>16512</v>
      </c>
      <c r="N283" s="24">
        <f t="shared" si="569"/>
        <v>4602</v>
      </c>
      <c r="O283" s="24">
        <f t="shared" si="569"/>
        <v>8421</v>
      </c>
      <c r="P283" s="24">
        <f t="shared" ref="P283:S283" si="570">L283*$Y$2</f>
        <v>49262.25</v>
      </c>
      <c r="Q283" s="24">
        <f t="shared" si="570"/>
        <v>4128</v>
      </c>
      <c r="R283" s="24">
        <f t="shared" si="570"/>
        <v>1150.5</v>
      </c>
      <c r="S283" s="24">
        <f t="shared" si="570"/>
        <v>2105.25</v>
      </c>
      <c r="T283" s="24">
        <f t="shared" si="4"/>
        <v>29</v>
      </c>
      <c r="Z283" s="25">
        <f t="shared" si="12"/>
        <v>15783.77122</v>
      </c>
      <c r="AA283" s="26"/>
    </row>
    <row r="284">
      <c r="A284" s="16" t="s">
        <v>6</v>
      </c>
      <c r="B284" s="17">
        <v>283.0</v>
      </c>
      <c r="C284" s="24">
        <f t="shared" si="5"/>
        <v>141733854.1</v>
      </c>
      <c r="D284" s="25">
        <v>0.05</v>
      </c>
      <c r="E284" s="24">
        <f t="shared" si="6"/>
        <v>1331.123778</v>
      </c>
      <c r="F284" s="25">
        <v>0.02</v>
      </c>
      <c r="G284" s="24">
        <f t="shared" si="7"/>
        <v>94489236.05</v>
      </c>
      <c r="H284" s="25">
        <v>0.05</v>
      </c>
      <c r="I284" s="24">
        <f t="shared" si="8"/>
        <v>2662.247555</v>
      </c>
      <c r="J284" s="25">
        <v>0.02</v>
      </c>
      <c r="K284" s="25">
        <v>0.0</v>
      </c>
      <c r="L284" s="24">
        <f t="shared" ref="L284:O284" si="571">IF(L283="", "", 1 + MROUND(IFERROR(MINIFS(OFFSET(L283, -1, 0, -$B284, 1), OFFSET(L283, -1, 0, -$B284, 1), "&gt;0"), L283) + (LN(1 + $Z284) ^ U$2) * U$3, 1))</f>
        <v>198277</v>
      </c>
      <c r="M284" s="24">
        <f t="shared" si="571"/>
        <v>16611</v>
      </c>
      <c r="N284" s="24">
        <f t="shared" si="571"/>
        <v>4652</v>
      </c>
      <c r="O284" s="24">
        <f t="shared" si="571"/>
        <v>8471</v>
      </c>
      <c r="P284" s="24">
        <f t="shared" ref="P284:S284" si="572">L284*$Y$2</f>
        <v>49569.25</v>
      </c>
      <c r="Q284" s="24">
        <f t="shared" si="572"/>
        <v>4152.75</v>
      </c>
      <c r="R284" s="24">
        <f t="shared" si="572"/>
        <v>1163</v>
      </c>
      <c r="S284" s="24">
        <f t="shared" si="572"/>
        <v>2117.75</v>
      </c>
      <c r="T284" s="24">
        <f t="shared" si="4"/>
        <v>29</v>
      </c>
      <c r="Z284" s="25">
        <f t="shared" si="12"/>
        <v>16336.23822</v>
      </c>
      <c r="AA284" s="26"/>
    </row>
    <row r="285">
      <c r="A285" s="16" t="s">
        <v>6</v>
      </c>
      <c r="B285" s="17">
        <v>284.0</v>
      </c>
      <c r="C285" s="24">
        <f t="shared" si="5"/>
        <v>148820546.8</v>
      </c>
      <c r="D285" s="25">
        <v>0.05</v>
      </c>
      <c r="E285" s="24">
        <f t="shared" si="6"/>
        <v>1357.746253</v>
      </c>
      <c r="F285" s="25">
        <v>0.02</v>
      </c>
      <c r="G285" s="24">
        <f t="shared" si="7"/>
        <v>99213697.85</v>
      </c>
      <c r="H285" s="25">
        <v>0.05</v>
      </c>
      <c r="I285" s="24">
        <f t="shared" si="8"/>
        <v>2715.492506</v>
      </c>
      <c r="J285" s="25">
        <v>0.02</v>
      </c>
      <c r="K285" s="25">
        <v>0.0</v>
      </c>
      <c r="L285" s="24">
        <f t="shared" ref="L285:O285" si="573">IF(L284="", "", 1 + MROUND(IFERROR(MINIFS(OFFSET(L284, -1, 0, -$B285, 1), OFFSET(L284, -1, 0, -$B285, 1), "&gt;0"), L284) + (LN(1 + $Z285) ^ U$2) * U$3, 1))</f>
        <v>199508</v>
      </c>
      <c r="M285" s="24">
        <f t="shared" si="573"/>
        <v>16710</v>
      </c>
      <c r="N285" s="24">
        <f t="shared" si="573"/>
        <v>4702</v>
      </c>
      <c r="O285" s="24">
        <f t="shared" si="573"/>
        <v>8521</v>
      </c>
      <c r="P285" s="24">
        <f t="shared" ref="P285:S285" si="574">L285*$Y$2</f>
        <v>49877</v>
      </c>
      <c r="Q285" s="24">
        <f t="shared" si="574"/>
        <v>4177.5</v>
      </c>
      <c r="R285" s="24">
        <f t="shared" si="574"/>
        <v>1175.5</v>
      </c>
      <c r="S285" s="24">
        <f t="shared" si="574"/>
        <v>2130.25</v>
      </c>
      <c r="T285" s="24">
        <f t="shared" si="4"/>
        <v>29</v>
      </c>
      <c r="Z285" s="25">
        <f t="shared" si="12"/>
        <v>16908.04155</v>
      </c>
      <c r="AA285" s="26"/>
    </row>
    <row r="286">
      <c r="A286" s="16" t="s">
        <v>6</v>
      </c>
      <c r="B286" s="17">
        <v>285.0</v>
      </c>
      <c r="C286" s="24">
        <f t="shared" si="5"/>
        <v>156261574.1</v>
      </c>
      <c r="D286" s="25">
        <v>0.05</v>
      </c>
      <c r="E286" s="24">
        <f t="shared" si="6"/>
        <v>1384.901178</v>
      </c>
      <c r="F286" s="25">
        <v>0.02</v>
      </c>
      <c r="G286" s="24">
        <f t="shared" si="7"/>
        <v>104174382.7</v>
      </c>
      <c r="H286" s="25">
        <v>0.05</v>
      </c>
      <c r="I286" s="24">
        <f t="shared" si="8"/>
        <v>2769.802356</v>
      </c>
      <c r="J286" s="25">
        <v>0.02</v>
      </c>
      <c r="K286" s="25">
        <v>0.0</v>
      </c>
      <c r="L286" s="24">
        <f t="shared" ref="L286:O286" si="575">IF(L285="", "", 1 + MROUND(IFERROR(MINIFS(OFFSET(L285, -1, 0, -$B286, 1), OFFSET(L285, -1, 0, -$B286, 1), "&gt;0"), L285) + (LN(1 + $Z286) ^ U$2) * U$3, 1))</f>
        <v>200742</v>
      </c>
      <c r="M286" s="24">
        <f t="shared" si="575"/>
        <v>16810</v>
      </c>
      <c r="N286" s="24">
        <f t="shared" si="575"/>
        <v>4752</v>
      </c>
      <c r="O286" s="24">
        <f t="shared" si="575"/>
        <v>8571</v>
      </c>
      <c r="P286" s="24">
        <f t="shared" ref="P286:S286" si="576">L286*$Y$2</f>
        <v>50185.5</v>
      </c>
      <c r="Q286" s="24">
        <f t="shared" si="576"/>
        <v>4202.5</v>
      </c>
      <c r="R286" s="24">
        <f t="shared" si="576"/>
        <v>1188</v>
      </c>
      <c r="S286" s="24">
        <f t="shared" si="576"/>
        <v>2142.75</v>
      </c>
      <c r="T286" s="24">
        <f t="shared" si="4"/>
        <v>30</v>
      </c>
      <c r="Z286" s="25">
        <f t="shared" si="12"/>
        <v>17499.85801</v>
      </c>
      <c r="AA286" s="26"/>
    </row>
    <row r="287">
      <c r="A287" s="16" t="s">
        <v>6</v>
      </c>
      <c r="B287" s="17">
        <v>286.0</v>
      </c>
      <c r="C287" s="24">
        <f t="shared" si="5"/>
        <v>164074652.8</v>
      </c>
      <c r="D287" s="25">
        <v>0.05</v>
      </c>
      <c r="E287" s="24">
        <f t="shared" si="6"/>
        <v>1412.599202</v>
      </c>
      <c r="F287" s="25">
        <v>0.02</v>
      </c>
      <c r="G287" s="24">
        <f t="shared" si="7"/>
        <v>109383101.9</v>
      </c>
      <c r="H287" s="25">
        <v>0.05</v>
      </c>
      <c r="I287" s="24">
        <f t="shared" si="8"/>
        <v>2825.198403</v>
      </c>
      <c r="J287" s="25">
        <v>0.02</v>
      </c>
      <c r="K287" s="25">
        <v>0.0</v>
      </c>
      <c r="L287" s="24">
        <f t="shared" ref="L287:O287" si="577">IF(L286="", "", 1 + MROUND(IFERROR(MINIFS(OFFSET(L286, -1, 0, -$B287, 1), OFFSET(L286, -1, 0, -$B287, 1), "&gt;0"), L286) + (LN(1 + $Z287) ^ U$2) * U$3, 1))</f>
        <v>201979</v>
      </c>
      <c r="M287" s="24">
        <f t="shared" si="577"/>
        <v>16910</v>
      </c>
      <c r="N287" s="24">
        <f t="shared" si="577"/>
        <v>4802</v>
      </c>
      <c r="O287" s="24">
        <f t="shared" si="577"/>
        <v>8621</v>
      </c>
      <c r="P287" s="24">
        <f t="shared" ref="P287:S287" si="578">L287*$Y$2</f>
        <v>50494.75</v>
      </c>
      <c r="Q287" s="24">
        <f t="shared" si="578"/>
        <v>4227.5</v>
      </c>
      <c r="R287" s="24">
        <f t="shared" si="578"/>
        <v>1200.5</v>
      </c>
      <c r="S287" s="24">
        <f t="shared" si="578"/>
        <v>2155.25</v>
      </c>
      <c r="T287" s="24">
        <f t="shared" si="4"/>
        <v>30</v>
      </c>
      <c r="Z287" s="25">
        <f t="shared" si="12"/>
        <v>18112.38804</v>
      </c>
      <c r="AA287" s="26"/>
    </row>
    <row r="288">
      <c r="A288" s="16" t="s">
        <v>6</v>
      </c>
      <c r="B288" s="17">
        <v>287.0</v>
      </c>
      <c r="C288" s="24">
        <f t="shared" si="5"/>
        <v>172278385.5</v>
      </c>
      <c r="D288" s="25">
        <v>0.05</v>
      </c>
      <c r="E288" s="24">
        <f t="shared" si="6"/>
        <v>1440.851186</v>
      </c>
      <c r="F288" s="25">
        <v>0.02</v>
      </c>
      <c r="G288" s="24">
        <f t="shared" si="7"/>
        <v>114852257</v>
      </c>
      <c r="H288" s="25">
        <v>0.05</v>
      </c>
      <c r="I288" s="24">
        <f t="shared" si="8"/>
        <v>2881.702371</v>
      </c>
      <c r="J288" s="25">
        <v>0.02</v>
      </c>
      <c r="K288" s="25">
        <v>0.0</v>
      </c>
      <c r="L288" s="24">
        <f t="shared" ref="L288:O288" si="579">IF(L287="", "", 1 + MROUND(IFERROR(MINIFS(OFFSET(L287, -1, 0, -$B288, 1), OFFSET(L287, -1, 0, -$B288, 1), "&gt;0"), L287) + (LN(1 + $Z288) ^ U$2) * U$3, 1))</f>
        <v>203219</v>
      </c>
      <c r="M288" s="24">
        <f t="shared" si="579"/>
        <v>17010</v>
      </c>
      <c r="N288" s="24">
        <f t="shared" si="579"/>
        <v>4853</v>
      </c>
      <c r="O288" s="24">
        <f t="shared" si="579"/>
        <v>8672</v>
      </c>
      <c r="P288" s="24">
        <f t="shared" ref="P288:S288" si="580">L288*$Y$2</f>
        <v>50804.75</v>
      </c>
      <c r="Q288" s="24">
        <f t="shared" si="580"/>
        <v>4252.5</v>
      </c>
      <c r="R288" s="24">
        <f t="shared" si="580"/>
        <v>1213.25</v>
      </c>
      <c r="S288" s="24">
        <f t="shared" si="580"/>
        <v>2168</v>
      </c>
      <c r="T288" s="24">
        <f t="shared" si="4"/>
        <v>30</v>
      </c>
      <c r="Z288" s="25">
        <f t="shared" si="12"/>
        <v>18746.35662</v>
      </c>
      <c r="AA288" s="26"/>
    </row>
    <row r="289">
      <c r="A289" s="16" t="s">
        <v>6</v>
      </c>
      <c r="B289" s="17">
        <v>288.0</v>
      </c>
      <c r="C289" s="24">
        <f t="shared" si="5"/>
        <v>180892304.7</v>
      </c>
      <c r="D289" s="25">
        <v>0.05</v>
      </c>
      <c r="E289" s="24">
        <f t="shared" si="6"/>
        <v>1469.668209</v>
      </c>
      <c r="F289" s="25">
        <v>0.02</v>
      </c>
      <c r="G289" s="24">
        <f t="shared" si="7"/>
        <v>120594869.8</v>
      </c>
      <c r="H289" s="25">
        <v>0.05</v>
      </c>
      <c r="I289" s="24">
        <f t="shared" si="8"/>
        <v>2939.336419</v>
      </c>
      <c r="J289" s="25">
        <v>0.02</v>
      </c>
      <c r="K289" s="25">
        <v>0.0</v>
      </c>
      <c r="L289" s="24">
        <f t="shared" ref="L289:O289" si="581">IF(L288="", "", 1 + MROUND(IFERROR(MINIFS(OFFSET(L288, -1, 0, -$B289, 1), OFFSET(L288, -1, 0, -$B289, 1), "&gt;0"), L288) + (LN(1 + $Z289) ^ U$2) * U$3, 1))</f>
        <v>204462</v>
      </c>
      <c r="M289" s="24">
        <f t="shared" si="581"/>
        <v>17110</v>
      </c>
      <c r="N289" s="24">
        <f t="shared" si="581"/>
        <v>4904</v>
      </c>
      <c r="O289" s="24">
        <f t="shared" si="581"/>
        <v>8723</v>
      </c>
      <c r="P289" s="24">
        <f t="shared" ref="P289:S289" si="582">L289*$Y$2</f>
        <v>51115.5</v>
      </c>
      <c r="Q289" s="24">
        <f t="shared" si="582"/>
        <v>4277.5</v>
      </c>
      <c r="R289" s="24">
        <f t="shared" si="582"/>
        <v>1226</v>
      </c>
      <c r="S289" s="24">
        <f t="shared" si="582"/>
        <v>2180.75</v>
      </c>
      <c r="T289" s="24">
        <f t="shared" si="4"/>
        <v>30</v>
      </c>
      <c r="Z289" s="25">
        <f t="shared" si="12"/>
        <v>19402.5141</v>
      </c>
      <c r="AA289" s="26"/>
    </row>
    <row r="290">
      <c r="A290" s="16" t="s">
        <v>6</v>
      </c>
      <c r="B290" s="17">
        <v>289.0</v>
      </c>
      <c r="C290" s="24">
        <f t="shared" si="5"/>
        <v>189936920</v>
      </c>
      <c r="D290" s="25">
        <v>0.05</v>
      </c>
      <c r="E290" s="24">
        <f t="shared" si="6"/>
        <v>1499.061574</v>
      </c>
      <c r="F290" s="25">
        <v>0.02</v>
      </c>
      <c r="G290" s="24">
        <f t="shared" si="7"/>
        <v>126624613.3</v>
      </c>
      <c r="H290" s="25">
        <v>0.05</v>
      </c>
      <c r="I290" s="24">
        <f t="shared" si="8"/>
        <v>2998.123147</v>
      </c>
      <c r="J290" s="25">
        <v>0.02</v>
      </c>
      <c r="K290" s="25">
        <v>0.0</v>
      </c>
      <c r="L290" s="24">
        <f t="shared" ref="L290:O290" si="583">IF(L289="", "", 1 + MROUND(IFERROR(MINIFS(OFFSET(L289, -1, 0, -$B290, 1), OFFSET(L289, -1, 0, -$B290, 1), "&gt;0"), L289) + (LN(1 + $Z290) ^ U$2) * U$3, 1))</f>
        <v>205708</v>
      </c>
      <c r="M290" s="24">
        <f t="shared" si="583"/>
        <v>17211</v>
      </c>
      <c r="N290" s="24">
        <f t="shared" si="583"/>
        <v>4955</v>
      </c>
      <c r="O290" s="24">
        <f t="shared" si="583"/>
        <v>8774</v>
      </c>
      <c r="P290" s="24">
        <f t="shared" ref="P290:S290" si="584">L290*$Y$2</f>
        <v>51427</v>
      </c>
      <c r="Q290" s="24">
        <f t="shared" si="584"/>
        <v>4302.75</v>
      </c>
      <c r="R290" s="24">
        <f t="shared" si="584"/>
        <v>1238.75</v>
      </c>
      <c r="S290" s="24">
        <f t="shared" si="584"/>
        <v>2193.5</v>
      </c>
      <c r="T290" s="24">
        <f t="shared" si="4"/>
        <v>30</v>
      </c>
      <c r="Z290" s="25">
        <f t="shared" si="12"/>
        <v>20081.63709</v>
      </c>
      <c r="AA290" s="26"/>
    </row>
    <row r="291">
      <c r="A291" s="16" t="s">
        <v>6</v>
      </c>
      <c r="B291" s="17">
        <v>290.0</v>
      </c>
      <c r="C291" s="24">
        <f t="shared" si="5"/>
        <v>199433766</v>
      </c>
      <c r="D291" s="25">
        <v>0.05</v>
      </c>
      <c r="E291" s="24">
        <f t="shared" si="6"/>
        <v>1529.042805</v>
      </c>
      <c r="F291" s="25">
        <v>0.02</v>
      </c>
      <c r="G291" s="24">
        <f t="shared" si="7"/>
        <v>132955844</v>
      </c>
      <c r="H291" s="25">
        <v>0.05</v>
      </c>
      <c r="I291" s="24">
        <f t="shared" si="8"/>
        <v>3058.08561</v>
      </c>
      <c r="J291" s="25">
        <v>0.02</v>
      </c>
      <c r="K291" s="25">
        <v>0.0</v>
      </c>
      <c r="L291" s="24">
        <f t="shared" ref="L291:O291" si="585">IF(L290="", "", 1 + MROUND(IFERROR(MINIFS(OFFSET(L290, -1, 0, -$B291, 1), OFFSET(L290, -1, 0, -$B291, 1), "&gt;0"), L290) + (LN(1 + $Z291) ^ U$2) * U$3, 1))</f>
        <v>206957</v>
      </c>
      <c r="M291" s="24">
        <f t="shared" si="585"/>
        <v>17312</v>
      </c>
      <c r="N291" s="24">
        <f t="shared" si="585"/>
        <v>5006</v>
      </c>
      <c r="O291" s="24">
        <f t="shared" si="585"/>
        <v>8825</v>
      </c>
      <c r="P291" s="24">
        <f t="shared" ref="P291:S291" si="586">L291*$Y$2</f>
        <v>51739.25</v>
      </c>
      <c r="Q291" s="24">
        <f t="shared" si="586"/>
        <v>4328</v>
      </c>
      <c r="R291" s="24">
        <f t="shared" si="586"/>
        <v>1251.5</v>
      </c>
      <c r="S291" s="24">
        <f t="shared" si="586"/>
        <v>2206.25</v>
      </c>
      <c r="T291" s="24">
        <f t="shared" si="4"/>
        <v>30</v>
      </c>
      <c r="Z291" s="25">
        <f t="shared" si="12"/>
        <v>20784.52939</v>
      </c>
      <c r="AA291" s="26"/>
    </row>
    <row r="292">
      <c r="A292" s="16" t="s">
        <v>6</v>
      </c>
      <c r="B292" s="17">
        <v>291.0</v>
      </c>
      <c r="C292" s="24">
        <f t="shared" si="5"/>
        <v>209405454.3</v>
      </c>
      <c r="D292" s="25">
        <v>0.05</v>
      </c>
      <c r="E292" s="24">
        <f t="shared" si="6"/>
        <v>1559.623661</v>
      </c>
      <c r="F292" s="25">
        <v>0.02</v>
      </c>
      <c r="G292" s="24">
        <f t="shared" si="7"/>
        <v>139603636.2</v>
      </c>
      <c r="H292" s="25">
        <v>0.05</v>
      </c>
      <c r="I292" s="24">
        <f t="shared" si="8"/>
        <v>3119.247322</v>
      </c>
      <c r="J292" s="25">
        <v>0.02</v>
      </c>
      <c r="K292" s="25">
        <v>0.0</v>
      </c>
      <c r="L292" s="24">
        <f t="shared" ref="L292:O292" si="587">IF(L291="", "", 1 + MROUND(IFERROR(MINIFS(OFFSET(L291, -1, 0, -$B292, 1), OFFSET(L291, -1, 0, -$B292, 1), "&gt;0"), L291) + (LN(1 + $Z292) ^ U$2) * U$3, 1))</f>
        <v>208209</v>
      </c>
      <c r="M292" s="24">
        <f t="shared" si="587"/>
        <v>17413</v>
      </c>
      <c r="N292" s="24">
        <f t="shared" si="587"/>
        <v>5057</v>
      </c>
      <c r="O292" s="24">
        <f t="shared" si="587"/>
        <v>8876</v>
      </c>
      <c r="P292" s="24">
        <f t="shared" ref="P292:S292" si="588">L292*$Y$2</f>
        <v>52052.25</v>
      </c>
      <c r="Q292" s="24">
        <f t="shared" si="588"/>
        <v>4353.25</v>
      </c>
      <c r="R292" s="24">
        <f t="shared" si="588"/>
        <v>1264.25</v>
      </c>
      <c r="S292" s="24">
        <f t="shared" si="588"/>
        <v>2219</v>
      </c>
      <c r="T292" s="24">
        <f t="shared" si="4"/>
        <v>30</v>
      </c>
      <c r="Z292" s="25">
        <f t="shared" si="12"/>
        <v>21512.02292</v>
      </c>
      <c r="AA292" s="26"/>
    </row>
    <row r="293">
      <c r="A293" s="16" t="s">
        <v>6</v>
      </c>
      <c r="B293" s="17">
        <v>292.0</v>
      </c>
      <c r="C293" s="24">
        <f t="shared" si="5"/>
        <v>219875727</v>
      </c>
      <c r="D293" s="25">
        <v>0.05</v>
      </c>
      <c r="E293" s="24">
        <f t="shared" si="6"/>
        <v>1590.816134</v>
      </c>
      <c r="F293" s="25">
        <v>0.02</v>
      </c>
      <c r="G293" s="24">
        <f t="shared" si="7"/>
        <v>146583818</v>
      </c>
      <c r="H293" s="25">
        <v>0.05</v>
      </c>
      <c r="I293" s="24">
        <f t="shared" si="8"/>
        <v>3181.632269</v>
      </c>
      <c r="J293" s="25">
        <v>0.02</v>
      </c>
      <c r="K293" s="25">
        <v>0.0</v>
      </c>
      <c r="L293" s="24">
        <f t="shared" ref="L293:O293" si="589">IF(L292="", "", 1 + MROUND(IFERROR(MINIFS(OFFSET(L292, -1, 0, -$B293, 1), OFFSET(L292, -1, 0, -$B293, 1), "&gt;0"), L292) + (LN(1 + $Z293) ^ U$2) * U$3, 1))</f>
        <v>209464</v>
      </c>
      <c r="M293" s="24">
        <f t="shared" si="589"/>
        <v>17514</v>
      </c>
      <c r="N293" s="24">
        <f t="shared" si="589"/>
        <v>5108</v>
      </c>
      <c r="O293" s="24">
        <f t="shared" si="589"/>
        <v>8927</v>
      </c>
      <c r="P293" s="24">
        <f t="shared" ref="P293:S293" si="590">L293*$Y$2</f>
        <v>52366</v>
      </c>
      <c r="Q293" s="24">
        <f t="shared" si="590"/>
        <v>4378.5</v>
      </c>
      <c r="R293" s="24">
        <f t="shared" si="590"/>
        <v>1277</v>
      </c>
      <c r="S293" s="24">
        <f t="shared" si="590"/>
        <v>2231.75</v>
      </c>
      <c r="T293" s="24">
        <f t="shared" si="4"/>
        <v>30</v>
      </c>
      <c r="Z293" s="25">
        <f t="shared" si="12"/>
        <v>22264.97872</v>
      </c>
      <c r="AA293" s="26"/>
    </row>
    <row r="294">
      <c r="A294" s="16" t="s">
        <v>6</v>
      </c>
      <c r="B294" s="17">
        <v>293.0</v>
      </c>
      <c r="C294" s="24">
        <f t="shared" si="5"/>
        <v>230869513.3</v>
      </c>
      <c r="D294" s="25">
        <v>0.05</v>
      </c>
      <c r="E294" s="24">
        <f t="shared" si="6"/>
        <v>1622.632457</v>
      </c>
      <c r="F294" s="25">
        <v>0.02</v>
      </c>
      <c r="G294" s="24">
        <f t="shared" si="7"/>
        <v>153913008.9</v>
      </c>
      <c r="H294" s="25">
        <v>0.05</v>
      </c>
      <c r="I294" s="24">
        <f t="shared" si="8"/>
        <v>3245.264914</v>
      </c>
      <c r="J294" s="25">
        <v>0.02</v>
      </c>
      <c r="K294" s="25">
        <v>0.0</v>
      </c>
      <c r="L294" s="24">
        <f t="shared" ref="L294:O294" si="591">IF(L293="", "", 1 + MROUND(IFERROR(MINIFS(OFFSET(L293, -1, 0, -$B294, 1), OFFSET(L293, -1, 0, -$B294, 1), "&gt;0"), L293) + (LN(1 + $Z294) ^ U$2) * U$3, 1))</f>
        <v>210722</v>
      </c>
      <c r="M294" s="24">
        <f t="shared" si="591"/>
        <v>17616</v>
      </c>
      <c r="N294" s="24">
        <f t="shared" si="591"/>
        <v>5159</v>
      </c>
      <c r="O294" s="24">
        <f t="shared" si="591"/>
        <v>8978</v>
      </c>
      <c r="P294" s="24">
        <f t="shared" ref="P294:S294" si="592">L294*$Y$2</f>
        <v>52680.5</v>
      </c>
      <c r="Q294" s="24">
        <f t="shared" si="592"/>
        <v>4404</v>
      </c>
      <c r="R294" s="24">
        <f t="shared" si="592"/>
        <v>1289.75</v>
      </c>
      <c r="S294" s="24">
        <f t="shared" si="592"/>
        <v>2244.5</v>
      </c>
      <c r="T294" s="24">
        <f t="shared" si="4"/>
        <v>30</v>
      </c>
      <c r="Z294" s="25">
        <f t="shared" si="12"/>
        <v>23044.28798</v>
      </c>
      <c r="AA294" s="26"/>
    </row>
    <row r="295">
      <c r="A295" s="16" t="s">
        <v>6</v>
      </c>
      <c r="B295" s="17">
        <v>294.0</v>
      </c>
      <c r="C295" s="24">
        <f t="shared" si="5"/>
        <v>242412989</v>
      </c>
      <c r="D295" s="25">
        <v>0.05</v>
      </c>
      <c r="E295" s="24">
        <f t="shared" si="6"/>
        <v>1655.085106</v>
      </c>
      <c r="F295" s="25">
        <v>0.02</v>
      </c>
      <c r="G295" s="24">
        <f t="shared" si="7"/>
        <v>161608659.3</v>
      </c>
      <c r="H295" s="25">
        <v>0.05</v>
      </c>
      <c r="I295" s="24">
        <f t="shared" si="8"/>
        <v>3310.170213</v>
      </c>
      <c r="J295" s="25">
        <v>0.02</v>
      </c>
      <c r="K295" s="25">
        <v>0.0</v>
      </c>
      <c r="L295" s="24">
        <f t="shared" ref="L295:O295" si="593">IF(L294="", "", 1 + MROUND(IFERROR(MINIFS(OFFSET(L294, -1, 0, -$B295, 1), OFFSET(L294, -1, 0, -$B295, 1), "&gt;0"), L294) + (LN(1 + $Z295) ^ U$2) * U$3, 1))</f>
        <v>211983</v>
      </c>
      <c r="M295" s="24">
        <f t="shared" si="593"/>
        <v>17718</v>
      </c>
      <c r="N295" s="24">
        <f t="shared" si="593"/>
        <v>5210</v>
      </c>
      <c r="O295" s="24">
        <f t="shared" si="593"/>
        <v>9029</v>
      </c>
      <c r="P295" s="24">
        <f t="shared" ref="P295:S295" si="594">L295*$Y$2</f>
        <v>52995.75</v>
      </c>
      <c r="Q295" s="24">
        <f t="shared" si="594"/>
        <v>4429.5</v>
      </c>
      <c r="R295" s="24">
        <f t="shared" si="594"/>
        <v>1302.5</v>
      </c>
      <c r="S295" s="24">
        <f t="shared" si="594"/>
        <v>2257.25</v>
      </c>
      <c r="T295" s="24">
        <f t="shared" si="4"/>
        <v>30</v>
      </c>
      <c r="Z295" s="25">
        <f t="shared" si="12"/>
        <v>23850.87306</v>
      </c>
      <c r="AA295" s="26"/>
    </row>
    <row r="296">
      <c r="A296" s="16" t="s">
        <v>6</v>
      </c>
      <c r="B296" s="17">
        <v>295.0</v>
      </c>
      <c r="C296" s="24">
        <f t="shared" si="5"/>
        <v>254533638.5</v>
      </c>
      <c r="D296" s="25">
        <v>0.05</v>
      </c>
      <c r="E296" s="24">
        <f t="shared" si="6"/>
        <v>1688.186808</v>
      </c>
      <c r="F296" s="25">
        <v>0.02</v>
      </c>
      <c r="G296" s="24">
        <f t="shared" si="7"/>
        <v>169689092.3</v>
      </c>
      <c r="H296" s="25">
        <v>0.05</v>
      </c>
      <c r="I296" s="24">
        <f t="shared" si="8"/>
        <v>3376.373617</v>
      </c>
      <c r="J296" s="25">
        <v>0.02</v>
      </c>
      <c r="K296" s="25">
        <v>0.0</v>
      </c>
      <c r="L296" s="24">
        <f t="shared" ref="L296:O296" si="595">IF(L295="", "", 1 + MROUND(IFERROR(MINIFS(OFFSET(L295, -1, 0, -$B296, 1), OFFSET(L295, -1, 0, -$B296, 1), "&gt;0"), L295) + (LN(1 + $Z296) ^ U$2) * U$3, 1))</f>
        <v>213247</v>
      </c>
      <c r="M296" s="24">
        <f t="shared" si="595"/>
        <v>17820</v>
      </c>
      <c r="N296" s="24">
        <f t="shared" si="595"/>
        <v>5262</v>
      </c>
      <c r="O296" s="24">
        <f t="shared" si="595"/>
        <v>9081</v>
      </c>
      <c r="P296" s="24">
        <f t="shared" ref="P296:S296" si="596">L296*$Y$2</f>
        <v>53311.75</v>
      </c>
      <c r="Q296" s="24">
        <f t="shared" si="596"/>
        <v>4455</v>
      </c>
      <c r="R296" s="24">
        <f t="shared" si="596"/>
        <v>1315.5</v>
      </c>
      <c r="S296" s="24">
        <f t="shared" si="596"/>
        <v>2270.25</v>
      </c>
      <c r="T296" s="24">
        <f t="shared" si="4"/>
        <v>31</v>
      </c>
      <c r="Z296" s="25">
        <f t="shared" si="12"/>
        <v>24685.68862</v>
      </c>
      <c r="AA296" s="26"/>
    </row>
    <row r="297">
      <c r="A297" s="16" t="s">
        <v>6</v>
      </c>
      <c r="B297" s="17">
        <v>296.0</v>
      </c>
      <c r="C297" s="24">
        <f t="shared" si="5"/>
        <v>267260320.4</v>
      </c>
      <c r="D297" s="25">
        <v>0.05</v>
      </c>
      <c r="E297" s="24">
        <f t="shared" si="6"/>
        <v>1721.950545</v>
      </c>
      <c r="F297" s="25">
        <v>0.02</v>
      </c>
      <c r="G297" s="24">
        <f t="shared" si="7"/>
        <v>178173546.9</v>
      </c>
      <c r="H297" s="25">
        <v>0.05</v>
      </c>
      <c r="I297" s="24">
        <f t="shared" si="8"/>
        <v>3443.901089</v>
      </c>
      <c r="J297" s="25">
        <v>0.02</v>
      </c>
      <c r="K297" s="25">
        <v>0.0</v>
      </c>
      <c r="L297" s="24">
        <f t="shared" ref="L297:O297" si="597">IF(L296="", "", 1 + MROUND(IFERROR(MINIFS(OFFSET(L296, -1, 0, -$B297, 1), OFFSET(L296, -1, 0, -$B297, 1), "&gt;0"), L296) + (LN(1 + $Z297) ^ U$2) * U$3, 1))</f>
        <v>214514</v>
      </c>
      <c r="M297" s="24">
        <f t="shared" si="597"/>
        <v>17922</v>
      </c>
      <c r="N297" s="24">
        <f t="shared" si="597"/>
        <v>5314</v>
      </c>
      <c r="O297" s="24">
        <f t="shared" si="597"/>
        <v>9133</v>
      </c>
      <c r="P297" s="24">
        <f t="shared" ref="P297:S297" si="598">L297*$Y$2</f>
        <v>53628.5</v>
      </c>
      <c r="Q297" s="24">
        <f t="shared" si="598"/>
        <v>4480.5</v>
      </c>
      <c r="R297" s="24">
        <f t="shared" si="598"/>
        <v>1328.5</v>
      </c>
      <c r="S297" s="24">
        <f t="shared" si="598"/>
        <v>2283.25</v>
      </c>
      <c r="T297" s="24">
        <f t="shared" si="4"/>
        <v>31</v>
      </c>
      <c r="Z297" s="25">
        <f t="shared" si="12"/>
        <v>25549.72272</v>
      </c>
      <c r="AA297" s="26"/>
    </row>
    <row r="298">
      <c r="A298" s="16" t="s">
        <v>6</v>
      </c>
      <c r="B298" s="17">
        <v>297.0</v>
      </c>
      <c r="C298" s="24">
        <f t="shared" si="5"/>
        <v>280623336.4</v>
      </c>
      <c r="D298" s="25">
        <v>0.05</v>
      </c>
      <c r="E298" s="24">
        <f t="shared" si="6"/>
        <v>1756.389555</v>
      </c>
      <c r="F298" s="25">
        <v>0.02</v>
      </c>
      <c r="G298" s="24">
        <f t="shared" si="7"/>
        <v>187082224.3</v>
      </c>
      <c r="H298" s="25">
        <v>0.05</v>
      </c>
      <c r="I298" s="24">
        <f t="shared" si="8"/>
        <v>3512.779111</v>
      </c>
      <c r="J298" s="25">
        <v>0.02</v>
      </c>
      <c r="K298" s="25">
        <v>0.0</v>
      </c>
      <c r="L298" s="24">
        <f t="shared" ref="L298:O298" si="599">IF(L297="", "", 1 + MROUND(IFERROR(MINIFS(OFFSET(L297, -1, 0, -$B298, 1), OFFSET(L297, -1, 0, -$B298, 1), "&gt;0"), L297) + (LN(1 + $Z298) ^ U$2) * U$3, 1))</f>
        <v>215784</v>
      </c>
      <c r="M298" s="24">
        <f t="shared" si="599"/>
        <v>18025</v>
      </c>
      <c r="N298" s="24">
        <f t="shared" si="599"/>
        <v>5366</v>
      </c>
      <c r="O298" s="24">
        <f t="shared" si="599"/>
        <v>9185</v>
      </c>
      <c r="P298" s="24">
        <f t="shared" ref="P298:S298" si="600">L298*$Y$2</f>
        <v>53946</v>
      </c>
      <c r="Q298" s="24">
        <f t="shared" si="600"/>
        <v>4506.25</v>
      </c>
      <c r="R298" s="24">
        <f t="shared" si="600"/>
        <v>1341.5</v>
      </c>
      <c r="S298" s="24">
        <f t="shared" si="600"/>
        <v>2296.25</v>
      </c>
      <c r="T298" s="24">
        <f t="shared" si="4"/>
        <v>31</v>
      </c>
      <c r="Z298" s="25">
        <f t="shared" si="12"/>
        <v>26443.99801</v>
      </c>
      <c r="AA298" s="26"/>
    </row>
    <row r="299">
      <c r="A299" s="16" t="s">
        <v>6</v>
      </c>
      <c r="B299" s="17">
        <v>298.0</v>
      </c>
      <c r="C299" s="24">
        <f t="shared" si="5"/>
        <v>294654503.2</v>
      </c>
      <c r="D299" s="25">
        <v>0.05</v>
      </c>
      <c r="E299" s="24">
        <f t="shared" si="6"/>
        <v>1791.517347</v>
      </c>
      <c r="F299" s="25">
        <v>0.02</v>
      </c>
      <c r="G299" s="24">
        <f t="shared" si="7"/>
        <v>196436335.5</v>
      </c>
      <c r="H299" s="25">
        <v>0.05</v>
      </c>
      <c r="I299" s="24">
        <f t="shared" si="8"/>
        <v>3583.034693</v>
      </c>
      <c r="J299" s="25">
        <v>0.02</v>
      </c>
      <c r="K299" s="25">
        <v>0.0</v>
      </c>
      <c r="L299" s="24">
        <f t="shared" ref="L299:O299" si="601">IF(L298="", "", 1 + MROUND(IFERROR(MINIFS(OFFSET(L298, -1, 0, -$B299, 1), OFFSET(L298, -1, 0, -$B299, 1), "&gt;0"), L298) + (LN(1 + $Z299) ^ U$2) * U$3, 1))</f>
        <v>217057</v>
      </c>
      <c r="M299" s="24">
        <f t="shared" si="601"/>
        <v>18128</v>
      </c>
      <c r="N299" s="24">
        <f t="shared" si="601"/>
        <v>5418</v>
      </c>
      <c r="O299" s="24">
        <f t="shared" si="601"/>
        <v>9237</v>
      </c>
      <c r="P299" s="24">
        <f t="shared" ref="P299:S299" si="602">L299*$Y$2</f>
        <v>54264.25</v>
      </c>
      <c r="Q299" s="24">
        <f t="shared" si="602"/>
        <v>4532</v>
      </c>
      <c r="R299" s="24">
        <f t="shared" si="602"/>
        <v>1354.5</v>
      </c>
      <c r="S299" s="24">
        <f t="shared" si="602"/>
        <v>2309.25</v>
      </c>
      <c r="T299" s="24">
        <f t="shared" si="4"/>
        <v>31</v>
      </c>
      <c r="Z299" s="25">
        <f t="shared" si="12"/>
        <v>27369.57294</v>
      </c>
      <c r="AA299" s="26"/>
    </row>
    <row r="300">
      <c r="A300" s="16" t="s">
        <v>6</v>
      </c>
      <c r="B300" s="17">
        <v>299.0</v>
      </c>
      <c r="C300" s="24">
        <f t="shared" si="5"/>
        <v>309387228.4</v>
      </c>
      <c r="D300" s="25">
        <v>0.05</v>
      </c>
      <c r="E300" s="24">
        <f t="shared" si="6"/>
        <v>1827.347693</v>
      </c>
      <c r="F300" s="25">
        <v>0.02</v>
      </c>
      <c r="G300" s="24">
        <f t="shared" si="7"/>
        <v>206258152.3</v>
      </c>
      <c r="H300" s="25">
        <v>0.05</v>
      </c>
      <c r="I300" s="24">
        <f t="shared" si="8"/>
        <v>3654.695387</v>
      </c>
      <c r="J300" s="25">
        <v>0.02</v>
      </c>
      <c r="K300" s="25">
        <v>0.0</v>
      </c>
      <c r="L300" s="24">
        <f t="shared" ref="L300:O300" si="603">IF(L299="", "", 1 + MROUND(IFERROR(MINIFS(OFFSET(L299, -1, 0, -$B300, 1), OFFSET(L299, -1, 0, -$B300, 1), "&gt;0"), L299) + (LN(1 + $Z300) ^ U$2) * U$3, 1))</f>
        <v>218333</v>
      </c>
      <c r="M300" s="24">
        <f t="shared" si="603"/>
        <v>18231</v>
      </c>
      <c r="N300" s="24">
        <f t="shared" si="603"/>
        <v>5470</v>
      </c>
      <c r="O300" s="24">
        <f t="shared" si="603"/>
        <v>9289</v>
      </c>
      <c r="P300" s="24">
        <f t="shared" ref="P300:S300" si="604">L300*$Y$2</f>
        <v>54583.25</v>
      </c>
      <c r="Q300" s="24">
        <f t="shared" si="604"/>
        <v>4557.75</v>
      </c>
      <c r="R300" s="24">
        <f t="shared" si="604"/>
        <v>1367.5</v>
      </c>
      <c r="S300" s="24">
        <f t="shared" si="604"/>
        <v>2322.25</v>
      </c>
      <c r="T300" s="24">
        <f t="shared" si="4"/>
        <v>31</v>
      </c>
      <c r="Z300" s="25">
        <f t="shared" si="12"/>
        <v>28327.543</v>
      </c>
      <c r="AA300" s="26"/>
    </row>
    <row r="301">
      <c r="A301" s="16" t="s">
        <v>6</v>
      </c>
      <c r="B301" s="17">
        <v>300.0</v>
      </c>
      <c r="C301" s="24">
        <f t="shared" si="5"/>
        <v>324856589.8</v>
      </c>
      <c r="D301" s="25">
        <v>0.05</v>
      </c>
      <c r="E301" s="24">
        <f t="shared" si="6"/>
        <v>1863.894647</v>
      </c>
      <c r="F301" s="25">
        <v>0.02</v>
      </c>
      <c r="G301" s="24">
        <f t="shared" si="7"/>
        <v>216571059.9</v>
      </c>
      <c r="H301" s="25">
        <v>0.05</v>
      </c>
      <c r="I301" s="24">
        <f t="shared" si="8"/>
        <v>3727.789295</v>
      </c>
      <c r="J301" s="25">
        <v>0.02</v>
      </c>
      <c r="K301" s="25">
        <v>0.0</v>
      </c>
      <c r="L301" s="24">
        <f t="shared" ref="L301:O301" si="605">IF(L300="", "", 1 + MROUND(IFERROR(MINIFS(OFFSET(L300, -1, 0, -$B301, 1), OFFSET(L300, -1, 0, -$B301, 1), "&gt;0"), L300) + (LN(1 + $Z301) ^ U$2) * U$3, 1))</f>
        <v>219612</v>
      </c>
      <c r="M301" s="24">
        <f t="shared" si="605"/>
        <v>18334</v>
      </c>
      <c r="N301" s="24">
        <f t="shared" si="605"/>
        <v>5522</v>
      </c>
      <c r="O301" s="24">
        <f t="shared" si="605"/>
        <v>9341</v>
      </c>
      <c r="P301" s="24">
        <f t="shared" ref="P301:S301" si="606">L301*$Y$2</f>
        <v>54903</v>
      </c>
      <c r="Q301" s="24">
        <f t="shared" si="606"/>
        <v>4583.5</v>
      </c>
      <c r="R301" s="24">
        <f t="shared" si="606"/>
        <v>1380.5</v>
      </c>
      <c r="S301" s="24">
        <f t="shared" si="606"/>
        <v>2335.25</v>
      </c>
      <c r="T301" s="24">
        <f t="shared" si="4"/>
        <v>31</v>
      </c>
      <c r="Z301" s="25">
        <f t="shared" si="12"/>
        <v>29319.042</v>
      </c>
      <c r="AA301" s="26"/>
    </row>
    <row r="302">
      <c r="A302" s="16" t="s">
        <v>36</v>
      </c>
      <c r="B302" s="17">
        <v>1.0</v>
      </c>
      <c r="C302" s="24">
        <v>300.0</v>
      </c>
      <c r="D302" s="25">
        <v>0.05</v>
      </c>
      <c r="E302" s="24">
        <v>10.0</v>
      </c>
      <c r="F302" s="25">
        <v>0.02</v>
      </c>
      <c r="G302" s="24">
        <v>45.0</v>
      </c>
      <c r="H302" s="25">
        <v>0.05</v>
      </c>
      <c r="I302" s="24">
        <v>45.0</v>
      </c>
      <c r="J302" s="25">
        <v>0.02</v>
      </c>
      <c r="K302" s="25">
        <v>0.0</v>
      </c>
      <c r="L302" s="24">
        <v>1000.0</v>
      </c>
      <c r="M302" s="24"/>
      <c r="N302" s="24"/>
      <c r="O302" s="24">
        <v>50.0</v>
      </c>
      <c r="P302" s="24">
        <f t="shared" ref="P302:S302" si="607">L302*$Y$2</f>
        <v>250</v>
      </c>
      <c r="Q302" s="24">
        <f t="shared" si="607"/>
        <v>0</v>
      </c>
      <c r="R302" s="24">
        <f t="shared" si="607"/>
        <v>0</v>
      </c>
      <c r="S302" s="24">
        <f t="shared" si="607"/>
        <v>12.5</v>
      </c>
      <c r="T302" s="24">
        <f t="shared" si="4"/>
        <v>1</v>
      </c>
      <c r="Z302" s="25">
        <f t="shared" si="12"/>
        <v>0</v>
      </c>
    </row>
    <row r="303">
      <c r="A303" s="16" t="s">
        <v>36</v>
      </c>
      <c r="B303" s="17">
        <v>2.0</v>
      </c>
      <c r="C303" s="24">
        <f t="shared" ref="C303:C601" si="610">C302+D302*C302</f>
        <v>315</v>
      </c>
      <c r="D303" s="25">
        <v>0.05</v>
      </c>
      <c r="E303" s="24">
        <f t="shared" ref="E303:E601" si="611">E302+F302*E302</f>
        <v>10.2</v>
      </c>
      <c r="F303" s="25">
        <v>0.02</v>
      </c>
      <c r="G303" s="24">
        <f t="shared" ref="G303:G601" si="612">G302+H302*G302</f>
        <v>47.25</v>
      </c>
      <c r="H303" s="25">
        <v>0.05</v>
      </c>
      <c r="I303" s="24">
        <f t="shared" ref="I303:I601" si="613">I302+J302*I302</f>
        <v>45.9</v>
      </c>
      <c r="J303" s="25">
        <v>0.02</v>
      </c>
      <c r="K303" s="25">
        <v>0.0</v>
      </c>
      <c r="L303" s="24">
        <f t="shared" ref="L303:O303" si="608">IF(L302="", "", 1 + MROUND(IFERROR(MINIFS(OFFSET(L302, -1, 0, -$B303, 1), OFFSET(L302, -1, 0, -$B303, 1), "&gt;0"), L302) + (LN(1 + $Z303) ^ U$2) * U$3, 1))</f>
        <v>1025</v>
      </c>
      <c r="M303" s="24" t="str">
        <f t="shared" si="608"/>
        <v/>
      </c>
      <c r="N303" s="24" t="str">
        <f t="shared" si="608"/>
        <v/>
      </c>
      <c r="O303" s="24">
        <f t="shared" si="608"/>
        <v>52</v>
      </c>
      <c r="P303" s="24">
        <f t="shared" ref="P303:S303" si="609">L303*$Y$2</f>
        <v>256.25</v>
      </c>
      <c r="Q303" s="24">
        <f t="shared" si="609"/>
        <v>0</v>
      </c>
      <c r="R303" s="24">
        <f t="shared" si="609"/>
        <v>0</v>
      </c>
      <c r="S303" s="24">
        <f t="shared" si="609"/>
        <v>13</v>
      </c>
      <c r="T303" s="24">
        <f t="shared" si="4"/>
        <v>1</v>
      </c>
      <c r="Z303" s="25">
        <f t="shared" si="12"/>
        <v>0.035</v>
      </c>
    </row>
    <row r="304">
      <c r="A304" s="16" t="s">
        <v>36</v>
      </c>
      <c r="B304" s="17">
        <v>3.0</v>
      </c>
      <c r="C304" s="24">
        <f t="shared" si="610"/>
        <v>330.75</v>
      </c>
      <c r="D304" s="25">
        <v>0.05</v>
      </c>
      <c r="E304" s="24">
        <f t="shared" si="611"/>
        <v>10.404</v>
      </c>
      <c r="F304" s="25">
        <v>0.02</v>
      </c>
      <c r="G304" s="24">
        <f t="shared" si="612"/>
        <v>49.6125</v>
      </c>
      <c r="H304" s="25">
        <v>0.05</v>
      </c>
      <c r="I304" s="24">
        <f t="shared" si="613"/>
        <v>46.818</v>
      </c>
      <c r="J304" s="25">
        <v>0.02</v>
      </c>
      <c r="K304" s="25">
        <v>0.0</v>
      </c>
      <c r="L304" s="24">
        <f t="shared" ref="L304:O304" si="614">IF(L303="", "", 1 + MROUND(IFERROR(MINIFS(OFFSET(L303, -1, 0, -$B304, 1), OFFSET(L303, -1, 0, -$B304, 1), "&gt;0"), L303) + (LN(1 + $Z304) ^ U$2) * U$3, 1))</f>
        <v>1064</v>
      </c>
      <c r="M304" s="24" t="str">
        <f t="shared" si="614"/>
        <v/>
      </c>
      <c r="N304" s="24" t="str">
        <f t="shared" si="614"/>
        <v/>
      </c>
      <c r="O304" s="24">
        <f t="shared" si="614"/>
        <v>55</v>
      </c>
      <c r="P304" s="24">
        <f t="shared" ref="P304:S304" si="615">L304*$Y$2</f>
        <v>266</v>
      </c>
      <c r="Q304" s="24">
        <f t="shared" si="615"/>
        <v>0</v>
      </c>
      <c r="R304" s="24">
        <f t="shared" si="615"/>
        <v>0</v>
      </c>
      <c r="S304" s="24">
        <f t="shared" si="615"/>
        <v>13.75</v>
      </c>
      <c r="T304" s="24">
        <f t="shared" si="4"/>
        <v>1</v>
      </c>
      <c r="Z304" s="25">
        <f t="shared" si="12"/>
        <v>0.071225</v>
      </c>
    </row>
    <row r="305">
      <c r="A305" s="16" t="s">
        <v>36</v>
      </c>
      <c r="B305" s="17">
        <v>4.0</v>
      </c>
      <c r="C305" s="24">
        <f t="shared" si="610"/>
        <v>347.2875</v>
      </c>
      <c r="D305" s="25">
        <v>0.05</v>
      </c>
      <c r="E305" s="24">
        <f t="shared" si="611"/>
        <v>10.61208</v>
      </c>
      <c r="F305" s="25">
        <v>0.02</v>
      </c>
      <c r="G305" s="24">
        <f t="shared" si="612"/>
        <v>52.093125</v>
      </c>
      <c r="H305" s="25">
        <v>0.05</v>
      </c>
      <c r="I305" s="24">
        <f t="shared" si="613"/>
        <v>47.75436</v>
      </c>
      <c r="J305" s="25">
        <v>0.02</v>
      </c>
      <c r="K305" s="25">
        <v>0.0</v>
      </c>
      <c r="L305" s="24">
        <f t="shared" ref="L305:O305" si="616">IF(L304="", "", 1 + MROUND(IFERROR(MINIFS(OFFSET(L304, -1, 0, -$B305, 1), OFFSET(L304, -1, 0, -$B305, 1), "&gt;0"), L304) + (LN(1 + $Z305) ^ U$2) * U$3, 1))</f>
        <v>1116</v>
      </c>
      <c r="M305" s="24" t="str">
        <f t="shared" si="616"/>
        <v/>
      </c>
      <c r="N305" s="24" t="str">
        <f t="shared" si="616"/>
        <v/>
      </c>
      <c r="O305" s="24">
        <f t="shared" si="616"/>
        <v>58</v>
      </c>
      <c r="P305" s="24">
        <f t="shared" ref="P305:S305" si="617">L305*$Y$2</f>
        <v>279</v>
      </c>
      <c r="Q305" s="24">
        <f t="shared" si="617"/>
        <v>0</v>
      </c>
      <c r="R305" s="24">
        <f t="shared" si="617"/>
        <v>0</v>
      </c>
      <c r="S305" s="24">
        <f t="shared" si="617"/>
        <v>14.5</v>
      </c>
      <c r="T305" s="24">
        <f t="shared" si="4"/>
        <v>1</v>
      </c>
      <c r="Z305" s="25">
        <f t="shared" si="12"/>
        <v>0.108717875</v>
      </c>
    </row>
    <row r="306">
      <c r="A306" s="16" t="s">
        <v>36</v>
      </c>
      <c r="B306" s="17">
        <v>5.0</v>
      </c>
      <c r="C306" s="24">
        <f t="shared" si="610"/>
        <v>364.651875</v>
      </c>
      <c r="D306" s="25">
        <v>0.05</v>
      </c>
      <c r="E306" s="24">
        <f t="shared" si="611"/>
        <v>10.8243216</v>
      </c>
      <c r="F306" s="25">
        <v>0.02</v>
      </c>
      <c r="G306" s="24">
        <f t="shared" si="612"/>
        <v>54.69778125</v>
      </c>
      <c r="H306" s="25">
        <v>0.05</v>
      </c>
      <c r="I306" s="24">
        <f t="shared" si="613"/>
        <v>48.7094472</v>
      </c>
      <c r="J306" s="25">
        <v>0.02</v>
      </c>
      <c r="K306" s="25">
        <v>0.0</v>
      </c>
      <c r="L306" s="24">
        <f t="shared" ref="L306:O306" si="618">IF(L305="", "", 1 + MROUND(IFERROR(MINIFS(OFFSET(L305, -1, 0, -$B306, 1), OFFSET(L305, -1, 0, -$B306, 1), "&gt;0"), L305) + (LN(1 + $Z306) ^ U$2) * U$3, 1))</f>
        <v>1179</v>
      </c>
      <c r="M306" s="24" t="str">
        <f t="shared" si="618"/>
        <v/>
      </c>
      <c r="N306" s="24" t="str">
        <f t="shared" si="618"/>
        <v/>
      </c>
      <c r="O306" s="24">
        <f t="shared" si="618"/>
        <v>61</v>
      </c>
      <c r="P306" s="24">
        <f t="shared" ref="P306:S306" si="619">L306*$Y$2</f>
        <v>294.75</v>
      </c>
      <c r="Q306" s="24">
        <f t="shared" si="619"/>
        <v>0</v>
      </c>
      <c r="R306" s="24">
        <f t="shared" si="619"/>
        <v>0</v>
      </c>
      <c r="S306" s="24">
        <f t="shared" si="619"/>
        <v>15.25</v>
      </c>
      <c r="T306" s="24">
        <f t="shared" si="4"/>
        <v>2</v>
      </c>
      <c r="Z306" s="25">
        <f t="shared" si="12"/>
        <v>0.1475230006</v>
      </c>
    </row>
    <row r="307">
      <c r="A307" s="16" t="s">
        <v>36</v>
      </c>
      <c r="B307" s="17">
        <v>6.0</v>
      </c>
      <c r="C307" s="24">
        <f t="shared" si="610"/>
        <v>382.8844688</v>
      </c>
      <c r="D307" s="25">
        <v>0.05</v>
      </c>
      <c r="E307" s="24">
        <f t="shared" si="611"/>
        <v>11.04080803</v>
      </c>
      <c r="F307" s="25">
        <v>0.02</v>
      </c>
      <c r="G307" s="24">
        <f t="shared" si="612"/>
        <v>57.43267031</v>
      </c>
      <c r="H307" s="25">
        <v>0.05</v>
      </c>
      <c r="I307" s="24">
        <f t="shared" si="613"/>
        <v>49.68363614</v>
      </c>
      <c r="J307" s="25">
        <v>0.02</v>
      </c>
      <c r="K307" s="25">
        <v>0.0</v>
      </c>
      <c r="L307" s="24">
        <f t="shared" ref="L307:O307" si="620">IF(L306="", "", 1 + MROUND(IFERROR(MINIFS(OFFSET(L306, -1, 0, -$B307, 1), OFFSET(L306, -1, 0, -$B307, 1), "&gt;0"), L306) + (LN(1 + $Z307) ^ U$2) * U$3, 1))</f>
        <v>1253</v>
      </c>
      <c r="M307" s="24" t="str">
        <f t="shared" si="620"/>
        <v/>
      </c>
      <c r="N307" s="24" t="str">
        <f t="shared" si="620"/>
        <v/>
      </c>
      <c r="O307" s="24">
        <f t="shared" si="620"/>
        <v>65</v>
      </c>
      <c r="P307" s="24">
        <f t="shared" ref="P307:S307" si="621">L307*$Y$2</f>
        <v>313.25</v>
      </c>
      <c r="Q307" s="24">
        <f t="shared" si="621"/>
        <v>0</v>
      </c>
      <c r="R307" s="24">
        <f t="shared" si="621"/>
        <v>0</v>
      </c>
      <c r="S307" s="24">
        <f t="shared" si="621"/>
        <v>16.25</v>
      </c>
      <c r="T307" s="24">
        <f t="shared" si="4"/>
        <v>2</v>
      </c>
      <c r="Z307" s="25">
        <f t="shared" si="12"/>
        <v>0.1876863056</v>
      </c>
    </row>
    <row r="308">
      <c r="A308" s="16" t="s">
        <v>36</v>
      </c>
      <c r="B308" s="17">
        <v>7.0</v>
      </c>
      <c r="C308" s="24">
        <f t="shared" si="610"/>
        <v>402.0286922</v>
      </c>
      <c r="D308" s="25">
        <v>0.05</v>
      </c>
      <c r="E308" s="24">
        <f t="shared" si="611"/>
        <v>11.26162419</v>
      </c>
      <c r="F308" s="25">
        <v>0.02</v>
      </c>
      <c r="G308" s="24">
        <f t="shared" si="612"/>
        <v>60.30430383</v>
      </c>
      <c r="H308" s="25">
        <v>0.05</v>
      </c>
      <c r="I308" s="24">
        <f t="shared" si="613"/>
        <v>50.67730887</v>
      </c>
      <c r="J308" s="25">
        <v>0.02</v>
      </c>
      <c r="K308" s="25">
        <v>0.0</v>
      </c>
      <c r="L308" s="24">
        <f t="shared" ref="L308:O308" si="622">IF(L307="", "", 1 + MROUND(IFERROR(MINIFS(OFFSET(L307, -1, 0, -$B308, 1), OFFSET(L307, -1, 0, -$B308, 1), "&gt;0"), L307) + (LN(1 + $Z308) ^ U$2) * U$3, 1))</f>
        <v>1337</v>
      </c>
      <c r="M308" s="24" t="str">
        <f t="shared" si="622"/>
        <v/>
      </c>
      <c r="N308" s="24" t="str">
        <f t="shared" si="622"/>
        <v/>
      </c>
      <c r="O308" s="24">
        <f t="shared" si="622"/>
        <v>69</v>
      </c>
      <c r="P308" s="24">
        <f t="shared" ref="P308:S308" si="623">L308*$Y$2</f>
        <v>334.25</v>
      </c>
      <c r="Q308" s="24">
        <f t="shared" si="623"/>
        <v>0</v>
      </c>
      <c r="R308" s="24">
        <f t="shared" si="623"/>
        <v>0</v>
      </c>
      <c r="S308" s="24">
        <f t="shared" si="623"/>
        <v>17.25</v>
      </c>
      <c r="T308" s="24">
        <f t="shared" si="4"/>
        <v>2</v>
      </c>
      <c r="Z308" s="25">
        <f t="shared" si="12"/>
        <v>0.2292553263</v>
      </c>
    </row>
    <row r="309">
      <c r="A309" s="16" t="s">
        <v>36</v>
      </c>
      <c r="B309" s="17">
        <v>8.0</v>
      </c>
      <c r="C309" s="24">
        <f t="shared" si="610"/>
        <v>422.1301268</v>
      </c>
      <c r="D309" s="25">
        <v>0.05</v>
      </c>
      <c r="E309" s="24">
        <f t="shared" si="611"/>
        <v>11.48685668</v>
      </c>
      <c r="F309" s="25">
        <v>0.02</v>
      </c>
      <c r="G309" s="24">
        <f t="shared" si="612"/>
        <v>63.31951902</v>
      </c>
      <c r="H309" s="25">
        <v>0.05</v>
      </c>
      <c r="I309" s="24">
        <f t="shared" si="613"/>
        <v>51.69085504</v>
      </c>
      <c r="J309" s="25">
        <v>0.02</v>
      </c>
      <c r="K309" s="25">
        <v>0.0</v>
      </c>
      <c r="L309" s="24">
        <f t="shared" ref="L309:O309" si="624">IF(L308="", "", 1 + MROUND(IFERROR(MINIFS(OFFSET(L308, -1, 0, -$B309, 1), OFFSET(L308, -1, 0, -$B309, 1), "&gt;0"), L308) + (LN(1 + $Z309) ^ U$2) * U$3, 1))</f>
        <v>1430</v>
      </c>
      <c r="M309" s="24" t="str">
        <f t="shared" si="624"/>
        <v/>
      </c>
      <c r="N309" s="24" t="str">
        <f t="shared" si="624"/>
        <v/>
      </c>
      <c r="O309" s="24">
        <f t="shared" si="624"/>
        <v>74</v>
      </c>
      <c r="P309" s="24">
        <f t="shared" ref="P309:S309" si="625">L309*$Y$2</f>
        <v>357.5</v>
      </c>
      <c r="Q309" s="24">
        <f t="shared" si="625"/>
        <v>0</v>
      </c>
      <c r="R309" s="24">
        <f t="shared" si="625"/>
        <v>0</v>
      </c>
      <c r="S309" s="24">
        <f t="shared" si="625"/>
        <v>18.5</v>
      </c>
      <c r="T309" s="24">
        <f t="shared" si="4"/>
        <v>2</v>
      </c>
      <c r="Z309" s="25">
        <f t="shared" si="12"/>
        <v>0.2722792628</v>
      </c>
    </row>
    <row r="310">
      <c r="A310" s="16" t="s">
        <v>36</v>
      </c>
      <c r="B310" s="17">
        <v>9.0</v>
      </c>
      <c r="C310" s="24">
        <f t="shared" si="610"/>
        <v>443.2366331</v>
      </c>
      <c r="D310" s="25">
        <v>0.05</v>
      </c>
      <c r="E310" s="24">
        <f t="shared" si="611"/>
        <v>11.71659381</v>
      </c>
      <c r="F310" s="25">
        <v>0.02</v>
      </c>
      <c r="G310" s="24">
        <f t="shared" si="612"/>
        <v>66.48549497</v>
      </c>
      <c r="H310" s="25">
        <v>0.05</v>
      </c>
      <c r="I310" s="24">
        <f t="shared" si="613"/>
        <v>52.72467215</v>
      </c>
      <c r="J310" s="25">
        <v>0.02</v>
      </c>
      <c r="K310" s="25">
        <v>0.0</v>
      </c>
      <c r="L310" s="24">
        <f t="shared" ref="L310:O310" si="626">IF(L309="", "", 1 + MROUND(IFERROR(MINIFS(OFFSET(L309, -1, 0, -$B310, 1), OFFSET(L309, -1, 0, -$B310, 1), "&gt;0"), L309) + (LN(1 + $Z310) ^ U$2) * U$3, 1))</f>
        <v>1532</v>
      </c>
      <c r="M310" s="24" t="str">
        <f t="shared" si="626"/>
        <v/>
      </c>
      <c r="N310" s="24" t="str">
        <f t="shared" si="626"/>
        <v/>
      </c>
      <c r="O310" s="24">
        <f t="shared" si="626"/>
        <v>79</v>
      </c>
      <c r="P310" s="24">
        <f t="shared" ref="P310:S310" si="627">L310*$Y$2</f>
        <v>383</v>
      </c>
      <c r="Q310" s="24">
        <f t="shared" si="627"/>
        <v>0</v>
      </c>
      <c r="R310" s="24">
        <f t="shared" si="627"/>
        <v>0</v>
      </c>
      <c r="S310" s="24">
        <f t="shared" si="627"/>
        <v>19.75</v>
      </c>
      <c r="T310" s="24">
        <f t="shared" si="4"/>
        <v>2</v>
      </c>
      <c r="Z310" s="25">
        <f t="shared" si="12"/>
        <v>0.316809037</v>
      </c>
    </row>
    <row r="311">
      <c r="A311" s="16" t="s">
        <v>36</v>
      </c>
      <c r="B311" s="17">
        <v>10.0</v>
      </c>
      <c r="C311" s="24">
        <f t="shared" si="610"/>
        <v>465.3984648</v>
      </c>
      <c r="D311" s="25">
        <v>0.05</v>
      </c>
      <c r="E311" s="24">
        <f t="shared" si="611"/>
        <v>11.95092569</v>
      </c>
      <c r="F311" s="25">
        <v>0.02</v>
      </c>
      <c r="G311" s="24">
        <f t="shared" si="612"/>
        <v>69.80976972</v>
      </c>
      <c r="H311" s="25">
        <v>0.05</v>
      </c>
      <c r="I311" s="24">
        <f t="shared" si="613"/>
        <v>53.77916559</v>
      </c>
      <c r="J311" s="25">
        <v>0.02</v>
      </c>
      <c r="K311" s="25">
        <v>0.0</v>
      </c>
      <c r="L311" s="24">
        <f t="shared" ref="L311:O311" si="628">IF(L310="", "", 1 + MROUND(IFERROR(MINIFS(OFFSET(L310, -1, 0, -$B311, 1), OFFSET(L310, -1, 0, -$B311, 1), "&gt;0"), L310) + (LN(1 + $Z311) ^ U$2) * U$3, 1))</f>
        <v>1643</v>
      </c>
      <c r="M311" s="24" t="str">
        <f t="shared" si="628"/>
        <v/>
      </c>
      <c r="N311" s="24" t="str">
        <f t="shared" si="628"/>
        <v/>
      </c>
      <c r="O311" s="24">
        <f t="shared" si="628"/>
        <v>84</v>
      </c>
      <c r="P311" s="24">
        <f t="shared" ref="P311:S311" si="629">L311*$Y$2</f>
        <v>410.75</v>
      </c>
      <c r="Q311" s="24">
        <f t="shared" si="629"/>
        <v>0</v>
      </c>
      <c r="R311" s="24">
        <f t="shared" si="629"/>
        <v>0</v>
      </c>
      <c r="S311" s="24">
        <f t="shared" si="629"/>
        <v>21</v>
      </c>
      <c r="T311" s="24">
        <f t="shared" si="4"/>
        <v>2</v>
      </c>
      <c r="Z311" s="25">
        <f t="shared" si="12"/>
        <v>0.3628973533</v>
      </c>
    </row>
    <row r="312">
      <c r="A312" s="16" t="s">
        <v>36</v>
      </c>
      <c r="B312" s="17">
        <v>11.0</v>
      </c>
      <c r="C312" s="24">
        <f t="shared" si="610"/>
        <v>488.668388</v>
      </c>
      <c r="D312" s="25">
        <v>0.05</v>
      </c>
      <c r="E312" s="24">
        <f t="shared" si="611"/>
        <v>12.1899442</v>
      </c>
      <c r="F312" s="25">
        <v>0.02</v>
      </c>
      <c r="G312" s="24">
        <f t="shared" si="612"/>
        <v>73.3002582</v>
      </c>
      <c r="H312" s="25">
        <v>0.05</v>
      </c>
      <c r="I312" s="24">
        <f t="shared" si="613"/>
        <v>54.8547489</v>
      </c>
      <c r="J312" s="25">
        <v>0.02</v>
      </c>
      <c r="K312" s="25">
        <v>0.0</v>
      </c>
      <c r="L312" s="24">
        <f t="shared" ref="L312:O312" si="630">IF(L311="", "", 1 + MROUND(IFERROR(MINIFS(OFFSET(L311, -1, 0, -$B312, 1), OFFSET(L311, -1, 0, -$B312, 1), "&gt;0"), L311) + (LN(1 + $Z312) ^ U$2) * U$3, 1))</f>
        <v>1762</v>
      </c>
      <c r="M312" s="24" t="str">
        <f t="shared" si="630"/>
        <v/>
      </c>
      <c r="N312" s="24" t="str">
        <f t="shared" si="630"/>
        <v/>
      </c>
      <c r="O312" s="24">
        <f t="shared" si="630"/>
        <v>90</v>
      </c>
      <c r="P312" s="24">
        <f t="shared" ref="P312:S312" si="631">L312*$Y$2</f>
        <v>440.5</v>
      </c>
      <c r="Q312" s="24">
        <f t="shared" si="631"/>
        <v>0</v>
      </c>
      <c r="R312" s="24">
        <f t="shared" si="631"/>
        <v>0</v>
      </c>
      <c r="S312" s="24">
        <f t="shared" si="631"/>
        <v>22.5</v>
      </c>
      <c r="T312" s="24">
        <f t="shared" si="4"/>
        <v>2</v>
      </c>
      <c r="Z312" s="25">
        <f t="shared" si="12"/>
        <v>0.4105987606</v>
      </c>
    </row>
    <row r="313">
      <c r="A313" s="16" t="s">
        <v>36</v>
      </c>
      <c r="B313" s="17">
        <v>12.0</v>
      </c>
      <c r="C313" s="24">
        <f t="shared" si="610"/>
        <v>513.1018074</v>
      </c>
      <c r="D313" s="25">
        <v>0.05</v>
      </c>
      <c r="E313" s="24">
        <f t="shared" si="611"/>
        <v>12.43374308</v>
      </c>
      <c r="F313" s="25">
        <v>0.02</v>
      </c>
      <c r="G313" s="24">
        <f t="shared" si="612"/>
        <v>76.96527112</v>
      </c>
      <c r="H313" s="25">
        <v>0.05</v>
      </c>
      <c r="I313" s="24">
        <f t="shared" si="613"/>
        <v>55.95184388</v>
      </c>
      <c r="J313" s="25">
        <v>0.02</v>
      </c>
      <c r="K313" s="25">
        <v>0.0</v>
      </c>
      <c r="L313" s="24">
        <f t="shared" ref="L313:O313" si="632">IF(L312="", "", 1 + MROUND(IFERROR(MINIFS(OFFSET(L312, -1, 0, -$B313, 1), OFFSET(L312, -1, 0, -$B313, 1), "&gt;0"), L312) + (LN(1 + $Z313) ^ U$2) * U$3, 1))</f>
        <v>1890</v>
      </c>
      <c r="M313" s="24" t="str">
        <f t="shared" si="632"/>
        <v/>
      </c>
      <c r="N313" s="24" t="str">
        <f t="shared" si="632"/>
        <v/>
      </c>
      <c r="O313" s="24">
        <f t="shared" si="632"/>
        <v>96</v>
      </c>
      <c r="P313" s="24">
        <f t="shared" ref="P313:S313" si="633">L313*$Y$2</f>
        <v>472.5</v>
      </c>
      <c r="Q313" s="24">
        <f t="shared" si="633"/>
        <v>0</v>
      </c>
      <c r="R313" s="24">
        <f t="shared" si="633"/>
        <v>0</v>
      </c>
      <c r="S313" s="24">
        <f t="shared" si="633"/>
        <v>24</v>
      </c>
      <c r="T313" s="24">
        <f t="shared" si="4"/>
        <v>2</v>
      </c>
      <c r="Z313" s="25">
        <f t="shared" si="12"/>
        <v>0.4599697172</v>
      </c>
    </row>
    <row r="314">
      <c r="A314" s="16" t="s">
        <v>36</v>
      </c>
      <c r="B314" s="17">
        <v>13.0</v>
      </c>
      <c r="C314" s="24">
        <f t="shared" si="610"/>
        <v>538.7568978</v>
      </c>
      <c r="D314" s="25">
        <v>0.05</v>
      </c>
      <c r="E314" s="24">
        <f t="shared" si="611"/>
        <v>12.68241795</v>
      </c>
      <c r="F314" s="25">
        <v>0.02</v>
      </c>
      <c r="G314" s="24">
        <f t="shared" si="612"/>
        <v>80.81353467</v>
      </c>
      <c r="H314" s="25">
        <v>0.05</v>
      </c>
      <c r="I314" s="24">
        <f t="shared" si="613"/>
        <v>57.07088076</v>
      </c>
      <c r="J314" s="25">
        <v>0.02</v>
      </c>
      <c r="K314" s="25">
        <v>0.0</v>
      </c>
      <c r="L314" s="24">
        <f t="shared" ref="L314:O314" si="634">IF(L313="", "", 1 + MROUND(IFERROR(MINIFS(OFFSET(L313, -1, 0, -$B314, 1), OFFSET(L313, -1, 0, -$B314, 1), "&gt;0"), L313) + (LN(1 + $Z314) ^ U$2) * U$3, 1))</f>
        <v>2026</v>
      </c>
      <c r="M314" s="24" t="str">
        <f t="shared" si="634"/>
        <v/>
      </c>
      <c r="N314" s="24" t="str">
        <f t="shared" si="634"/>
        <v/>
      </c>
      <c r="O314" s="24">
        <f t="shared" si="634"/>
        <v>102</v>
      </c>
      <c r="P314" s="24">
        <f t="shared" ref="P314:S314" si="635">L314*$Y$2</f>
        <v>506.5</v>
      </c>
      <c r="Q314" s="24">
        <f t="shared" si="635"/>
        <v>0</v>
      </c>
      <c r="R314" s="24">
        <f t="shared" si="635"/>
        <v>0</v>
      </c>
      <c r="S314" s="24">
        <f t="shared" si="635"/>
        <v>25.5</v>
      </c>
      <c r="T314" s="24">
        <f t="shared" si="4"/>
        <v>2</v>
      </c>
      <c r="Z314" s="25">
        <f t="shared" si="12"/>
        <v>0.5110686573</v>
      </c>
    </row>
    <row r="315">
      <c r="A315" s="16" t="s">
        <v>36</v>
      </c>
      <c r="B315" s="17">
        <v>14.0</v>
      </c>
      <c r="C315" s="24">
        <f t="shared" si="610"/>
        <v>565.6947427</v>
      </c>
      <c r="D315" s="25">
        <v>0.05</v>
      </c>
      <c r="E315" s="24">
        <f t="shared" si="611"/>
        <v>12.9360663</v>
      </c>
      <c r="F315" s="25">
        <v>0.02</v>
      </c>
      <c r="G315" s="24">
        <f t="shared" si="612"/>
        <v>84.8542114</v>
      </c>
      <c r="H315" s="25">
        <v>0.05</v>
      </c>
      <c r="I315" s="24">
        <f t="shared" si="613"/>
        <v>58.21229837</v>
      </c>
      <c r="J315" s="25">
        <v>0.02</v>
      </c>
      <c r="K315" s="25">
        <v>0.0</v>
      </c>
      <c r="L315" s="24">
        <f t="shared" ref="L315:O315" si="636">IF(L314="", "", 1 + MROUND(IFERROR(MINIFS(OFFSET(L314, -1, 0, -$B315, 1), OFFSET(L314, -1, 0, -$B315, 1), "&gt;0"), L314) + (LN(1 + $Z315) ^ U$2) * U$3, 1))</f>
        <v>2169</v>
      </c>
      <c r="M315" s="24" t="str">
        <f t="shared" si="636"/>
        <v/>
      </c>
      <c r="N315" s="24" t="str">
        <f t="shared" si="636"/>
        <v/>
      </c>
      <c r="O315" s="24">
        <f t="shared" si="636"/>
        <v>109</v>
      </c>
      <c r="P315" s="24">
        <f t="shared" ref="P315:S315" si="637">L315*$Y$2</f>
        <v>542.25</v>
      </c>
      <c r="Q315" s="24">
        <f t="shared" si="637"/>
        <v>0</v>
      </c>
      <c r="R315" s="24">
        <f t="shared" si="637"/>
        <v>0</v>
      </c>
      <c r="S315" s="24">
        <f t="shared" si="637"/>
        <v>27.25</v>
      </c>
      <c r="T315" s="24">
        <f t="shared" si="4"/>
        <v>2</v>
      </c>
      <c r="Z315" s="25">
        <f t="shared" si="12"/>
        <v>0.5639560604</v>
      </c>
    </row>
    <row r="316">
      <c r="A316" s="16" t="s">
        <v>36</v>
      </c>
      <c r="B316" s="17">
        <v>15.0</v>
      </c>
      <c r="C316" s="24">
        <f t="shared" si="610"/>
        <v>593.9794798</v>
      </c>
      <c r="D316" s="25">
        <v>0.05</v>
      </c>
      <c r="E316" s="24">
        <f t="shared" si="611"/>
        <v>13.19478763</v>
      </c>
      <c r="F316" s="25">
        <v>0.02</v>
      </c>
      <c r="G316" s="24">
        <f t="shared" si="612"/>
        <v>89.09692197</v>
      </c>
      <c r="H316" s="25">
        <v>0.05</v>
      </c>
      <c r="I316" s="24">
        <f t="shared" si="613"/>
        <v>59.37654434</v>
      </c>
      <c r="J316" s="25">
        <v>0.02</v>
      </c>
      <c r="K316" s="25">
        <v>0.0</v>
      </c>
      <c r="L316" s="24">
        <f t="shared" ref="L316:O316" si="638">IF(L315="", "", 1 + MROUND(IFERROR(MINIFS(OFFSET(L315, -1, 0, -$B316, 1), OFFSET(L315, -1, 0, -$B316, 1), "&gt;0"), L315) + (LN(1 + $Z316) ^ U$2) * U$3, 1))</f>
        <v>2320</v>
      </c>
      <c r="M316" s="24" t="str">
        <f t="shared" si="638"/>
        <v/>
      </c>
      <c r="N316" s="24" t="str">
        <f t="shared" si="638"/>
        <v/>
      </c>
      <c r="O316" s="24">
        <f t="shared" si="638"/>
        <v>116</v>
      </c>
      <c r="P316" s="24">
        <f t="shared" ref="P316:S316" si="639">L316*$Y$2</f>
        <v>580</v>
      </c>
      <c r="Q316" s="24">
        <f t="shared" si="639"/>
        <v>0</v>
      </c>
      <c r="R316" s="24">
        <f t="shared" si="639"/>
        <v>0</v>
      </c>
      <c r="S316" s="24">
        <f t="shared" si="639"/>
        <v>29</v>
      </c>
      <c r="T316" s="24">
        <f t="shared" si="4"/>
        <v>3</v>
      </c>
      <c r="Z316" s="25">
        <f t="shared" si="12"/>
        <v>0.6186945225</v>
      </c>
    </row>
    <row r="317">
      <c r="A317" s="16" t="s">
        <v>36</v>
      </c>
      <c r="B317" s="17">
        <v>16.0</v>
      </c>
      <c r="C317" s="24">
        <f t="shared" si="610"/>
        <v>623.6784538</v>
      </c>
      <c r="D317" s="25">
        <v>0.05</v>
      </c>
      <c r="E317" s="24">
        <f t="shared" si="611"/>
        <v>13.45868338</v>
      </c>
      <c r="F317" s="25">
        <v>0.02</v>
      </c>
      <c r="G317" s="24">
        <f t="shared" si="612"/>
        <v>93.55176807</v>
      </c>
      <c r="H317" s="25">
        <v>0.05</v>
      </c>
      <c r="I317" s="24">
        <f t="shared" si="613"/>
        <v>60.56407522</v>
      </c>
      <c r="J317" s="25">
        <v>0.02</v>
      </c>
      <c r="K317" s="25">
        <v>0.0</v>
      </c>
      <c r="L317" s="24">
        <f t="shared" ref="L317:O317" si="640">IF(L316="", "", 1 + MROUND(IFERROR(MINIFS(OFFSET(L316, -1, 0, -$B317, 1), OFFSET(L316, -1, 0, -$B317, 1), "&gt;0"), L316) + (LN(1 + $Z317) ^ U$2) * U$3, 1))</f>
        <v>2478</v>
      </c>
      <c r="M317" s="24" t="str">
        <f t="shared" si="640"/>
        <v/>
      </c>
      <c r="N317" s="24" t="str">
        <f t="shared" si="640"/>
        <v/>
      </c>
      <c r="O317" s="24">
        <f t="shared" si="640"/>
        <v>123</v>
      </c>
      <c r="P317" s="24">
        <f t="shared" ref="P317:S317" si="641">L317*$Y$2</f>
        <v>619.5</v>
      </c>
      <c r="Q317" s="24">
        <f t="shared" si="641"/>
        <v>0</v>
      </c>
      <c r="R317" s="24">
        <f t="shared" si="641"/>
        <v>0</v>
      </c>
      <c r="S317" s="24">
        <f t="shared" si="641"/>
        <v>30.75</v>
      </c>
      <c r="T317" s="24">
        <f t="shared" si="4"/>
        <v>3</v>
      </c>
      <c r="Z317" s="25">
        <f t="shared" si="12"/>
        <v>0.6753488308</v>
      </c>
    </row>
    <row r="318">
      <c r="A318" s="16" t="s">
        <v>36</v>
      </c>
      <c r="B318" s="17">
        <v>17.0</v>
      </c>
      <c r="C318" s="24">
        <f t="shared" si="610"/>
        <v>654.8623765</v>
      </c>
      <c r="D318" s="25">
        <v>0.05</v>
      </c>
      <c r="E318" s="24">
        <f t="shared" si="611"/>
        <v>13.72785705</v>
      </c>
      <c r="F318" s="25">
        <v>0.02</v>
      </c>
      <c r="G318" s="24">
        <f t="shared" si="612"/>
        <v>98.22935648</v>
      </c>
      <c r="H318" s="25">
        <v>0.05</v>
      </c>
      <c r="I318" s="24">
        <f t="shared" si="613"/>
        <v>61.77535673</v>
      </c>
      <c r="J318" s="25">
        <v>0.02</v>
      </c>
      <c r="K318" s="25">
        <v>0.0</v>
      </c>
      <c r="L318" s="24">
        <f t="shared" ref="L318:O318" si="642">IF(L317="", "", 1 + MROUND(IFERROR(MINIFS(OFFSET(L317, -1, 0, -$B318, 1), OFFSET(L317, -1, 0, -$B318, 1), "&gt;0"), L317) + (LN(1 + $Z318) ^ U$2) * U$3, 1))</f>
        <v>2644</v>
      </c>
      <c r="M318" s="24" t="str">
        <f t="shared" si="642"/>
        <v/>
      </c>
      <c r="N318" s="24" t="str">
        <f t="shared" si="642"/>
        <v/>
      </c>
      <c r="O318" s="24">
        <f t="shared" si="642"/>
        <v>131</v>
      </c>
      <c r="P318" s="24">
        <f t="shared" ref="P318:S318" si="643">L318*$Y$2</f>
        <v>661</v>
      </c>
      <c r="Q318" s="24">
        <f t="shared" si="643"/>
        <v>0</v>
      </c>
      <c r="R318" s="24">
        <f t="shared" si="643"/>
        <v>0</v>
      </c>
      <c r="S318" s="24">
        <f t="shared" si="643"/>
        <v>32.75</v>
      </c>
      <c r="T318" s="24">
        <f t="shared" si="4"/>
        <v>3</v>
      </c>
      <c r="Z318" s="25">
        <f t="shared" si="12"/>
        <v>0.7339860398</v>
      </c>
    </row>
    <row r="319">
      <c r="A319" s="16" t="s">
        <v>36</v>
      </c>
      <c r="B319" s="17">
        <v>18.0</v>
      </c>
      <c r="C319" s="24">
        <f t="shared" si="610"/>
        <v>687.6054953</v>
      </c>
      <c r="D319" s="25">
        <v>0.05</v>
      </c>
      <c r="E319" s="24">
        <f t="shared" si="611"/>
        <v>14.00241419</v>
      </c>
      <c r="F319" s="25">
        <v>0.02</v>
      </c>
      <c r="G319" s="24">
        <f t="shared" si="612"/>
        <v>103.1408243</v>
      </c>
      <c r="H319" s="25">
        <v>0.05</v>
      </c>
      <c r="I319" s="24">
        <f t="shared" si="613"/>
        <v>63.01086386</v>
      </c>
      <c r="J319" s="25">
        <v>0.02</v>
      </c>
      <c r="K319" s="25">
        <v>0.0</v>
      </c>
      <c r="L319" s="24">
        <f t="shared" ref="L319:O319" si="644">IF(L318="", "", 1 + MROUND(IFERROR(MINIFS(OFFSET(L318, -1, 0, -$B319, 1), OFFSET(L318, -1, 0, -$B319, 1), "&gt;0"), L318) + (LN(1 + $Z319) ^ U$2) * U$3, 1))</f>
        <v>2817</v>
      </c>
      <c r="M319" s="24" t="str">
        <f t="shared" si="644"/>
        <v/>
      </c>
      <c r="N319" s="24" t="str">
        <f t="shared" si="644"/>
        <v/>
      </c>
      <c r="O319" s="24">
        <f t="shared" si="644"/>
        <v>139</v>
      </c>
      <c r="P319" s="24">
        <f t="shared" ref="P319:S319" si="645">L319*$Y$2</f>
        <v>704.25</v>
      </c>
      <c r="Q319" s="24">
        <f t="shared" si="645"/>
        <v>0</v>
      </c>
      <c r="R319" s="24">
        <f t="shared" si="645"/>
        <v>0</v>
      </c>
      <c r="S319" s="24">
        <f t="shared" si="645"/>
        <v>34.75</v>
      </c>
      <c r="T319" s="24">
        <f t="shared" si="4"/>
        <v>3</v>
      </c>
      <c r="Z319" s="25">
        <f t="shared" si="12"/>
        <v>0.7946755512</v>
      </c>
    </row>
    <row r="320">
      <c r="A320" s="16" t="s">
        <v>36</v>
      </c>
      <c r="B320" s="17">
        <v>19.0</v>
      </c>
      <c r="C320" s="24">
        <f t="shared" si="610"/>
        <v>721.9857701</v>
      </c>
      <c r="D320" s="25">
        <v>0.05</v>
      </c>
      <c r="E320" s="24">
        <f t="shared" si="611"/>
        <v>14.28246248</v>
      </c>
      <c r="F320" s="25">
        <v>0.02</v>
      </c>
      <c r="G320" s="24">
        <f t="shared" si="612"/>
        <v>108.2978655</v>
      </c>
      <c r="H320" s="25">
        <v>0.05</v>
      </c>
      <c r="I320" s="24">
        <f t="shared" si="613"/>
        <v>64.27108114</v>
      </c>
      <c r="J320" s="25">
        <v>0.02</v>
      </c>
      <c r="K320" s="25">
        <v>0.0</v>
      </c>
      <c r="L320" s="24">
        <f t="shared" ref="L320:O320" si="646">IF(L319="", "", 1 + MROUND(IFERROR(MINIFS(OFFSET(L319, -1, 0, -$B320, 1), OFFSET(L319, -1, 0, -$B320, 1), "&gt;0"), L319) + (LN(1 + $Z320) ^ U$2) * U$3, 1))</f>
        <v>2997</v>
      </c>
      <c r="M320" s="24" t="str">
        <f t="shared" si="646"/>
        <v/>
      </c>
      <c r="N320" s="24" t="str">
        <f t="shared" si="646"/>
        <v/>
      </c>
      <c r="O320" s="24">
        <f t="shared" si="646"/>
        <v>147</v>
      </c>
      <c r="P320" s="24">
        <f t="shared" ref="P320:S320" si="647">L320*$Y$2</f>
        <v>749.25</v>
      </c>
      <c r="Q320" s="24">
        <f t="shared" si="647"/>
        <v>0</v>
      </c>
      <c r="R320" s="24">
        <f t="shared" si="647"/>
        <v>0</v>
      </c>
      <c r="S320" s="24">
        <f t="shared" si="647"/>
        <v>36.75</v>
      </c>
      <c r="T320" s="24">
        <f t="shared" si="4"/>
        <v>3</v>
      </c>
      <c r="Z320" s="25">
        <f t="shared" si="12"/>
        <v>0.8574891955</v>
      </c>
    </row>
    <row r="321">
      <c r="A321" s="16" t="s">
        <v>36</v>
      </c>
      <c r="B321" s="17">
        <v>20.0</v>
      </c>
      <c r="C321" s="24">
        <f t="shared" si="610"/>
        <v>758.0850586</v>
      </c>
      <c r="D321" s="25">
        <v>0.05</v>
      </c>
      <c r="E321" s="24">
        <f t="shared" si="611"/>
        <v>14.56811173</v>
      </c>
      <c r="F321" s="25">
        <v>0.02</v>
      </c>
      <c r="G321" s="24">
        <f t="shared" si="612"/>
        <v>113.7127588</v>
      </c>
      <c r="H321" s="25">
        <v>0.05</v>
      </c>
      <c r="I321" s="24">
        <f t="shared" si="613"/>
        <v>65.55650276</v>
      </c>
      <c r="J321" s="25">
        <v>0.02</v>
      </c>
      <c r="K321" s="25">
        <v>0.0</v>
      </c>
      <c r="L321" s="24">
        <f t="shared" ref="L321:O321" si="648">IF(L320="", "", 1 + MROUND(IFERROR(MINIFS(OFFSET(L320, -1, 0, -$B321, 1), OFFSET(L320, -1, 0, -$B321, 1), "&gt;0"), L320) + (LN(1 + $Z321) ^ U$2) * U$3, 1))</f>
        <v>3184</v>
      </c>
      <c r="M321" s="24" t="str">
        <f t="shared" si="648"/>
        <v/>
      </c>
      <c r="N321" s="24" t="str">
        <f t="shared" si="648"/>
        <v/>
      </c>
      <c r="O321" s="24">
        <f t="shared" si="648"/>
        <v>155</v>
      </c>
      <c r="P321" s="24">
        <f t="shared" ref="P321:S321" si="649">L321*$Y$2</f>
        <v>796</v>
      </c>
      <c r="Q321" s="24">
        <f t="shared" si="649"/>
        <v>0</v>
      </c>
      <c r="R321" s="24">
        <f t="shared" si="649"/>
        <v>0</v>
      </c>
      <c r="S321" s="24">
        <f t="shared" si="649"/>
        <v>38.75</v>
      </c>
      <c r="T321" s="24">
        <f t="shared" si="4"/>
        <v>3</v>
      </c>
      <c r="Z321" s="25">
        <f t="shared" si="12"/>
        <v>0.9225013174</v>
      </c>
    </row>
    <row r="322">
      <c r="A322" s="16" t="s">
        <v>36</v>
      </c>
      <c r="B322" s="17">
        <v>21.0</v>
      </c>
      <c r="C322" s="24">
        <f t="shared" si="610"/>
        <v>795.9893115</v>
      </c>
      <c r="D322" s="25">
        <v>0.05</v>
      </c>
      <c r="E322" s="24">
        <f t="shared" si="611"/>
        <v>14.85947396</v>
      </c>
      <c r="F322" s="25">
        <v>0.02</v>
      </c>
      <c r="G322" s="24">
        <f t="shared" si="612"/>
        <v>119.3983967</v>
      </c>
      <c r="H322" s="25">
        <v>0.05</v>
      </c>
      <c r="I322" s="24">
        <f t="shared" si="613"/>
        <v>66.86763282</v>
      </c>
      <c r="J322" s="25">
        <v>0.02</v>
      </c>
      <c r="K322" s="25">
        <v>0.0</v>
      </c>
      <c r="L322" s="24">
        <f t="shared" ref="L322:O322" si="650">IF(L321="", "", 1 + MROUND(IFERROR(MINIFS(OFFSET(L321, -1, 0, -$B322, 1), OFFSET(L321, -1, 0, -$B322, 1), "&gt;0"), L321) + (LN(1 + $Z322) ^ U$2) * U$3, 1))</f>
        <v>3377</v>
      </c>
      <c r="M322" s="24" t="str">
        <f t="shared" si="650"/>
        <v/>
      </c>
      <c r="N322" s="24" t="str">
        <f t="shared" si="650"/>
        <v/>
      </c>
      <c r="O322" s="24">
        <f t="shared" si="650"/>
        <v>164</v>
      </c>
      <c r="P322" s="24">
        <f t="shared" ref="P322:S322" si="651">L322*$Y$2</f>
        <v>844.25</v>
      </c>
      <c r="Q322" s="24">
        <f t="shared" si="651"/>
        <v>0</v>
      </c>
      <c r="R322" s="24">
        <f t="shared" si="651"/>
        <v>0</v>
      </c>
      <c r="S322" s="24">
        <f t="shared" si="651"/>
        <v>41</v>
      </c>
      <c r="T322" s="24">
        <f t="shared" si="4"/>
        <v>3</v>
      </c>
      <c r="Z322" s="25">
        <f t="shared" si="12"/>
        <v>0.9897888635</v>
      </c>
    </row>
    <row r="323">
      <c r="A323" s="16" t="s">
        <v>36</v>
      </c>
      <c r="B323" s="17">
        <v>22.0</v>
      </c>
      <c r="C323" s="24">
        <f t="shared" si="610"/>
        <v>835.7887771</v>
      </c>
      <c r="D323" s="25">
        <v>0.05</v>
      </c>
      <c r="E323" s="24">
        <f t="shared" si="611"/>
        <v>15.15666344</v>
      </c>
      <c r="F323" s="25">
        <v>0.02</v>
      </c>
      <c r="G323" s="24">
        <f t="shared" si="612"/>
        <v>125.3683166</v>
      </c>
      <c r="H323" s="25">
        <v>0.05</v>
      </c>
      <c r="I323" s="24">
        <f t="shared" si="613"/>
        <v>68.20498548</v>
      </c>
      <c r="J323" s="25">
        <v>0.02</v>
      </c>
      <c r="K323" s="25">
        <v>0.0</v>
      </c>
      <c r="L323" s="24">
        <f t="shared" ref="L323:O323" si="652">IF(L322="", "", 1 + MROUND(IFERROR(MINIFS(OFFSET(L322, -1, 0, -$B323, 1), OFFSET(L322, -1, 0, -$B323, 1), "&gt;0"), L322) + (LN(1 + $Z323) ^ U$2) * U$3, 1))</f>
        <v>3577</v>
      </c>
      <c r="M323" s="24" t="str">
        <f t="shared" si="652"/>
        <v/>
      </c>
      <c r="N323" s="24" t="str">
        <f t="shared" si="652"/>
        <v/>
      </c>
      <c r="O323" s="24">
        <f t="shared" si="652"/>
        <v>173</v>
      </c>
      <c r="P323" s="24">
        <f t="shared" ref="P323:S323" si="653">L323*$Y$2</f>
        <v>894.25</v>
      </c>
      <c r="Q323" s="24">
        <f t="shared" si="653"/>
        <v>0</v>
      </c>
      <c r="R323" s="24">
        <f t="shared" si="653"/>
        <v>0</v>
      </c>
      <c r="S323" s="24">
        <f t="shared" si="653"/>
        <v>43.25</v>
      </c>
      <c r="T323" s="24">
        <f t="shared" si="4"/>
        <v>3</v>
      </c>
      <c r="Z323" s="25">
        <f t="shared" si="12"/>
        <v>1.059431474</v>
      </c>
    </row>
    <row r="324">
      <c r="A324" s="16" t="s">
        <v>36</v>
      </c>
      <c r="B324" s="17">
        <v>23.0</v>
      </c>
      <c r="C324" s="24">
        <f t="shared" si="610"/>
        <v>877.578216</v>
      </c>
      <c r="D324" s="25">
        <v>0.05</v>
      </c>
      <c r="E324" s="24">
        <f t="shared" si="611"/>
        <v>15.45979671</v>
      </c>
      <c r="F324" s="25">
        <v>0.02</v>
      </c>
      <c r="G324" s="24">
        <f t="shared" si="612"/>
        <v>131.6367324</v>
      </c>
      <c r="H324" s="25">
        <v>0.05</v>
      </c>
      <c r="I324" s="24">
        <f t="shared" si="613"/>
        <v>69.56908518</v>
      </c>
      <c r="J324" s="25">
        <v>0.02</v>
      </c>
      <c r="K324" s="25">
        <v>0.0</v>
      </c>
      <c r="L324" s="24">
        <f t="shared" ref="L324:O324" si="654">IF(L323="", "", 1 + MROUND(IFERROR(MINIFS(OFFSET(L323, -1, 0, -$B324, 1), OFFSET(L323, -1, 0, -$B324, 1), "&gt;0"), L323) + (LN(1 + $Z324) ^ U$2) * U$3, 1))</f>
        <v>3784</v>
      </c>
      <c r="M324" s="24" t="str">
        <f t="shared" si="654"/>
        <v/>
      </c>
      <c r="N324" s="24" t="str">
        <f t="shared" si="654"/>
        <v/>
      </c>
      <c r="O324" s="24">
        <f t="shared" si="654"/>
        <v>182</v>
      </c>
      <c r="P324" s="24">
        <f t="shared" ref="P324:S324" si="655">L324*$Y$2</f>
        <v>946</v>
      </c>
      <c r="Q324" s="24">
        <f t="shared" si="655"/>
        <v>0</v>
      </c>
      <c r="R324" s="24">
        <f t="shared" si="655"/>
        <v>0</v>
      </c>
      <c r="S324" s="24">
        <f t="shared" si="655"/>
        <v>45.5</v>
      </c>
      <c r="T324" s="24">
        <f t="shared" si="4"/>
        <v>3</v>
      </c>
      <c r="Z324" s="25">
        <f t="shared" si="12"/>
        <v>1.131511575</v>
      </c>
    </row>
    <row r="325">
      <c r="A325" s="16" t="s">
        <v>36</v>
      </c>
      <c r="B325" s="17">
        <v>24.0</v>
      </c>
      <c r="C325" s="24">
        <f t="shared" si="610"/>
        <v>921.4571268</v>
      </c>
      <c r="D325" s="25">
        <v>0.05</v>
      </c>
      <c r="E325" s="24">
        <f t="shared" si="611"/>
        <v>15.76899264</v>
      </c>
      <c r="F325" s="25">
        <v>0.02</v>
      </c>
      <c r="G325" s="24">
        <f t="shared" si="612"/>
        <v>138.218569</v>
      </c>
      <c r="H325" s="25">
        <v>0.05</v>
      </c>
      <c r="I325" s="24">
        <f t="shared" si="613"/>
        <v>70.96046689</v>
      </c>
      <c r="J325" s="25">
        <v>0.02</v>
      </c>
      <c r="K325" s="25">
        <v>0.0</v>
      </c>
      <c r="L325" s="24">
        <f t="shared" ref="L325:O325" si="656">IF(L324="", "", 1 + MROUND(IFERROR(MINIFS(OFFSET(L324, -1, 0, -$B325, 1), OFFSET(L324, -1, 0, -$B325, 1), "&gt;0"), L324) + (LN(1 + $Z325) ^ U$2) * U$3, 1))</f>
        <v>3997</v>
      </c>
      <c r="M325" s="24" t="str">
        <f t="shared" si="656"/>
        <v/>
      </c>
      <c r="N325" s="24" t="str">
        <f t="shared" si="656"/>
        <v/>
      </c>
      <c r="O325" s="24">
        <f t="shared" si="656"/>
        <v>191</v>
      </c>
      <c r="P325" s="24">
        <f t="shared" ref="P325:S325" si="657">L325*$Y$2</f>
        <v>999.25</v>
      </c>
      <c r="Q325" s="24">
        <f t="shared" si="657"/>
        <v>0</v>
      </c>
      <c r="R325" s="24">
        <f t="shared" si="657"/>
        <v>0</v>
      </c>
      <c r="S325" s="24">
        <f t="shared" si="657"/>
        <v>47.75</v>
      </c>
      <c r="T325" s="24">
        <f t="shared" si="4"/>
        <v>3</v>
      </c>
      <c r="Z325" s="25">
        <f t="shared" si="12"/>
        <v>1.20611448</v>
      </c>
    </row>
    <row r="326">
      <c r="A326" s="16" t="s">
        <v>36</v>
      </c>
      <c r="B326" s="17">
        <v>25.0</v>
      </c>
      <c r="C326" s="24">
        <f t="shared" si="610"/>
        <v>967.5299831</v>
      </c>
      <c r="D326" s="25">
        <v>0.05</v>
      </c>
      <c r="E326" s="24">
        <f t="shared" si="611"/>
        <v>16.08437249</v>
      </c>
      <c r="F326" s="25">
        <v>0.02</v>
      </c>
      <c r="G326" s="24">
        <f t="shared" si="612"/>
        <v>145.1294975</v>
      </c>
      <c r="H326" s="25">
        <v>0.05</v>
      </c>
      <c r="I326" s="24">
        <f t="shared" si="613"/>
        <v>72.37967623</v>
      </c>
      <c r="J326" s="25">
        <v>0.02</v>
      </c>
      <c r="K326" s="25">
        <v>0.0</v>
      </c>
      <c r="L326" s="24">
        <f t="shared" ref="L326:O326" si="658">IF(L325="", "", 1 + MROUND(IFERROR(MINIFS(OFFSET(L325, -1, 0, -$B326, 1), OFFSET(L325, -1, 0, -$B326, 1), "&gt;0"), L325) + (LN(1 + $Z326) ^ U$2) * U$3, 1))</f>
        <v>4217</v>
      </c>
      <c r="M326" s="24" t="str">
        <f t="shared" si="658"/>
        <v/>
      </c>
      <c r="N326" s="24" t="str">
        <f t="shared" si="658"/>
        <v/>
      </c>
      <c r="O326" s="24">
        <f t="shared" si="658"/>
        <v>201</v>
      </c>
      <c r="P326" s="24">
        <f t="shared" ref="P326:S326" si="659">L326*$Y$2</f>
        <v>1054.25</v>
      </c>
      <c r="Q326" s="24">
        <f t="shared" si="659"/>
        <v>0</v>
      </c>
      <c r="R326" s="24">
        <f t="shared" si="659"/>
        <v>0</v>
      </c>
      <c r="S326" s="24">
        <f t="shared" si="659"/>
        <v>50.25</v>
      </c>
      <c r="T326" s="24">
        <f t="shared" si="4"/>
        <v>4</v>
      </c>
      <c r="Z326" s="25">
        <f t="shared" si="12"/>
        <v>1.283328487</v>
      </c>
    </row>
    <row r="327">
      <c r="A327" s="16" t="s">
        <v>36</v>
      </c>
      <c r="B327" s="17">
        <v>26.0</v>
      </c>
      <c r="C327" s="24">
        <f t="shared" si="610"/>
        <v>1015.906482</v>
      </c>
      <c r="D327" s="25">
        <v>0.05</v>
      </c>
      <c r="E327" s="24">
        <f t="shared" si="611"/>
        <v>16.40605994</v>
      </c>
      <c r="F327" s="25">
        <v>0.02</v>
      </c>
      <c r="G327" s="24">
        <f t="shared" si="612"/>
        <v>152.3859723</v>
      </c>
      <c r="H327" s="25">
        <v>0.05</v>
      </c>
      <c r="I327" s="24">
        <f t="shared" si="613"/>
        <v>73.82726975</v>
      </c>
      <c r="J327" s="25">
        <v>0.02</v>
      </c>
      <c r="K327" s="25">
        <v>0.0</v>
      </c>
      <c r="L327" s="24">
        <f t="shared" ref="L327:O327" si="660">IF(L326="", "", 1 + MROUND(IFERROR(MINIFS(OFFSET(L326, -1, 0, -$B327, 1), OFFSET(L326, -1, 0, -$B327, 1), "&gt;0"), L326) + (LN(1 + $Z327) ^ U$2) * U$3, 1))</f>
        <v>4443</v>
      </c>
      <c r="M327" s="24" t="str">
        <f t="shared" si="660"/>
        <v/>
      </c>
      <c r="N327" s="24" t="str">
        <f t="shared" si="660"/>
        <v/>
      </c>
      <c r="O327" s="24">
        <f t="shared" si="660"/>
        <v>211</v>
      </c>
      <c r="P327" s="24">
        <f t="shared" ref="P327:S327" si="661">L327*$Y$2</f>
        <v>1110.75</v>
      </c>
      <c r="Q327" s="24">
        <f t="shared" si="661"/>
        <v>0</v>
      </c>
      <c r="R327" s="24">
        <f t="shared" si="661"/>
        <v>0</v>
      </c>
      <c r="S327" s="24">
        <f t="shared" si="661"/>
        <v>52.75</v>
      </c>
      <c r="T327" s="24">
        <f t="shared" si="4"/>
        <v>4</v>
      </c>
      <c r="Z327" s="25">
        <f t="shared" si="12"/>
        <v>1.363244984</v>
      </c>
    </row>
    <row r="328">
      <c r="A328" s="16" t="s">
        <v>36</v>
      </c>
      <c r="B328" s="17">
        <v>27.0</v>
      </c>
      <c r="C328" s="24">
        <f t="shared" si="610"/>
        <v>1066.701806</v>
      </c>
      <c r="D328" s="25">
        <v>0.05</v>
      </c>
      <c r="E328" s="24">
        <f t="shared" si="611"/>
        <v>16.73418114</v>
      </c>
      <c r="F328" s="25">
        <v>0.02</v>
      </c>
      <c r="G328" s="24">
        <f t="shared" si="612"/>
        <v>160.005271</v>
      </c>
      <c r="H328" s="25">
        <v>0.05</v>
      </c>
      <c r="I328" s="24">
        <f t="shared" si="613"/>
        <v>75.30381515</v>
      </c>
      <c r="J328" s="25">
        <v>0.02</v>
      </c>
      <c r="K328" s="25">
        <v>0.0</v>
      </c>
      <c r="L328" s="24">
        <f t="shared" ref="L328:O328" si="662">IF(L327="", "", 1 + MROUND(IFERROR(MINIFS(OFFSET(L327, -1, 0, -$B328, 1), OFFSET(L327, -1, 0, -$B328, 1), "&gt;0"), L327) + (LN(1 + $Z328) ^ U$2) * U$3, 1))</f>
        <v>4675</v>
      </c>
      <c r="M328" s="24" t="str">
        <f t="shared" si="662"/>
        <v/>
      </c>
      <c r="N328" s="24" t="str">
        <f t="shared" si="662"/>
        <v/>
      </c>
      <c r="O328" s="24">
        <f t="shared" si="662"/>
        <v>221</v>
      </c>
      <c r="P328" s="24">
        <f t="shared" ref="P328:S328" si="663">L328*$Y$2</f>
        <v>1168.75</v>
      </c>
      <c r="Q328" s="24">
        <f t="shared" si="663"/>
        <v>0</v>
      </c>
      <c r="R328" s="24">
        <f t="shared" si="663"/>
        <v>0</v>
      </c>
      <c r="S328" s="24">
        <f t="shared" si="663"/>
        <v>55.25</v>
      </c>
      <c r="T328" s="24">
        <f t="shared" si="4"/>
        <v>4</v>
      </c>
      <c r="Z328" s="25">
        <f t="shared" si="12"/>
        <v>1.445958559</v>
      </c>
    </row>
    <row r="329">
      <c r="A329" s="16" t="s">
        <v>36</v>
      </c>
      <c r="B329" s="17">
        <v>28.0</v>
      </c>
      <c r="C329" s="24">
        <f t="shared" si="610"/>
        <v>1120.036897</v>
      </c>
      <c r="D329" s="25">
        <v>0.05</v>
      </c>
      <c r="E329" s="24">
        <f t="shared" si="611"/>
        <v>17.06886477</v>
      </c>
      <c r="F329" s="25">
        <v>0.02</v>
      </c>
      <c r="G329" s="24">
        <f t="shared" si="612"/>
        <v>168.0055345</v>
      </c>
      <c r="H329" s="25">
        <v>0.05</v>
      </c>
      <c r="I329" s="24">
        <f t="shared" si="613"/>
        <v>76.80989145</v>
      </c>
      <c r="J329" s="25">
        <v>0.02</v>
      </c>
      <c r="K329" s="25">
        <v>0.0</v>
      </c>
      <c r="L329" s="24">
        <f t="shared" ref="L329:O329" si="664">IF(L328="", "", 1 + MROUND(IFERROR(MINIFS(OFFSET(L328, -1, 0, -$B329, 1), OFFSET(L328, -1, 0, -$B329, 1), "&gt;0"), L328) + (LN(1 + $Z329) ^ U$2) * U$3, 1))</f>
        <v>4913</v>
      </c>
      <c r="M329" s="24" t="str">
        <f t="shared" si="664"/>
        <v/>
      </c>
      <c r="N329" s="24" t="str">
        <f t="shared" si="664"/>
        <v/>
      </c>
      <c r="O329" s="24">
        <f t="shared" si="664"/>
        <v>231</v>
      </c>
      <c r="P329" s="24">
        <f t="shared" ref="P329:S329" si="665">L329*$Y$2</f>
        <v>1228.25</v>
      </c>
      <c r="Q329" s="24">
        <f t="shared" si="665"/>
        <v>0</v>
      </c>
      <c r="R329" s="24">
        <f t="shared" si="665"/>
        <v>0</v>
      </c>
      <c r="S329" s="24">
        <f t="shared" si="665"/>
        <v>57.75</v>
      </c>
      <c r="T329" s="24">
        <f t="shared" si="4"/>
        <v>4</v>
      </c>
      <c r="Z329" s="25">
        <f t="shared" si="12"/>
        <v>1.531567108</v>
      </c>
    </row>
    <row r="330">
      <c r="A330" s="16" t="s">
        <v>36</v>
      </c>
      <c r="B330" s="17">
        <v>29.0</v>
      </c>
      <c r="C330" s="24">
        <f t="shared" si="610"/>
        <v>1176.038742</v>
      </c>
      <c r="D330" s="25">
        <v>0.05</v>
      </c>
      <c r="E330" s="24">
        <f t="shared" si="611"/>
        <v>17.41024206</v>
      </c>
      <c r="F330" s="25">
        <v>0.02</v>
      </c>
      <c r="G330" s="24">
        <f t="shared" si="612"/>
        <v>176.4058112</v>
      </c>
      <c r="H330" s="25">
        <v>0.05</v>
      </c>
      <c r="I330" s="24">
        <f t="shared" si="613"/>
        <v>78.34608928</v>
      </c>
      <c r="J330" s="25">
        <v>0.02</v>
      </c>
      <c r="K330" s="25">
        <v>0.0</v>
      </c>
      <c r="L330" s="24">
        <f t="shared" ref="L330:O330" si="666">IF(L329="", "", 1 + MROUND(IFERROR(MINIFS(OFFSET(L329, -1, 0, -$B330, 1), OFFSET(L329, -1, 0, -$B330, 1), "&gt;0"), L329) + (LN(1 + $Z330) ^ U$2) * U$3, 1))</f>
        <v>5158</v>
      </c>
      <c r="M330" s="24" t="str">
        <f t="shared" si="666"/>
        <v/>
      </c>
      <c r="N330" s="24" t="str">
        <f t="shared" si="666"/>
        <v/>
      </c>
      <c r="O330" s="24">
        <f t="shared" si="666"/>
        <v>242</v>
      </c>
      <c r="P330" s="24">
        <f t="shared" ref="P330:S330" si="667">L330*$Y$2</f>
        <v>1289.5</v>
      </c>
      <c r="Q330" s="24">
        <f t="shared" si="667"/>
        <v>0</v>
      </c>
      <c r="R330" s="24">
        <f t="shared" si="667"/>
        <v>0</v>
      </c>
      <c r="S330" s="24">
        <f t="shared" si="667"/>
        <v>60.5</v>
      </c>
      <c r="T330" s="24">
        <f t="shared" si="4"/>
        <v>4</v>
      </c>
      <c r="Z330" s="25">
        <f t="shared" si="12"/>
        <v>1.620171957</v>
      </c>
    </row>
    <row r="331">
      <c r="A331" s="16" t="s">
        <v>36</v>
      </c>
      <c r="B331" s="17">
        <v>30.0</v>
      </c>
      <c r="C331" s="24">
        <f t="shared" si="610"/>
        <v>1234.840679</v>
      </c>
      <c r="D331" s="25">
        <v>0.05</v>
      </c>
      <c r="E331" s="24">
        <f t="shared" si="611"/>
        <v>17.7584469</v>
      </c>
      <c r="F331" s="25">
        <v>0.02</v>
      </c>
      <c r="G331" s="24">
        <f t="shared" si="612"/>
        <v>185.2261018</v>
      </c>
      <c r="H331" s="25">
        <v>0.05</v>
      </c>
      <c r="I331" s="24">
        <f t="shared" si="613"/>
        <v>79.91301106</v>
      </c>
      <c r="J331" s="25">
        <v>0.02</v>
      </c>
      <c r="K331" s="25">
        <v>0.0</v>
      </c>
      <c r="L331" s="24">
        <f t="shared" ref="L331:O331" si="668">IF(L330="", "", 1 + MROUND(IFERROR(MINIFS(OFFSET(L330, -1, 0, -$B331, 1), OFFSET(L330, -1, 0, -$B331, 1), "&gt;0"), L330) + (LN(1 + $Z331) ^ U$2) * U$3, 1))</f>
        <v>5409</v>
      </c>
      <c r="M331" s="24" t="str">
        <f t="shared" si="668"/>
        <v/>
      </c>
      <c r="N331" s="24" t="str">
        <f t="shared" si="668"/>
        <v/>
      </c>
      <c r="O331" s="24">
        <f t="shared" si="668"/>
        <v>253</v>
      </c>
      <c r="P331" s="24">
        <f t="shared" ref="P331:S331" si="669">L331*$Y$2</f>
        <v>1352.25</v>
      </c>
      <c r="Q331" s="24">
        <f t="shared" si="669"/>
        <v>0</v>
      </c>
      <c r="R331" s="24">
        <f t="shared" si="669"/>
        <v>0</v>
      </c>
      <c r="S331" s="24">
        <f t="shared" si="669"/>
        <v>63.25</v>
      </c>
      <c r="T331" s="24">
        <f t="shared" si="4"/>
        <v>4</v>
      </c>
      <c r="Z331" s="25">
        <f t="shared" si="12"/>
        <v>1.711877976</v>
      </c>
    </row>
    <row r="332">
      <c r="A332" s="16" t="s">
        <v>36</v>
      </c>
      <c r="B332" s="17">
        <v>31.0</v>
      </c>
      <c r="C332" s="24">
        <f t="shared" si="610"/>
        <v>1296.582713</v>
      </c>
      <c r="D332" s="25">
        <v>0.05</v>
      </c>
      <c r="E332" s="24">
        <f t="shared" si="611"/>
        <v>18.11361584</v>
      </c>
      <c r="F332" s="25">
        <v>0.02</v>
      </c>
      <c r="G332" s="24">
        <f t="shared" si="612"/>
        <v>194.4874069</v>
      </c>
      <c r="H332" s="25">
        <v>0.05</v>
      </c>
      <c r="I332" s="24">
        <f t="shared" si="613"/>
        <v>81.51127128</v>
      </c>
      <c r="J332" s="25">
        <v>0.02</v>
      </c>
      <c r="K332" s="25">
        <v>0.0</v>
      </c>
      <c r="L332" s="24">
        <f t="shared" ref="L332:O332" si="670">IF(L331="", "", 1 + MROUND(IFERROR(MINIFS(OFFSET(L331, -1, 0, -$B332, 1), OFFSET(L331, -1, 0, -$B332, 1), "&gt;0"), L331) + (LN(1 + $Z332) ^ U$2) * U$3, 1))</f>
        <v>5666</v>
      </c>
      <c r="M332" s="24" t="str">
        <f t="shared" si="670"/>
        <v/>
      </c>
      <c r="N332" s="24" t="str">
        <f t="shared" si="670"/>
        <v/>
      </c>
      <c r="O332" s="24">
        <f t="shared" si="670"/>
        <v>264</v>
      </c>
      <c r="P332" s="24">
        <f t="shared" ref="P332:S332" si="671">L332*$Y$2</f>
        <v>1416.5</v>
      </c>
      <c r="Q332" s="24">
        <f t="shared" si="671"/>
        <v>0</v>
      </c>
      <c r="R332" s="24">
        <f t="shared" si="671"/>
        <v>0</v>
      </c>
      <c r="S332" s="24">
        <f t="shared" si="671"/>
        <v>66</v>
      </c>
      <c r="T332" s="24">
        <f t="shared" si="4"/>
        <v>4</v>
      </c>
      <c r="Z332" s="25">
        <f t="shared" si="12"/>
        <v>1.806793705</v>
      </c>
    </row>
    <row r="333">
      <c r="A333" s="16" t="s">
        <v>36</v>
      </c>
      <c r="B333" s="17">
        <v>32.0</v>
      </c>
      <c r="C333" s="24">
        <f t="shared" si="610"/>
        <v>1361.411848</v>
      </c>
      <c r="D333" s="25">
        <v>0.05</v>
      </c>
      <c r="E333" s="24">
        <f t="shared" si="611"/>
        <v>18.47588816</v>
      </c>
      <c r="F333" s="25">
        <v>0.02</v>
      </c>
      <c r="G333" s="24">
        <f t="shared" si="612"/>
        <v>204.2117772</v>
      </c>
      <c r="H333" s="25">
        <v>0.05</v>
      </c>
      <c r="I333" s="24">
        <f t="shared" si="613"/>
        <v>83.14149671</v>
      </c>
      <c r="J333" s="25">
        <v>0.02</v>
      </c>
      <c r="K333" s="25">
        <v>0.0</v>
      </c>
      <c r="L333" s="24">
        <f t="shared" ref="L333:O333" si="672">IF(L332="", "", 1 + MROUND(IFERROR(MINIFS(OFFSET(L332, -1, 0, -$B333, 1), OFFSET(L332, -1, 0, -$B333, 1), "&gt;0"), L332) + (LN(1 + $Z333) ^ U$2) * U$3, 1))</f>
        <v>5929</v>
      </c>
      <c r="M333" s="24" t="str">
        <f t="shared" si="672"/>
        <v/>
      </c>
      <c r="N333" s="24" t="str">
        <f t="shared" si="672"/>
        <v/>
      </c>
      <c r="O333" s="24">
        <f t="shared" si="672"/>
        <v>275</v>
      </c>
      <c r="P333" s="24">
        <f t="shared" ref="P333:S333" si="673">L333*$Y$2</f>
        <v>1482.25</v>
      </c>
      <c r="Q333" s="24">
        <f t="shared" si="673"/>
        <v>0</v>
      </c>
      <c r="R333" s="24">
        <f t="shared" si="673"/>
        <v>0</v>
      </c>
      <c r="S333" s="24">
        <f t="shared" si="673"/>
        <v>68.75</v>
      </c>
      <c r="T333" s="24">
        <f t="shared" si="4"/>
        <v>4</v>
      </c>
      <c r="Z333" s="25">
        <f t="shared" si="12"/>
        <v>1.905031484</v>
      </c>
    </row>
    <row r="334">
      <c r="A334" s="16" t="s">
        <v>36</v>
      </c>
      <c r="B334" s="17">
        <v>33.0</v>
      </c>
      <c r="C334" s="24">
        <f t="shared" si="610"/>
        <v>1429.482441</v>
      </c>
      <c r="D334" s="25">
        <v>0.05</v>
      </c>
      <c r="E334" s="24">
        <f t="shared" si="611"/>
        <v>18.84540592</v>
      </c>
      <c r="F334" s="25">
        <v>0.02</v>
      </c>
      <c r="G334" s="24">
        <f t="shared" si="612"/>
        <v>214.4223661</v>
      </c>
      <c r="H334" s="25">
        <v>0.05</v>
      </c>
      <c r="I334" s="24">
        <f t="shared" si="613"/>
        <v>84.80432664</v>
      </c>
      <c r="J334" s="25">
        <v>0.02</v>
      </c>
      <c r="K334" s="25">
        <v>0.0</v>
      </c>
      <c r="L334" s="24">
        <f t="shared" ref="L334:O334" si="674">IF(L333="", "", 1 + MROUND(IFERROR(MINIFS(OFFSET(L333, -1, 0, -$B334, 1), OFFSET(L333, -1, 0, -$B334, 1), "&gt;0"), L333) + (LN(1 + $Z334) ^ U$2) * U$3, 1))</f>
        <v>6197</v>
      </c>
      <c r="M334" s="24" t="str">
        <f t="shared" si="674"/>
        <v/>
      </c>
      <c r="N334" s="24" t="str">
        <f t="shared" si="674"/>
        <v/>
      </c>
      <c r="O334" s="24">
        <f t="shared" si="674"/>
        <v>287</v>
      </c>
      <c r="P334" s="24">
        <f t="shared" ref="P334:S334" si="675">L334*$Y$2</f>
        <v>1549.25</v>
      </c>
      <c r="Q334" s="24">
        <f t="shared" si="675"/>
        <v>0</v>
      </c>
      <c r="R334" s="24">
        <f t="shared" si="675"/>
        <v>0</v>
      </c>
      <c r="S334" s="24">
        <f t="shared" si="675"/>
        <v>71.75</v>
      </c>
      <c r="T334" s="24">
        <f t="shared" si="4"/>
        <v>4</v>
      </c>
      <c r="Z334" s="25">
        <f t="shared" si="12"/>
        <v>2.006707586</v>
      </c>
    </row>
    <row r="335">
      <c r="A335" s="16" t="s">
        <v>36</v>
      </c>
      <c r="B335" s="17">
        <v>34.0</v>
      </c>
      <c r="C335" s="24">
        <f t="shared" si="610"/>
        <v>1500.956563</v>
      </c>
      <c r="D335" s="25">
        <v>0.05</v>
      </c>
      <c r="E335" s="24">
        <f t="shared" si="611"/>
        <v>19.22231404</v>
      </c>
      <c r="F335" s="25">
        <v>0.02</v>
      </c>
      <c r="G335" s="24">
        <f t="shared" si="612"/>
        <v>225.1434844</v>
      </c>
      <c r="H335" s="25">
        <v>0.05</v>
      </c>
      <c r="I335" s="24">
        <f t="shared" si="613"/>
        <v>86.50041318</v>
      </c>
      <c r="J335" s="25">
        <v>0.02</v>
      </c>
      <c r="K335" s="25">
        <v>0.0</v>
      </c>
      <c r="L335" s="24">
        <f t="shared" ref="L335:O335" si="676">IF(L334="", "", 1 + MROUND(IFERROR(MINIFS(OFFSET(L334, -1, 0, -$B335, 1), OFFSET(L334, -1, 0, -$B335, 1), "&gt;0"), L334) + (LN(1 + $Z335) ^ U$2) * U$3, 1))</f>
        <v>6471</v>
      </c>
      <c r="M335" s="24" t="str">
        <f t="shared" si="676"/>
        <v/>
      </c>
      <c r="N335" s="24" t="str">
        <f t="shared" si="676"/>
        <v/>
      </c>
      <c r="O335" s="24">
        <f t="shared" si="676"/>
        <v>299</v>
      </c>
      <c r="P335" s="24">
        <f t="shared" ref="P335:S335" si="677">L335*$Y$2</f>
        <v>1617.75</v>
      </c>
      <c r="Q335" s="24">
        <f t="shared" si="677"/>
        <v>0</v>
      </c>
      <c r="R335" s="24">
        <f t="shared" si="677"/>
        <v>0</v>
      </c>
      <c r="S335" s="24">
        <f t="shared" si="677"/>
        <v>74.75</v>
      </c>
      <c r="T335" s="24">
        <f t="shared" si="4"/>
        <v>4</v>
      </c>
      <c r="Z335" s="25">
        <f t="shared" si="12"/>
        <v>2.111942352</v>
      </c>
    </row>
    <row r="336">
      <c r="A336" s="16" t="s">
        <v>36</v>
      </c>
      <c r="B336" s="17">
        <v>35.0</v>
      </c>
      <c r="C336" s="24">
        <f t="shared" si="610"/>
        <v>1576.004391</v>
      </c>
      <c r="D336" s="25">
        <v>0.05</v>
      </c>
      <c r="E336" s="24">
        <f t="shared" si="611"/>
        <v>19.60676032</v>
      </c>
      <c r="F336" s="25">
        <v>0.02</v>
      </c>
      <c r="G336" s="24">
        <f t="shared" si="612"/>
        <v>236.4006586</v>
      </c>
      <c r="H336" s="25">
        <v>0.05</v>
      </c>
      <c r="I336" s="24">
        <f t="shared" si="613"/>
        <v>88.23042144</v>
      </c>
      <c r="J336" s="25">
        <v>0.02</v>
      </c>
      <c r="K336" s="25">
        <v>0.0</v>
      </c>
      <c r="L336" s="24">
        <f t="shared" ref="L336:O336" si="678">IF(L335="", "", 1 + MROUND(IFERROR(MINIFS(OFFSET(L335, -1, 0, -$B336, 1), OFFSET(L335, -1, 0, -$B336, 1), "&gt;0"), L335) + (LN(1 + $Z336) ^ U$2) * U$3, 1))</f>
        <v>6751</v>
      </c>
      <c r="M336" s="24" t="str">
        <f t="shared" si="678"/>
        <v/>
      </c>
      <c r="N336" s="24" t="str">
        <f t="shared" si="678"/>
        <v/>
      </c>
      <c r="O336" s="24">
        <f t="shared" si="678"/>
        <v>311</v>
      </c>
      <c r="P336" s="24">
        <f t="shared" ref="P336:S336" si="679">L336*$Y$2</f>
        <v>1687.75</v>
      </c>
      <c r="Q336" s="24">
        <f t="shared" si="679"/>
        <v>0</v>
      </c>
      <c r="R336" s="24">
        <f t="shared" si="679"/>
        <v>0</v>
      </c>
      <c r="S336" s="24">
        <f t="shared" si="679"/>
        <v>77.75</v>
      </c>
      <c r="T336" s="24">
        <f t="shared" si="4"/>
        <v>5</v>
      </c>
      <c r="Z336" s="25">
        <f t="shared" si="12"/>
        <v>2.220860334</v>
      </c>
    </row>
    <row r="337">
      <c r="A337" s="16" t="s">
        <v>36</v>
      </c>
      <c r="B337" s="17">
        <v>36.0</v>
      </c>
      <c r="C337" s="24">
        <f t="shared" si="610"/>
        <v>1654.80461</v>
      </c>
      <c r="D337" s="25">
        <v>0.05</v>
      </c>
      <c r="E337" s="24">
        <f t="shared" si="611"/>
        <v>19.99889553</v>
      </c>
      <c r="F337" s="25">
        <v>0.02</v>
      </c>
      <c r="G337" s="24">
        <f t="shared" si="612"/>
        <v>248.2206915</v>
      </c>
      <c r="H337" s="25">
        <v>0.05</v>
      </c>
      <c r="I337" s="24">
        <f t="shared" si="613"/>
        <v>89.99502987</v>
      </c>
      <c r="J337" s="25">
        <v>0.02</v>
      </c>
      <c r="K337" s="25">
        <v>0.0</v>
      </c>
      <c r="L337" s="24">
        <f t="shared" ref="L337:O337" si="680">IF(L336="", "", 1 + MROUND(IFERROR(MINIFS(OFFSET(L336, -1, 0, -$B337, 1), OFFSET(L336, -1, 0, -$B337, 1), "&gt;0"), L336) + (LN(1 + $Z337) ^ U$2) * U$3, 1))</f>
        <v>7037</v>
      </c>
      <c r="M337" s="24" t="str">
        <f t="shared" si="680"/>
        <v/>
      </c>
      <c r="N337" s="24" t="str">
        <f t="shared" si="680"/>
        <v/>
      </c>
      <c r="O337" s="24">
        <f t="shared" si="680"/>
        <v>323</v>
      </c>
      <c r="P337" s="24">
        <f t="shared" ref="P337:S337" si="681">L337*$Y$2</f>
        <v>1759.25</v>
      </c>
      <c r="Q337" s="24">
        <f t="shared" si="681"/>
        <v>0</v>
      </c>
      <c r="R337" s="24">
        <f t="shared" si="681"/>
        <v>0</v>
      </c>
      <c r="S337" s="24">
        <f t="shared" si="681"/>
        <v>80.75</v>
      </c>
      <c r="T337" s="24">
        <f t="shared" si="4"/>
        <v>5</v>
      </c>
      <c r="Z337" s="25">
        <f t="shared" si="12"/>
        <v>2.333590446</v>
      </c>
    </row>
    <row r="338">
      <c r="A338" s="16" t="s">
        <v>36</v>
      </c>
      <c r="B338" s="17">
        <v>37.0</v>
      </c>
      <c r="C338" s="24">
        <f t="shared" si="610"/>
        <v>1737.544841</v>
      </c>
      <c r="D338" s="25">
        <v>0.05</v>
      </c>
      <c r="E338" s="24">
        <f t="shared" si="611"/>
        <v>20.39887344</v>
      </c>
      <c r="F338" s="25">
        <v>0.02</v>
      </c>
      <c r="G338" s="24">
        <f t="shared" si="612"/>
        <v>260.6317261</v>
      </c>
      <c r="H338" s="25">
        <v>0.05</v>
      </c>
      <c r="I338" s="24">
        <f t="shared" si="613"/>
        <v>91.79493047</v>
      </c>
      <c r="J338" s="25">
        <v>0.02</v>
      </c>
      <c r="K338" s="25">
        <v>0.0</v>
      </c>
      <c r="L338" s="24">
        <f t="shared" ref="L338:O338" si="682">IF(L337="", "", 1 + MROUND(IFERROR(MINIFS(OFFSET(L337, -1, 0, -$B338, 1), OFFSET(L337, -1, 0, -$B338, 1), "&gt;0"), L337) + (LN(1 + $Z338) ^ U$2) * U$3, 1))</f>
        <v>7328</v>
      </c>
      <c r="M338" s="24" t="str">
        <f t="shared" si="682"/>
        <v/>
      </c>
      <c r="N338" s="24" t="str">
        <f t="shared" si="682"/>
        <v/>
      </c>
      <c r="O338" s="24">
        <f t="shared" si="682"/>
        <v>336</v>
      </c>
      <c r="P338" s="24">
        <f t="shared" ref="P338:S338" si="683">L338*$Y$2</f>
        <v>1832</v>
      </c>
      <c r="Q338" s="24">
        <f t="shared" si="683"/>
        <v>0</v>
      </c>
      <c r="R338" s="24">
        <f t="shared" si="683"/>
        <v>0</v>
      </c>
      <c r="S338" s="24">
        <f t="shared" si="683"/>
        <v>84</v>
      </c>
      <c r="T338" s="24">
        <f t="shared" si="4"/>
        <v>5</v>
      </c>
      <c r="Z338" s="25">
        <f t="shared" si="12"/>
        <v>2.450266111</v>
      </c>
    </row>
    <row r="339">
      <c r="A339" s="16" t="s">
        <v>36</v>
      </c>
      <c r="B339" s="17">
        <v>38.0</v>
      </c>
      <c r="C339" s="24">
        <f t="shared" si="610"/>
        <v>1824.422083</v>
      </c>
      <c r="D339" s="25">
        <v>0.05</v>
      </c>
      <c r="E339" s="24">
        <f t="shared" si="611"/>
        <v>20.80685091</v>
      </c>
      <c r="F339" s="25">
        <v>0.02</v>
      </c>
      <c r="G339" s="24">
        <f t="shared" si="612"/>
        <v>273.6633124</v>
      </c>
      <c r="H339" s="25">
        <v>0.05</v>
      </c>
      <c r="I339" s="24">
        <f t="shared" si="613"/>
        <v>93.63082908</v>
      </c>
      <c r="J339" s="25">
        <v>0.02</v>
      </c>
      <c r="K339" s="25">
        <v>0.0</v>
      </c>
      <c r="L339" s="24">
        <f t="shared" ref="L339:O339" si="684">IF(L338="", "", 1 + MROUND(IFERROR(MINIFS(OFFSET(L338, -1, 0, -$B339, 1), OFFSET(L338, -1, 0, -$B339, 1), "&gt;0"), L338) + (LN(1 + $Z339) ^ U$2) * U$3, 1))</f>
        <v>7625</v>
      </c>
      <c r="M339" s="24" t="str">
        <f t="shared" si="684"/>
        <v/>
      </c>
      <c r="N339" s="24" t="str">
        <f t="shared" si="684"/>
        <v/>
      </c>
      <c r="O339" s="24">
        <f t="shared" si="684"/>
        <v>349</v>
      </c>
      <c r="P339" s="24">
        <f t="shared" ref="P339:S339" si="685">L339*$Y$2</f>
        <v>1906.25</v>
      </c>
      <c r="Q339" s="24">
        <f t="shared" si="685"/>
        <v>0</v>
      </c>
      <c r="R339" s="24">
        <f t="shared" si="685"/>
        <v>0</v>
      </c>
      <c r="S339" s="24">
        <f t="shared" si="685"/>
        <v>87.25</v>
      </c>
      <c r="T339" s="24">
        <f t="shared" si="4"/>
        <v>5</v>
      </c>
      <c r="Z339" s="25">
        <f t="shared" si="12"/>
        <v>2.571025425</v>
      </c>
    </row>
    <row r="340">
      <c r="A340" s="16" t="s">
        <v>36</v>
      </c>
      <c r="B340" s="17">
        <v>39.0</v>
      </c>
      <c r="C340" s="24">
        <f t="shared" si="610"/>
        <v>1915.643187</v>
      </c>
      <c r="D340" s="25">
        <v>0.05</v>
      </c>
      <c r="E340" s="24">
        <f t="shared" si="611"/>
        <v>21.22298792</v>
      </c>
      <c r="F340" s="25">
        <v>0.02</v>
      </c>
      <c r="G340" s="24">
        <f t="shared" si="612"/>
        <v>287.346478</v>
      </c>
      <c r="H340" s="25">
        <v>0.05</v>
      </c>
      <c r="I340" s="24">
        <f t="shared" si="613"/>
        <v>95.50344566</v>
      </c>
      <c r="J340" s="25">
        <v>0.02</v>
      </c>
      <c r="K340" s="25">
        <v>0.0</v>
      </c>
      <c r="L340" s="24">
        <f t="shared" ref="L340:O340" si="686">IF(L339="", "", 1 + MROUND(IFERROR(MINIFS(OFFSET(L339, -1, 0, -$B340, 1), OFFSET(L339, -1, 0, -$B340, 1), "&gt;0"), L339) + (LN(1 + $Z340) ^ U$2) * U$3, 1))</f>
        <v>7928</v>
      </c>
      <c r="M340" s="24" t="str">
        <f t="shared" si="686"/>
        <v/>
      </c>
      <c r="N340" s="24" t="str">
        <f t="shared" si="686"/>
        <v/>
      </c>
      <c r="O340" s="24">
        <f t="shared" si="686"/>
        <v>362</v>
      </c>
      <c r="P340" s="24">
        <f t="shared" ref="P340:S340" si="687">L340*$Y$2</f>
        <v>1982</v>
      </c>
      <c r="Q340" s="24">
        <f t="shared" si="687"/>
        <v>0</v>
      </c>
      <c r="R340" s="24">
        <f t="shared" si="687"/>
        <v>0</v>
      </c>
      <c r="S340" s="24">
        <f t="shared" si="687"/>
        <v>90.5</v>
      </c>
      <c r="T340" s="24">
        <f t="shared" si="4"/>
        <v>5</v>
      </c>
      <c r="Z340" s="25">
        <f t="shared" si="12"/>
        <v>2.696011315</v>
      </c>
    </row>
    <row r="341">
      <c r="A341" s="16" t="s">
        <v>36</v>
      </c>
      <c r="B341" s="17">
        <v>40.0</v>
      </c>
      <c r="C341" s="24">
        <f t="shared" si="610"/>
        <v>2011.425346</v>
      </c>
      <c r="D341" s="25">
        <v>0.05</v>
      </c>
      <c r="E341" s="24">
        <f t="shared" si="611"/>
        <v>21.64744768</v>
      </c>
      <c r="F341" s="25">
        <v>0.02</v>
      </c>
      <c r="G341" s="24">
        <f t="shared" si="612"/>
        <v>301.7138019</v>
      </c>
      <c r="H341" s="25">
        <v>0.05</v>
      </c>
      <c r="I341" s="24">
        <f t="shared" si="613"/>
        <v>97.41351457</v>
      </c>
      <c r="J341" s="25">
        <v>0.02</v>
      </c>
      <c r="K341" s="25">
        <v>0.0</v>
      </c>
      <c r="L341" s="24">
        <f t="shared" ref="L341:O341" si="688">IF(L340="", "", 1 + MROUND(IFERROR(MINIFS(OFFSET(L340, -1, 0, -$B341, 1), OFFSET(L340, -1, 0, -$B341, 1), "&gt;0"), L340) + (LN(1 + $Z341) ^ U$2) * U$3, 1))</f>
        <v>8236</v>
      </c>
      <c r="M341" s="24" t="str">
        <f t="shared" si="688"/>
        <v/>
      </c>
      <c r="N341" s="24" t="str">
        <f t="shared" si="688"/>
        <v/>
      </c>
      <c r="O341" s="24">
        <f t="shared" si="688"/>
        <v>375</v>
      </c>
      <c r="P341" s="24">
        <f t="shared" ref="P341:S341" si="689">L341*$Y$2</f>
        <v>2059</v>
      </c>
      <c r="Q341" s="24">
        <f t="shared" si="689"/>
        <v>0</v>
      </c>
      <c r="R341" s="24">
        <f t="shared" si="689"/>
        <v>0</v>
      </c>
      <c r="S341" s="24">
        <f t="shared" si="689"/>
        <v>93.75</v>
      </c>
      <c r="T341" s="24">
        <f t="shared" si="4"/>
        <v>5</v>
      </c>
      <c r="Z341" s="25">
        <f t="shared" si="12"/>
        <v>2.825371711</v>
      </c>
    </row>
    <row r="342">
      <c r="A342" s="16" t="s">
        <v>36</v>
      </c>
      <c r="B342" s="17">
        <v>41.0</v>
      </c>
      <c r="C342" s="24">
        <f t="shared" si="610"/>
        <v>2111.996614</v>
      </c>
      <c r="D342" s="25">
        <v>0.05</v>
      </c>
      <c r="E342" s="24">
        <f t="shared" si="611"/>
        <v>22.08039664</v>
      </c>
      <c r="F342" s="25">
        <v>0.02</v>
      </c>
      <c r="G342" s="24">
        <f t="shared" si="612"/>
        <v>316.799492</v>
      </c>
      <c r="H342" s="25">
        <v>0.05</v>
      </c>
      <c r="I342" s="24">
        <f t="shared" si="613"/>
        <v>99.36178486</v>
      </c>
      <c r="J342" s="25">
        <v>0.02</v>
      </c>
      <c r="K342" s="25">
        <v>0.0</v>
      </c>
      <c r="L342" s="24">
        <f t="shared" ref="L342:O342" si="690">IF(L341="", "", 1 + MROUND(IFERROR(MINIFS(OFFSET(L341, -1, 0, -$B342, 1), OFFSET(L341, -1, 0, -$B342, 1), "&gt;0"), L341) + (LN(1 + $Z342) ^ U$2) * U$3, 1))</f>
        <v>8550</v>
      </c>
      <c r="M342" s="24" t="str">
        <f t="shared" si="690"/>
        <v/>
      </c>
      <c r="N342" s="24" t="str">
        <f t="shared" si="690"/>
        <v/>
      </c>
      <c r="O342" s="24">
        <f t="shared" si="690"/>
        <v>389</v>
      </c>
      <c r="P342" s="24">
        <f t="shared" ref="P342:S342" si="691">L342*$Y$2</f>
        <v>2137.5</v>
      </c>
      <c r="Q342" s="24">
        <f t="shared" si="691"/>
        <v>0</v>
      </c>
      <c r="R342" s="24">
        <f t="shared" si="691"/>
        <v>0</v>
      </c>
      <c r="S342" s="24">
        <f t="shared" si="691"/>
        <v>97.25</v>
      </c>
      <c r="T342" s="24">
        <f t="shared" si="4"/>
        <v>5</v>
      </c>
      <c r="Z342" s="25">
        <f t="shared" si="12"/>
        <v>2.959259721</v>
      </c>
    </row>
    <row r="343">
      <c r="A343" s="16" t="s">
        <v>36</v>
      </c>
      <c r="B343" s="17">
        <v>42.0</v>
      </c>
      <c r="C343" s="24">
        <f t="shared" si="610"/>
        <v>2217.596444</v>
      </c>
      <c r="D343" s="25">
        <v>0.05</v>
      </c>
      <c r="E343" s="24">
        <f t="shared" si="611"/>
        <v>22.52200457</v>
      </c>
      <c r="F343" s="25">
        <v>0.02</v>
      </c>
      <c r="G343" s="24">
        <f t="shared" si="612"/>
        <v>332.6394666</v>
      </c>
      <c r="H343" s="25">
        <v>0.05</v>
      </c>
      <c r="I343" s="24">
        <f t="shared" si="613"/>
        <v>101.3490206</v>
      </c>
      <c r="J343" s="25">
        <v>0.02</v>
      </c>
      <c r="K343" s="25">
        <v>0.0</v>
      </c>
      <c r="L343" s="24">
        <f t="shared" ref="L343:O343" si="692">IF(L342="", "", 1 + MROUND(IFERROR(MINIFS(OFFSET(L342, -1, 0, -$B343, 1), OFFSET(L342, -1, 0, -$B343, 1), "&gt;0"), L342) + (LN(1 + $Z343) ^ U$2) * U$3, 1))</f>
        <v>8869</v>
      </c>
      <c r="M343" s="24" t="str">
        <f t="shared" si="692"/>
        <v/>
      </c>
      <c r="N343" s="24" t="str">
        <f t="shared" si="692"/>
        <v/>
      </c>
      <c r="O343" s="24">
        <f t="shared" si="692"/>
        <v>403</v>
      </c>
      <c r="P343" s="24">
        <f t="shared" ref="P343:S343" si="693">L343*$Y$2</f>
        <v>2217.25</v>
      </c>
      <c r="Q343" s="24">
        <f t="shared" si="693"/>
        <v>0</v>
      </c>
      <c r="R343" s="24">
        <f t="shared" si="693"/>
        <v>0</v>
      </c>
      <c r="S343" s="24">
        <f t="shared" si="693"/>
        <v>100.75</v>
      </c>
      <c r="T343" s="24">
        <f t="shared" si="4"/>
        <v>5</v>
      </c>
      <c r="Z343" s="25">
        <f t="shared" si="12"/>
        <v>3.097833811</v>
      </c>
    </row>
    <row r="344">
      <c r="A344" s="16" t="s">
        <v>36</v>
      </c>
      <c r="B344" s="17">
        <v>43.0</v>
      </c>
      <c r="C344" s="24">
        <f t="shared" si="610"/>
        <v>2328.476267</v>
      </c>
      <c r="D344" s="25">
        <v>0.05</v>
      </c>
      <c r="E344" s="24">
        <f t="shared" si="611"/>
        <v>22.97244466</v>
      </c>
      <c r="F344" s="25">
        <v>0.02</v>
      </c>
      <c r="G344" s="24">
        <f t="shared" si="612"/>
        <v>349.27144</v>
      </c>
      <c r="H344" s="25">
        <v>0.05</v>
      </c>
      <c r="I344" s="24">
        <f t="shared" si="613"/>
        <v>103.376001</v>
      </c>
      <c r="J344" s="25">
        <v>0.02</v>
      </c>
      <c r="K344" s="25">
        <v>0.0</v>
      </c>
      <c r="L344" s="24">
        <f t="shared" ref="L344:O344" si="694">IF(L343="", "", 1 + MROUND(IFERROR(MINIFS(OFFSET(L343, -1, 0, -$B344, 1), OFFSET(L343, -1, 0, -$B344, 1), "&gt;0"), L343) + (LN(1 + $Z344) ^ U$2) * U$3, 1))</f>
        <v>9193</v>
      </c>
      <c r="M344" s="24" t="str">
        <f t="shared" si="694"/>
        <v/>
      </c>
      <c r="N344" s="24" t="str">
        <f t="shared" si="694"/>
        <v/>
      </c>
      <c r="O344" s="24">
        <f t="shared" si="694"/>
        <v>417</v>
      </c>
      <c r="P344" s="24">
        <f t="shared" ref="P344:S344" si="695">L344*$Y$2</f>
        <v>2298.25</v>
      </c>
      <c r="Q344" s="24">
        <f t="shared" si="695"/>
        <v>0</v>
      </c>
      <c r="R344" s="24">
        <f t="shared" si="695"/>
        <v>0</v>
      </c>
      <c r="S344" s="24">
        <f t="shared" si="695"/>
        <v>104.25</v>
      </c>
      <c r="T344" s="24">
        <f t="shared" si="4"/>
        <v>5</v>
      </c>
      <c r="Z344" s="25">
        <f t="shared" si="12"/>
        <v>3.241257995</v>
      </c>
    </row>
    <row r="345">
      <c r="A345" s="16" t="s">
        <v>36</v>
      </c>
      <c r="B345" s="17">
        <v>44.0</v>
      </c>
      <c r="C345" s="24">
        <f t="shared" si="610"/>
        <v>2444.90008</v>
      </c>
      <c r="D345" s="25">
        <v>0.05</v>
      </c>
      <c r="E345" s="24">
        <f t="shared" si="611"/>
        <v>23.43189355</v>
      </c>
      <c r="F345" s="25">
        <v>0.02</v>
      </c>
      <c r="G345" s="24">
        <f t="shared" si="612"/>
        <v>366.735012</v>
      </c>
      <c r="H345" s="25">
        <v>0.05</v>
      </c>
      <c r="I345" s="24">
        <f t="shared" si="613"/>
        <v>105.443521</v>
      </c>
      <c r="J345" s="25">
        <v>0.02</v>
      </c>
      <c r="K345" s="25">
        <v>0.0</v>
      </c>
      <c r="L345" s="24">
        <f t="shared" ref="L345:O345" si="696">IF(L344="", "", 1 + MROUND(IFERROR(MINIFS(OFFSET(L344, -1, 0, -$B345, 1), OFFSET(L344, -1, 0, -$B345, 1), "&gt;0"), L344) + (LN(1 + $Z345) ^ U$2) * U$3, 1))</f>
        <v>9523</v>
      </c>
      <c r="M345" s="24" t="str">
        <f t="shared" si="696"/>
        <v/>
      </c>
      <c r="N345" s="24" t="str">
        <f t="shared" si="696"/>
        <v/>
      </c>
      <c r="O345" s="24">
        <f t="shared" si="696"/>
        <v>431</v>
      </c>
      <c r="P345" s="24">
        <f t="shared" ref="P345:S345" si="697">L345*$Y$2</f>
        <v>2380.75</v>
      </c>
      <c r="Q345" s="24">
        <f t="shared" si="697"/>
        <v>0</v>
      </c>
      <c r="R345" s="24">
        <f t="shared" si="697"/>
        <v>0</v>
      </c>
      <c r="S345" s="24">
        <f t="shared" si="697"/>
        <v>107.75</v>
      </c>
      <c r="T345" s="24">
        <f t="shared" si="4"/>
        <v>5</v>
      </c>
      <c r="Z345" s="25">
        <f t="shared" si="12"/>
        <v>3.389702025</v>
      </c>
    </row>
    <row r="346">
      <c r="A346" s="16" t="s">
        <v>36</v>
      </c>
      <c r="B346" s="17">
        <v>45.0</v>
      </c>
      <c r="C346" s="24">
        <f t="shared" si="610"/>
        <v>2567.145084</v>
      </c>
      <c r="D346" s="25">
        <v>0.05</v>
      </c>
      <c r="E346" s="24">
        <f t="shared" si="611"/>
        <v>23.90053142</v>
      </c>
      <c r="F346" s="25">
        <v>0.02</v>
      </c>
      <c r="G346" s="24">
        <f t="shared" si="612"/>
        <v>385.0717626</v>
      </c>
      <c r="H346" s="25">
        <v>0.05</v>
      </c>
      <c r="I346" s="24">
        <f t="shared" si="613"/>
        <v>107.5523914</v>
      </c>
      <c r="J346" s="25">
        <v>0.02</v>
      </c>
      <c r="K346" s="25">
        <v>0.0</v>
      </c>
      <c r="L346" s="24">
        <f t="shared" ref="L346:O346" si="698">IF(L345="", "", 1 + MROUND(IFERROR(MINIFS(OFFSET(L345, -1, 0, -$B346, 1), OFFSET(L345, -1, 0, -$B346, 1), "&gt;0"), L345) + (LN(1 + $Z346) ^ U$2) * U$3, 1))</f>
        <v>9858</v>
      </c>
      <c r="M346" s="24" t="str">
        <f t="shared" si="698"/>
        <v/>
      </c>
      <c r="N346" s="24" t="str">
        <f t="shared" si="698"/>
        <v/>
      </c>
      <c r="O346" s="24">
        <f t="shared" si="698"/>
        <v>445</v>
      </c>
      <c r="P346" s="24">
        <f t="shared" ref="P346:S346" si="699">L346*$Y$2</f>
        <v>2464.5</v>
      </c>
      <c r="Q346" s="24">
        <f t="shared" si="699"/>
        <v>0</v>
      </c>
      <c r="R346" s="24">
        <f t="shared" si="699"/>
        <v>0</v>
      </c>
      <c r="S346" s="24">
        <f t="shared" si="699"/>
        <v>111.25</v>
      </c>
      <c r="T346" s="24">
        <f t="shared" si="4"/>
        <v>6</v>
      </c>
      <c r="Z346" s="25">
        <f t="shared" si="12"/>
        <v>3.543341595</v>
      </c>
    </row>
    <row r="347">
      <c r="A347" s="16" t="s">
        <v>36</v>
      </c>
      <c r="B347" s="17">
        <v>46.0</v>
      </c>
      <c r="C347" s="24">
        <f t="shared" si="610"/>
        <v>2695.502338</v>
      </c>
      <c r="D347" s="25">
        <v>0.05</v>
      </c>
      <c r="E347" s="24">
        <f t="shared" si="611"/>
        <v>24.37854205</v>
      </c>
      <c r="F347" s="25">
        <v>0.02</v>
      </c>
      <c r="G347" s="24">
        <f t="shared" si="612"/>
        <v>404.3253507</v>
      </c>
      <c r="H347" s="25">
        <v>0.05</v>
      </c>
      <c r="I347" s="24">
        <f t="shared" si="613"/>
        <v>109.7034392</v>
      </c>
      <c r="J347" s="25">
        <v>0.02</v>
      </c>
      <c r="K347" s="25">
        <v>0.0</v>
      </c>
      <c r="L347" s="24">
        <f t="shared" ref="L347:O347" si="700">IF(L346="", "", 1 + MROUND(IFERROR(MINIFS(OFFSET(L346, -1, 0, -$B347, 1), OFFSET(L346, -1, 0, -$B347, 1), "&gt;0"), L346) + (LN(1 + $Z347) ^ U$2) * U$3, 1))</f>
        <v>10198</v>
      </c>
      <c r="M347" s="24" t="str">
        <f t="shared" si="700"/>
        <v/>
      </c>
      <c r="N347" s="24" t="str">
        <f t="shared" si="700"/>
        <v/>
      </c>
      <c r="O347" s="24">
        <f t="shared" si="700"/>
        <v>460</v>
      </c>
      <c r="P347" s="24">
        <f t="shared" ref="P347:S347" si="701">L347*$Y$2</f>
        <v>2549.5</v>
      </c>
      <c r="Q347" s="24">
        <f t="shared" si="701"/>
        <v>0</v>
      </c>
      <c r="R347" s="24">
        <f t="shared" si="701"/>
        <v>0</v>
      </c>
      <c r="S347" s="24">
        <f t="shared" si="701"/>
        <v>115</v>
      </c>
      <c r="T347" s="24">
        <f t="shared" si="4"/>
        <v>6</v>
      </c>
      <c r="Z347" s="25">
        <f t="shared" si="12"/>
        <v>3.702358551</v>
      </c>
    </row>
    <row r="348">
      <c r="A348" s="16" t="s">
        <v>36</v>
      </c>
      <c r="B348" s="17">
        <v>47.0</v>
      </c>
      <c r="C348" s="24">
        <f t="shared" si="610"/>
        <v>2830.277455</v>
      </c>
      <c r="D348" s="25">
        <v>0.05</v>
      </c>
      <c r="E348" s="24">
        <f t="shared" si="611"/>
        <v>24.86611289</v>
      </c>
      <c r="F348" s="25">
        <v>0.02</v>
      </c>
      <c r="G348" s="24">
        <f t="shared" si="612"/>
        <v>424.5416182</v>
      </c>
      <c r="H348" s="25">
        <v>0.05</v>
      </c>
      <c r="I348" s="24">
        <f t="shared" si="613"/>
        <v>111.897508</v>
      </c>
      <c r="J348" s="25">
        <v>0.02</v>
      </c>
      <c r="K348" s="25">
        <v>0.0</v>
      </c>
      <c r="L348" s="24">
        <f t="shared" ref="L348:O348" si="702">IF(L347="", "", 1 + MROUND(IFERROR(MINIFS(OFFSET(L347, -1, 0, -$B348, 1), OFFSET(L347, -1, 0, -$B348, 1), "&gt;0"), L347) + (LN(1 + $Z348) ^ U$2) * U$3, 1))</f>
        <v>10544</v>
      </c>
      <c r="M348" s="24" t="str">
        <f t="shared" si="702"/>
        <v/>
      </c>
      <c r="N348" s="24" t="str">
        <f t="shared" si="702"/>
        <v/>
      </c>
      <c r="O348" s="24">
        <f t="shared" si="702"/>
        <v>475</v>
      </c>
      <c r="P348" s="24">
        <f t="shared" ref="P348:S348" si="703">L348*$Y$2</f>
        <v>2636</v>
      </c>
      <c r="Q348" s="24">
        <f t="shared" si="703"/>
        <v>0</v>
      </c>
      <c r="R348" s="24">
        <f t="shared" si="703"/>
        <v>0</v>
      </c>
      <c r="S348" s="24">
        <f t="shared" si="703"/>
        <v>118.75</v>
      </c>
      <c r="T348" s="24">
        <f t="shared" si="4"/>
        <v>6</v>
      </c>
      <c r="Z348" s="25">
        <f t="shared" si="12"/>
        <v>3.866941101</v>
      </c>
    </row>
    <row r="349">
      <c r="A349" s="16" t="s">
        <v>36</v>
      </c>
      <c r="B349" s="17">
        <v>48.0</v>
      </c>
      <c r="C349" s="24">
        <f t="shared" si="610"/>
        <v>2971.791328</v>
      </c>
      <c r="D349" s="25">
        <v>0.05</v>
      </c>
      <c r="E349" s="24">
        <f t="shared" si="611"/>
        <v>25.36343515</v>
      </c>
      <c r="F349" s="25">
        <v>0.02</v>
      </c>
      <c r="G349" s="24">
        <f t="shared" si="612"/>
        <v>445.7686992</v>
      </c>
      <c r="H349" s="25">
        <v>0.05</v>
      </c>
      <c r="I349" s="24">
        <f t="shared" si="613"/>
        <v>114.1354582</v>
      </c>
      <c r="J349" s="25">
        <v>0.02</v>
      </c>
      <c r="K349" s="25">
        <v>0.0</v>
      </c>
      <c r="L349" s="24">
        <f t="shared" ref="L349:O349" si="704">IF(L348="", "", 1 + MROUND(IFERROR(MINIFS(OFFSET(L348, -1, 0, -$B349, 1), OFFSET(L348, -1, 0, -$B349, 1), "&gt;0"), L348) + (LN(1 + $Z349) ^ U$2) * U$3, 1))</f>
        <v>10895</v>
      </c>
      <c r="M349" s="24" t="str">
        <f t="shared" si="704"/>
        <v/>
      </c>
      <c r="N349" s="24" t="str">
        <f t="shared" si="704"/>
        <v/>
      </c>
      <c r="O349" s="24">
        <f t="shared" si="704"/>
        <v>490</v>
      </c>
      <c r="P349" s="24">
        <f t="shared" ref="P349:S349" si="705">L349*$Y$2</f>
        <v>2723.75</v>
      </c>
      <c r="Q349" s="24">
        <f t="shared" si="705"/>
        <v>0</v>
      </c>
      <c r="R349" s="24">
        <f t="shared" si="705"/>
        <v>0</v>
      </c>
      <c r="S349" s="24">
        <f t="shared" si="705"/>
        <v>122.5</v>
      </c>
      <c r="T349" s="24">
        <f t="shared" si="4"/>
        <v>6</v>
      </c>
      <c r="Z349" s="25">
        <f t="shared" si="12"/>
        <v>4.037284039</v>
      </c>
    </row>
    <row r="350">
      <c r="A350" s="16" t="s">
        <v>36</v>
      </c>
      <c r="B350" s="17">
        <v>49.0</v>
      </c>
      <c r="C350" s="24">
        <f t="shared" si="610"/>
        <v>3120.380894</v>
      </c>
      <c r="D350" s="25">
        <v>0.05</v>
      </c>
      <c r="E350" s="24">
        <f t="shared" si="611"/>
        <v>25.87070385</v>
      </c>
      <c r="F350" s="25">
        <v>0.02</v>
      </c>
      <c r="G350" s="24">
        <f t="shared" si="612"/>
        <v>468.0571341</v>
      </c>
      <c r="H350" s="25">
        <v>0.05</v>
      </c>
      <c r="I350" s="24">
        <f t="shared" si="613"/>
        <v>116.4181673</v>
      </c>
      <c r="J350" s="25">
        <v>0.02</v>
      </c>
      <c r="K350" s="25">
        <v>0.0</v>
      </c>
      <c r="L350" s="24">
        <f t="shared" ref="L350:O350" si="706">IF(L349="", "", 1 + MROUND(IFERROR(MINIFS(OFFSET(L349, -1, 0, -$B350, 1), OFFSET(L349, -1, 0, -$B350, 1), "&gt;0"), L349) + (LN(1 + $Z350) ^ U$2) * U$3, 1))</f>
        <v>11251</v>
      </c>
      <c r="M350" s="24" t="str">
        <f t="shared" si="706"/>
        <v/>
      </c>
      <c r="N350" s="24" t="str">
        <f t="shared" si="706"/>
        <v/>
      </c>
      <c r="O350" s="24">
        <f t="shared" si="706"/>
        <v>505</v>
      </c>
      <c r="P350" s="24">
        <f t="shared" ref="P350:S350" si="707">L350*$Y$2</f>
        <v>2812.75</v>
      </c>
      <c r="Q350" s="24">
        <f t="shared" si="707"/>
        <v>0</v>
      </c>
      <c r="R350" s="24">
        <f t="shared" si="707"/>
        <v>0</v>
      </c>
      <c r="S350" s="24">
        <f t="shared" si="707"/>
        <v>126.25</v>
      </c>
      <c r="T350" s="24">
        <f t="shared" si="4"/>
        <v>6</v>
      </c>
      <c r="Z350" s="25">
        <f t="shared" si="12"/>
        <v>4.213588981</v>
      </c>
    </row>
    <row r="351">
      <c r="A351" s="16" t="s">
        <v>36</v>
      </c>
      <c r="B351" s="17">
        <v>50.0</v>
      </c>
      <c r="C351" s="24">
        <f t="shared" si="610"/>
        <v>3276.399939</v>
      </c>
      <c r="D351" s="25">
        <v>0.05</v>
      </c>
      <c r="E351" s="24">
        <f t="shared" si="611"/>
        <v>26.38811793</v>
      </c>
      <c r="F351" s="25">
        <v>0.02</v>
      </c>
      <c r="G351" s="24">
        <f t="shared" si="612"/>
        <v>491.4599908</v>
      </c>
      <c r="H351" s="25">
        <v>0.05</v>
      </c>
      <c r="I351" s="24">
        <f t="shared" si="613"/>
        <v>118.7465307</v>
      </c>
      <c r="J351" s="25">
        <v>0.02</v>
      </c>
      <c r="K351" s="25">
        <v>0.0</v>
      </c>
      <c r="L351" s="24">
        <f t="shared" ref="L351:O351" si="708">IF(L350="", "", 1 + MROUND(IFERROR(MINIFS(OFFSET(L350, -1, 0, -$B351, 1), OFFSET(L350, -1, 0, -$B351, 1), "&gt;0"), L350) + (LN(1 + $Z351) ^ U$2) * U$3, 1))</f>
        <v>11612</v>
      </c>
      <c r="M351" s="24" t="str">
        <f t="shared" si="708"/>
        <v/>
      </c>
      <c r="N351" s="24" t="str">
        <f t="shared" si="708"/>
        <v/>
      </c>
      <c r="O351" s="24">
        <f t="shared" si="708"/>
        <v>520</v>
      </c>
      <c r="P351" s="24">
        <f t="shared" ref="P351:S351" si="709">L351*$Y$2</f>
        <v>2903</v>
      </c>
      <c r="Q351" s="24">
        <f t="shared" si="709"/>
        <v>0</v>
      </c>
      <c r="R351" s="24">
        <f t="shared" si="709"/>
        <v>0</v>
      </c>
      <c r="S351" s="24">
        <f t="shared" si="709"/>
        <v>130</v>
      </c>
      <c r="T351" s="24">
        <f t="shared" si="4"/>
        <v>6</v>
      </c>
      <c r="Z351" s="25">
        <f t="shared" si="12"/>
        <v>4.396064595</v>
      </c>
    </row>
    <row r="352">
      <c r="A352" s="16" t="s">
        <v>36</v>
      </c>
      <c r="B352" s="17">
        <v>51.0</v>
      </c>
      <c r="C352" s="24">
        <f t="shared" si="610"/>
        <v>3440.219936</v>
      </c>
      <c r="D352" s="25">
        <v>0.05</v>
      </c>
      <c r="E352" s="24">
        <f t="shared" si="611"/>
        <v>26.91588029</v>
      </c>
      <c r="F352" s="25">
        <v>0.02</v>
      </c>
      <c r="G352" s="24">
        <f t="shared" si="612"/>
        <v>516.0329904</v>
      </c>
      <c r="H352" s="25">
        <v>0.05</v>
      </c>
      <c r="I352" s="24">
        <f t="shared" si="613"/>
        <v>121.1214613</v>
      </c>
      <c r="J352" s="25">
        <v>0.02</v>
      </c>
      <c r="K352" s="25">
        <v>0.0</v>
      </c>
      <c r="L352" s="24">
        <f t="shared" ref="L352:O352" si="710">IF(L351="", "", 1 + MROUND(IFERROR(MINIFS(OFFSET(L351, -1, 0, -$B352, 1), OFFSET(L351, -1, 0, -$B352, 1), "&gt;0"), L351) + (LN(1 + $Z352) ^ U$2) * U$3, 1))</f>
        <v>11978</v>
      </c>
      <c r="M352" s="24" t="str">
        <f t="shared" si="710"/>
        <v/>
      </c>
      <c r="N352" s="24" t="str">
        <f t="shared" si="710"/>
        <v/>
      </c>
      <c r="O352" s="24">
        <f t="shared" si="710"/>
        <v>536</v>
      </c>
      <c r="P352" s="24">
        <f t="shared" ref="P352:S352" si="711">L352*$Y$2</f>
        <v>2994.5</v>
      </c>
      <c r="Q352" s="24">
        <f t="shared" si="711"/>
        <v>0</v>
      </c>
      <c r="R352" s="24">
        <f t="shared" si="711"/>
        <v>0</v>
      </c>
      <c r="S352" s="24">
        <f t="shared" si="711"/>
        <v>134</v>
      </c>
      <c r="T352" s="24">
        <f t="shared" si="4"/>
        <v>6</v>
      </c>
      <c r="Z352" s="25">
        <f t="shared" si="12"/>
        <v>4.584926856</v>
      </c>
    </row>
    <row r="353">
      <c r="A353" s="16" t="s">
        <v>36</v>
      </c>
      <c r="B353" s="17">
        <v>52.0</v>
      </c>
      <c r="C353" s="24">
        <f t="shared" si="610"/>
        <v>3612.230933</v>
      </c>
      <c r="D353" s="25">
        <v>0.05</v>
      </c>
      <c r="E353" s="24">
        <f t="shared" si="611"/>
        <v>27.4541979</v>
      </c>
      <c r="F353" s="25">
        <v>0.02</v>
      </c>
      <c r="G353" s="24">
        <f t="shared" si="612"/>
        <v>541.8346399</v>
      </c>
      <c r="H353" s="25">
        <v>0.05</v>
      </c>
      <c r="I353" s="24">
        <f t="shared" si="613"/>
        <v>123.5438905</v>
      </c>
      <c r="J353" s="25">
        <v>0.02</v>
      </c>
      <c r="K353" s="25">
        <v>0.0</v>
      </c>
      <c r="L353" s="24">
        <f t="shared" ref="L353:O353" si="712">IF(L352="", "", 1 + MROUND(IFERROR(MINIFS(OFFSET(L352, -1, 0, -$B353, 1), OFFSET(L352, -1, 0, -$B353, 1), "&gt;0"), L352) + (LN(1 + $Z353) ^ U$2) * U$3, 1))</f>
        <v>12350</v>
      </c>
      <c r="M353" s="24" t="str">
        <f t="shared" si="712"/>
        <v/>
      </c>
      <c r="N353" s="24" t="str">
        <f t="shared" si="712"/>
        <v/>
      </c>
      <c r="O353" s="24">
        <f t="shared" si="712"/>
        <v>552</v>
      </c>
      <c r="P353" s="24">
        <f t="shared" ref="P353:S353" si="713">L353*$Y$2</f>
        <v>3087.5</v>
      </c>
      <c r="Q353" s="24">
        <f t="shared" si="713"/>
        <v>0</v>
      </c>
      <c r="R353" s="24">
        <f t="shared" si="713"/>
        <v>0</v>
      </c>
      <c r="S353" s="24">
        <f t="shared" si="713"/>
        <v>138</v>
      </c>
      <c r="T353" s="24">
        <f t="shared" si="4"/>
        <v>6</v>
      </c>
      <c r="Z353" s="25">
        <f t="shared" si="12"/>
        <v>4.780399296</v>
      </c>
    </row>
    <row r="354">
      <c r="A354" s="16" t="s">
        <v>36</v>
      </c>
      <c r="B354" s="17">
        <v>53.0</v>
      </c>
      <c r="C354" s="24">
        <f t="shared" si="610"/>
        <v>3792.842479</v>
      </c>
      <c r="D354" s="25">
        <v>0.05</v>
      </c>
      <c r="E354" s="24">
        <f t="shared" si="611"/>
        <v>28.00328185</v>
      </c>
      <c r="F354" s="25">
        <v>0.02</v>
      </c>
      <c r="G354" s="24">
        <f t="shared" si="612"/>
        <v>568.9263719</v>
      </c>
      <c r="H354" s="25">
        <v>0.05</v>
      </c>
      <c r="I354" s="24">
        <f t="shared" si="613"/>
        <v>126.0147683</v>
      </c>
      <c r="J354" s="25">
        <v>0.02</v>
      </c>
      <c r="K354" s="25">
        <v>0.0</v>
      </c>
      <c r="L354" s="24">
        <f t="shared" ref="L354:O354" si="714">IF(L353="", "", 1 + MROUND(IFERROR(MINIFS(OFFSET(L353, -1, 0, -$B354, 1), OFFSET(L353, -1, 0, -$B354, 1), "&gt;0"), L353) + (LN(1 + $Z354) ^ U$2) * U$3, 1))</f>
        <v>12727</v>
      </c>
      <c r="M354" s="24" t="str">
        <f t="shared" si="714"/>
        <v/>
      </c>
      <c r="N354" s="24" t="str">
        <f t="shared" si="714"/>
        <v/>
      </c>
      <c r="O354" s="24">
        <f t="shared" si="714"/>
        <v>568</v>
      </c>
      <c r="P354" s="24">
        <f t="shared" ref="P354:S354" si="715">L354*$Y$2</f>
        <v>3181.75</v>
      </c>
      <c r="Q354" s="24">
        <f t="shared" si="715"/>
        <v>0</v>
      </c>
      <c r="R354" s="24">
        <f t="shared" si="715"/>
        <v>0</v>
      </c>
      <c r="S354" s="24">
        <f t="shared" si="715"/>
        <v>142</v>
      </c>
      <c r="T354" s="24">
        <f t="shared" si="4"/>
        <v>6</v>
      </c>
      <c r="Z354" s="25">
        <f t="shared" si="12"/>
        <v>4.982713271</v>
      </c>
    </row>
    <row r="355">
      <c r="A355" s="16" t="s">
        <v>36</v>
      </c>
      <c r="B355" s="17">
        <v>54.0</v>
      </c>
      <c r="C355" s="24">
        <f t="shared" si="610"/>
        <v>3982.484603</v>
      </c>
      <c r="D355" s="25">
        <v>0.05</v>
      </c>
      <c r="E355" s="24">
        <f t="shared" si="611"/>
        <v>28.56334749</v>
      </c>
      <c r="F355" s="25">
        <v>0.02</v>
      </c>
      <c r="G355" s="24">
        <f t="shared" si="612"/>
        <v>597.3726905</v>
      </c>
      <c r="H355" s="25">
        <v>0.05</v>
      </c>
      <c r="I355" s="24">
        <f t="shared" si="613"/>
        <v>128.5350637</v>
      </c>
      <c r="J355" s="25">
        <v>0.02</v>
      </c>
      <c r="K355" s="25">
        <v>0.0</v>
      </c>
      <c r="L355" s="24">
        <f t="shared" ref="L355:O355" si="716">IF(L354="", "", 1 + MROUND(IFERROR(MINIFS(OFFSET(L354, -1, 0, -$B355, 1), OFFSET(L354, -1, 0, -$B355, 1), "&gt;0"), L354) + (LN(1 + $Z355) ^ U$2) * U$3, 1))</f>
        <v>13109</v>
      </c>
      <c r="M355" s="24" t="str">
        <f t="shared" si="716"/>
        <v/>
      </c>
      <c r="N355" s="24" t="str">
        <f t="shared" si="716"/>
        <v/>
      </c>
      <c r="O355" s="24">
        <f t="shared" si="716"/>
        <v>584</v>
      </c>
      <c r="P355" s="24">
        <f t="shared" ref="P355:S355" si="717">L355*$Y$2</f>
        <v>3277.25</v>
      </c>
      <c r="Q355" s="24">
        <f t="shared" si="717"/>
        <v>0</v>
      </c>
      <c r="R355" s="24">
        <f t="shared" si="717"/>
        <v>0</v>
      </c>
      <c r="S355" s="24">
        <f t="shared" si="717"/>
        <v>146</v>
      </c>
      <c r="T355" s="24">
        <f t="shared" si="4"/>
        <v>6</v>
      </c>
      <c r="Z355" s="25">
        <f t="shared" si="12"/>
        <v>5.192108235</v>
      </c>
    </row>
    <row r="356">
      <c r="A356" s="16" t="s">
        <v>36</v>
      </c>
      <c r="B356" s="17">
        <v>55.0</v>
      </c>
      <c r="C356" s="24">
        <f t="shared" si="610"/>
        <v>4181.608833</v>
      </c>
      <c r="D356" s="25">
        <v>0.05</v>
      </c>
      <c r="E356" s="24">
        <f t="shared" si="611"/>
        <v>29.13461444</v>
      </c>
      <c r="F356" s="25">
        <v>0.02</v>
      </c>
      <c r="G356" s="24">
        <f t="shared" si="612"/>
        <v>627.241325</v>
      </c>
      <c r="H356" s="25">
        <v>0.05</v>
      </c>
      <c r="I356" s="24">
        <f t="shared" si="613"/>
        <v>131.105765</v>
      </c>
      <c r="J356" s="25">
        <v>0.02</v>
      </c>
      <c r="K356" s="25">
        <v>0.0</v>
      </c>
      <c r="L356" s="24">
        <f t="shared" ref="L356:O356" si="718">IF(L355="", "", 1 + MROUND(IFERROR(MINIFS(OFFSET(L355, -1, 0, -$B356, 1), OFFSET(L355, -1, 0, -$B356, 1), "&gt;0"), L355) + (LN(1 + $Z356) ^ U$2) * U$3, 1))</f>
        <v>13496</v>
      </c>
      <c r="M356" s="24" t="str">
        <f t="shared" si="718"/>
        <v/>
      </c>
      <c r="N356" s="24" t="str">
        <f t="shared" si="718"/>
        <v/>
      </c>
      <c r="O356" s="24">
        <f t="shared" si="718"/>
        <v>600</v>
      </c>
      <c r="P356" s="24">
        <f t="shared" ref="P356:S356" si="719">L356*$Y$2</f>
        <v>3374</v>
      </c>
      <c r="Q356" s="24">
        <f t="shared" si="719"/>
        <v>0</v>
      </c>
      <c r="R356" s="24">
        <f t="shared" si="719"/>
        <v>0</v>
      </c>
      <c r="S356" s="24">
        <f t="shared" si="719"/>
        <v>150</v>
      </c>
      <c r="T356" s="24">
        <f t="shared" si="4"/>
        <v>7</v>
      </c>
      <c r="Z356" s="25">
        <f t="shared" si="12"/>
        <v>5.408832024</v>
      </c>
    </row>
    <row r="357">
      <c r="A357" s="16" t="s">
        <v>36</v>
      </c>
      <c r="B357" s="17">
        <v>56.0</v>
      </c>
      <c r="C357" s="24">
        <f t="shared" si="610"/>
        <v>4390.689275</v>
      </c>
      <c r="D357" s="25">
        <v>0.05</v>
      </c>
      <c r="E357" s="24">
        <f t="shared" si="611"/>
        <v>29.71730673</v>
      </c>
      <c r="F357" s="25">
        <v>0.02</v>
      </c>
      <c r="G357" s="24">
        <f t="shared" si="612"/>
        <v>658.6033912</v>
      </c>
      <c r="H357" s="25">
        <v>0.05</v>
      </c>
      <c r="I357" s="24">
        <f t="shared" si="613"/>
        <v>133.7278803</v>
      </c>
      <c r="J357" s="25">
        <v>0.02</v>
      </c>
      <c r="K357" s="25">
        <v>0.0</v>
      </c>
      <c r="L357" s="24">
        <f t="shared" ref="L357:O357" si="720">IF(L356="", "", 1 + MROUND(IFERROR(MINIFS(OFFSET(L356, -1, 0, -$B357, 1), OFFSET(L356, -1, 0, -$B357, 1), "&gt;0"), L356) + (LN(1 + $Z357) ^ U$2) * U$3, 1))</f>
        <v>13888</v>
      </c>
      <c r="M357" s="24" t="str">
        <f t="shared" si="720"/>
        <v/>
      </c>
      <c r="N357" s="24" t="str">
        <f t="shared" si="720"/>
        <v/>
      </c>
      <c r="O357" s="24">
        <f t="shared" si="720"/>
        <v>617</v>
      </c>
      <c r="P357" s="24">
        <f t="shared" ref="P357:S357" si="721">L357*$Y$2</f>
        <v>3472</v>
      </c>
      <c r="Q357" s="24">
        <f t="shared" si="721"/>
        <v>0</v>
      </c>
      <c r="R357" s="24">
        <f t="shared" si="721"/>
        <v>0</v>
      </c>
      <c r="S357" s="24">
        <f t="shared" si="721"/>
        <v>154.25</v>
      </c>
      <c r="T357" s="24">
        <f t="shared" si="4"/>
        <v>7</v>
      </c>
      <c r="Z357" s="25">
        <f t="shared" si="12"/>
        <v>5.633141145</v>
      </c>
    </row>
    <row r="358">
      <c r="A358" s="16" t="s">
        <v>36</v>
      </c>
      <c r="B358" s="17">
        <v>57.0</v>
      </c>
      <c r="C358" s="24">
        <f t="shared" si="610"/>
        <v>4610.223739</v>
      </c>
      <c r="D358" s="25">
        <v>0.05</v>
      </c>
      <c r="E358" s="24">
        <f t="shared" si="611"/>
        <v>30.31165286</v>
      </c>
      <c r="F358" s="25">
        <v>0.02</v>
      </c>
      <c r="G358" s="24">
        <f t="shared" si="612"/>
        <v>691.5335608</v>
      </c>
      <c r="H358" s="25">
        <v>0.05</v>
      </c>
      <c r="I358" s="24">
        <f t="shared" si="613"/>
        <v>136.4024379</v>
      </c>
      <c r="J358" s="25">
        <v>0.02</v>
      </c>
      <c r="K358" s="25">
        <v>0.0</v>
      </c>
      <c r="L358" s="24">
        <f t="shared" ref="L358:O358" si="722">IF(L357="", "", 1 + MROUND(IFERROR(MINIFS(OFFSET(L357, -1, 0, -$B358, 1), OFFSET(L357, -1, 0, -$B358, 1), "&gt;0"), L357) + (LN(1 + $Z358) ^ U$2) * U$3, 1))</f>
        <v>14285</v>
      </c>
      <c r="M358" s="24" t="str">
        <f t="shared" si="722"/>
        <v/>
      </c>
      <c r="N358" s="24" t="str">
        <f t="shared" si="722"/>
        <v/>
      </c>
      <c r="O358" s="24">
        <f t="shared" si="722"/>
        <v>634</v>
      </c>
      <c r="P358" s="24">
        <f t="shared" ref="P358:S358" si="723">L358*$Y$2</f>
        <v>3571.25</v>
      </c>
      <c r="Q358" s="24">
        <f t="shared" si="723"/>
        <v>0</v>
      </c>
      <c r="R358" s="24">
        <f t="shared" si="723"/>
        <v>0</v>
      </c>
      <c r="S358" s="24">
        <f t="shared" si="723"/>
        <v>158.5</v>
      </c>
      <c r="T358" s="24">
        <f t="shared" si="4"/>
        <v>7</v>
      </c>
      <c r="Z358" s="25">
        <f t="shared" si="12"/>
        <v>5.865301085</v>
      </c>
    </row>
    <row r="359">
      <c r="A359" s="16" t="s">
        <v>36</v>
      </c>
      <c r="B359" s="17">
        <v>58.0</v>
      </c>
      <c r="C359" s="24">
        <f t="shared" si="610"/>
        <v>4840.734926</v>
      </c>
      <c r="D359" s="25">
        <v>0.05</v>
      </c>
      <c r="E359" s="24">
        <f t="shared" si="611"/>
        <v>30.91788592</v>
      </c>
      <c r="F359" s="25">
        <v>0.02</v>
      </c>
      <c r="G359" s="24">
        <f t="shared" si="612"/>
        <v>726.1102388</v>
      </c>
      <c r="H359" s="25">
        <v>0.05</v>
      </c>
      <c r="I359" s="24">
        <f t="shared" si="613"/>
        <v>139.1304866</v>
      </c>
      <c r="J359" s="25">
        <v>0.02</v>
      </c>
      <c r="K359" s="25">
        <v>0.0</v>
      </c>
      <c r="L359" s="24">
        <f t="shared" ref="L359:O359" si="724">IF(L358="", "", 1 + MROUND(IFERROR(MINIFS(OFFSET(L358, -1, 0, -$B359, 1), OFFSET(L358, -1, 0, -$B359, 1), "&gt;0"), L358) + (LN(1 + $Z359) ^ U$2) * U$3, 1))</f>
        <v>14687</v>
      </c>
      <c r="M359" s="24" t="str">
        <f t="shared" si="724"/>
        <v/>
      </c>
      <c r="N359" s="24" t="str">
        <f t="shared" si="724"/>
        <v/>
      </c>
      <c r="O359" s="24">
        <f t="shared" si="724"/>
        <v>651</v>
      </c>
      <c r="P359" s="24">
        <f t="shared" ref="P359:S359" si="725">L359*$Y$2</f>
        <v>3671.75</v>
      </c>
      <c r="Q359" s="24">
        <f t="shared" si="725"/>
        <v>0</v>
      </c>
      <c r="R359" s="24">
        <f t="shared" si="725"/>
        <v>0</v>
      </c>
      <c r="S359" s="24">
        <f t="shared" si="725"/>
        <v>162.75</v>
      </c>
      <c r="T359" s="24">
        <f t="shared" si="4"/>
        <v>7</v>
      </c>
      <c r="Z359" s="25">
        <f t="shared" si="12"/>
        <v>6.105586623</v>
      </c>
    </row>
    <row r="360">
      <c r="A360" s="16" t="s">
        <v>36</v>
      </c>
      <c r="B360" s="17">
        <v>59.0</v>
      </c>
      <c r="C360" s="24">
        <f t="shared" si="610"/>
        <v>5082.771672</v>
      </c>
      <c r="D360" s="25">
        <v>0.05</v>
      </c>
      <c r="E360" s="24">
        <f t="shared" si="611"/>
        <v>31.53624364</v>
      </c>
      <c r="F360" s="25">
        <v>0.02</v>
      </c>
      <c r="G360" s="24">
        <f t="shared" si="612"/>
        <v>762.4157508</v>
      </c>
      <c r="H360" s="25">
        <v>0.05</v>
      </c>
      <c r="I360" s="24">
        <f t="shared" si="613"/>
        <v>141.9130964</v>
      </c>
      <c r="J360" s="25">
        <v>0.02</v>
      </c>
      <c r="K360" s="25">
        <v>0.0</v>
      </c>
      <c r="L360" s="24">
        <f t="shared" ref="L360:O360" si="726">IF(L359="", "", 1 + MROUND(IFERROR(MINIFS(OFFSET(L359, -1, 0, -$B360, 1), OFFSET(L359, -1, 0, -$B360, 1), "&gt;0"), L359) + (LN(1 + $Z360) ^ U$2) * U$3, 1))</f>
        <v>15093</v>
      </c>
      <c r="M360" s="24" t="str">
        <f t="shared" si="726"/>
        <v/>
      </c>
      <c r="N360" s="24" t="str">
        <f t="shared" si="726"/>
        <v/>
      </c>
      <c r="O360" s="24">
        <f t="shared" si="726"/>
        <v>668</v>
      </c>
      <c r="P360" s="24">
        <f t="shared" ref="P360:S360" si="727">L360*$Y$2</f>
        <v>3773.25</v>
      </c>
      <c r="Q360" s="24">
        <f t="shared" si="727"/>
        <v>0</v>
      </c>
      <c r="R360" s="24">
        <f t="shared" si="727"/>
        <v>0</v>
      </c>
      <c r="S360" s="24">
        <f t="shared" si="727"/>
        <v>167</v>
      </c>
      <c r="T360" s="24">
        <f t="shared" si="4"/>
        <v>7</v>
      </c>
      <c r="Z360" s="25">
        <f t="shared" si="12"/>
        <v>6.354282154</v>
      </c>
    </row>
    <row r="361">
      <c r="A361" s="16" t="s">
        <v>36</v>
      </c>
      <c r="B361" s="17">
        <v>60.0</v>
      </c>
      <c r="C361" s="24">
        <f t="shared" si="610"/>
        <v>5336.910255</v>
      </c>
      <c r="D361" s="25">
        <v>0.05</v>
      </c>
      <c r="E361" s="24">
        <f t="shared" si="611"/>
        <v>32.16696851</v>
      </c>
      <c r="F361" s="25">
        <v>0.02</v>
      </c>
      <c r="G361" s="24">
        <f t="shared" si="612"/>
        <v>800.5365383</v>
      </c>
      <c r="H361" s="25">
        <v>0.05</v>
      </c>
      <c r="I361" s="24">
        <f t="shared" si="613"/>
        <v>144.7513583</v>
      </c>
      <c r="J361" s="25">
        <v>0.02</v>
      </c>
      <c r="K361" s="25">
        <v>0.0</v>
      </c>
      <c r="L361" s="24">
        <f t="shared" ref="L361:O361" si="728">IF(L360="", "", 1 + MROUND(IFERROR(MINIFS(OFFSET(L360, -1, 0, -$B361, 1), OFFSET(L360, -1, 0, -$B361, 1), "&gt;0"), L360) + (LN(1 + $Z361) ^ U$2) * U$3, 1))</f>
        <v>15504</v>
      </c>
      <c r="M361" s="24" t="str">
        <f t="shared" si="728"/>
        <v/>
      </c>
      <c r="N361" s="24" t="str">
        <f t="shared" si="728"/>
        <v/>
      </c>
      <c r="O361" s="24">
        <f t="shared" si="728"/>
        <v>685</v>
      </c>
      <c r="P361" s="24">
        <f t="shared" ref="P361:S361" si="729">L361*$Y$2</f>
        <v>3876</v>
      </c>
      <c r="Q361" s="24">
        <f t="shared" si="729"/>
        <v>0</v>
      </c>
      <c r="R361" s="24">
        <f t="shared" si="729"/>
        <v>0</v>
      </c>
      <c r="S361" s="24">
        <f t="shared" si="729"/>
        <v>171.25</v>
      </c>
      <c r="T361" s="24">
        <f t="shared" si="4"/>
        <v>7</v>
      </c>
      <c r="Z361" s="25">
        <f t="shared" si="12"/>
        <v>6.61168203</v>
      </c>
    </row>
    <row r="362">
      <c r="A362" s="16" t="s">
        <v>36</v>
      </c>
      <c r="B362" s="17">
        <v>61.0</v>
      </c>
      <c r="C362" s="24">
        <f t="shared" si="610"/>
        <v>5603.755768</v>
      </c>
      <c r="D362" s="25">
        <v>0.05</v>
      </c>
      <c r="E362" s="24">
        <f t="shared" si="611"/>
        <v>32.81030788</v>
      </c>
      <c r="F362" s="25">
        <v>0.02</v>
      </c>
      <c r="G362" s="24">
        <f t="shared" si="612"/>
        <v>840.5633652</v>
      </c>
      <c r="H362" s="25">
        <v>0.05</v>
      </c>
      <c r="I362" s="24">
        <f t="shared" si="613"/>
        <v>147.6463855</v>
      </c>
      <c r="J362" s="25">
        <v>0.02</v>
      </c>
      <c r="K362" s="25">
        <v>0.0</v>
      </c>
      <c r="L362" s="24">
        <f t="shared" ref="L362:O362" si="730">IF(L361="", "", 1 + MROUND(IFERROR(MINIFS(OFFSET(L361, -1, 0, -$B362, 1), OFFSET(L361, -1, 0, -$B362, 1), "&gt;0"), L361) + (LN(1 + $Z362) ^ U$2) * U$3, 1))</f>
        <v>15920</v>
      </c>
      <c r="M362" s="24" t="str">
        <f t="shared" si="730"/>
        <v/>
      </c>
      <c r="N362" s="24" t="str">
        <f t="shared" si="730"/>
        <v/>
      </c>
      <c r="O362" s="24">
        <f t="shared" si="730"/>
        <v>703</v>
      </c>
      <c r="P362" s="24">
        <f t="shared" ref="P362:S362" si="731">L362*$Y$2</f>
        <v>3980</v>
      </c>
      <c r="Q362" s="24">
        <f t="shared" si="731"/>
        <v>0</v>
      </c>
      <c r="R362" s="24">
        <f t="shared" si="731"/>
        <v>0</v>
      </c>
      <c r="S362" s="24">
        <f t="shared" si="731"/>
        <v>175.75</v>
      </c>
      <c r="T362" s="24">
        <f t="shared" si="4"/>
        <v>7</v>
      </c>
      <c r="Z362" s="25">
        <f t="shared" si="12"/>
        <v>6.878090901</v>
      </c>
    </row>
    <row r="363">
      <c r="A363" s="16" t="s">
        <v>36</v>
      </c>
      <c r="B363" s="17">
        <v>62.0</v>
      </c>
      <c r="C363" s="24">
        <f t="shared" si="610"/>
        <v>5883.943557</v>
      </c>
      <c r="D363" s="25">
        <v>0.05</v>
      </c>
      <c r="E363" s="24">
        <f t="shared" si="611"/>
        <v>33.46651404</v>
      </c>
      <c r="F363" s="25">
        <v>0.02</v>
      </c>
      <c r="G363" s="24">
        <f t="shared" si="612"/>
        <v>882.5915335</v>
      </c>
      <c r="H363" s="25">
        <v>0.05</v>
      </c>
      <c r="I363" s="24">
        <f t="shared" si="613"/>
        <v>150.5993132</v>
      </c>
      <c r="J363" s="25">
        <v>0.02</v>
      </c>
      <c r="K363" s="25">
        <v>0.0</v>
      </c>
      <c r="L363" s="24">
        <f t="shared" ref="L363:O363" si="732">IF(L362="", "", 1 + MROUND(IFERROR(MINIFS(OFFSET(L362, -1, 0, -$B363, 1), OFFSET(L362, -1, 0, -$B363, 1), "&gt;0"), L362) + (LN(1 + $Z363) ^ U$2) * U$3, 1))</f>
        <v>16341</v>
      </c>
      <c r="M363" s="24" t="str">
        <f t="shared" si="732"/>
        <v/>
      </c>
      <c r="N363" s="24" t="str">
        <f t="shared" si="732"/>
        <v/>
      </c>
      <c r="O363" s="24">
        <f t="shared" si="732"/>
        <v>721</v>
      </c>
      <c r="P363" s="24">
        <f t="shared" ref="P363:S363" si="733">L363*$Y$2</f>
        <v>4085.25</v>
      </c>
      <c r="Q363" s="24">
        <f t="shared" si="733"/>
        <v>0</v>
      </c>
      <c r="R363" s="24">
        <f t="shared" si="733"/>
        <v>0</v>
      </c>
      <c r="S363" s="24">
        <f t="shared" si="733"/>
        <v>180.25</v>
      </c>
      <c r="T363" s="24">
        <f t="shared" si="4"/>
        <v>7</v>
      </c>
      <c r="Z363" s="25">
        <f t="shared" si="12"/>
        <v>7.153824082</v>
      </c>
    </row>
    <row r="364">
      <c r="A364" s="16" t="s">
        <v>36</v>
      </c>
      <c r="B364" s="17">
        <v>63.0</v>
      </c>
      <c r="C364" s="24">
        <f t="shared" si="610"/>
        <v>6178.140734</v>
      </c>
      <c r="D364" s="25">
        <v>0.05</v>
      </c>
      <c r="E364" s="24">
        <f t="shared" si="611"/>
        <v>34.13584432</v>
      </c>
      <c r="F364" s="25">
        <v>0.02</v>
      </c>
      <c r="G364" s="24">
        <f t="shared" si="612"/>
        <v>926.7211102</v>
      </c>
      <c r="H364" s="25">
        <v>0.05</v>
      </c>
      <c r="I364" s="24">
        <f t="shared" si="613"/>
        <v>153.6112994</v>
      </c>
      <c r="J364" s="25">
        <v>0.02</v>
      </c>
      <c r="K364" s="25">
        <v>0.0</v>
      </c>
      <c r="L364" s="24">
        <f t="shared" ref="L364:O364" si="734">IF(L363="", "", 1 + MROUND(IFERROR(MINIFS(OFFSET(L363, -1, 0, -$B364, 1), OFFSET(L363, -1, 0, -$B364, 1), "&gt;0"), L363) + (LN(1 + $Z364) ^ U$2) * U$3, 1))</f>
        <v>16767</v>
      </c>
      <c r="M364" s="24" t="str">
        <f t="shared" si="734"/>
        <v/>
      </c>
      <c r="N364" s="24" t="str">
        <f t="shared" si="734"/>
        <v/>
      </c>
      <c r="O364" s="24">
        <f t="shared" si="734"/>
        <v>739</v>
      </c>
      <c r="P364" s="24">
        <f t="shared" ref="P364:S364" si="735">L364*$Y$2</f>
        <v>4191.75</v>
      </c>
      <c r="Q364" s="24">
        <f t="shared" si="735"/>
        <v>0</v>
      </c>
      <c r="R364" s="24">
        <f t="shared" si="735"/>
        <v>0</v>
      </c>
      <c r="S364" s="24">
        <f t="shared" si="735"/>
        <v>184.75</v>
      </c>
      <c r="T364" s="24">
        <f t="shared" si="4"/>
        <v>7</v>
      </c>
      <c r="Z364" s="25">
        <f t="shared" si="12"/>
        <v>7.439207925</v>
      </c>
    </row>
    <row r="365">
      <c r="A365" s="16" t="s">
        <v>36</v>
      </c>
      <c r="B365" s="17">
        <v>64.0</v>
      </c>
      <c r="C365" s="24">
        <f t="shared" si="610"/>
        <v>6487.047771</v>
      </c>
      <c r="D365" s="25">
        <v>0.05</v>
      </c>
      <c r="E365" s="24">
        <f t="shared" si="611"/>
        <v>34.81856121</v>
      </c>
      <c r="F365" s="25">
        <v>0.02</v>
      </c>
      <c r="G365" s="24">
        <f t="shared" si="612"/>
        <v>973.0571657</v>
      </c>
      <c r="H365" s="25">
        <v>0.05</v>
      </c>
      <c r="I365" s="24">
        <f t="shared" si="613"/>
        <v>156.6835254</v>
      </c>
      <c r="J365" s="25">
        <v>0.02</v>
      </c>
      <c r="K365" s="25">
        <v>0.0</v>
      </c>
      <c r="L365" s="24">
        <f t="shared" ref="L365:O365" si="736">IF(L364="", "", 1 + MROUND(IFERROR(MINIFS(OFFSET(L364, -1, 0, -$B365, 1), OFFSET(L364, -1, 0, -$B365, 1), "&gt;0"), L364) + (LN(1 + $Z365) ^ U$2) * U$3, 1))</f>
        <v>17198</v>
      </c>
      <c r="M365" s="24" t="str">
        <f t="shared" si="736"/>
        <v/>
      </c>
      <c r="N365" s="24" t="str">
        <f t="shared" si="736"/>
        <v/>
      </c>
      <c r="O365" s="24">
        <f t="shared" si="736"/>
        <v>757</v>
      </c>
      <c r="P365" s="24">
        <f t="shared" ref="P365:S365" si="737">L365*$Y$2</f>
        <v>4299.5</v>
      </c>
      <c r="Q365" s="24">
        <f t="shared" si="737"/>
        <v>0</v>
      </c>
      <c r="R365" s="24">
        <f t="shared" si="737"/>
        <v>0</v>
      </c>
      <c r="S365" s="24">
        <f t="shared" si="737"/>
        <v>189.25</v>
      </c>
      <c r="T365" s="24">
        <f t="shared" si="4"/>
        <v>7</v>
      </c>
      <c r="Z365" s="25">
        <f t="shared" si="12"/>
        <v>7.734580203</v>
      </c>
    </row>
    <row r="366">
      <c r="A366" s="16" t="s">
        <v>36</v>
      </c>
      <c r="B366" s="17">
        <v>65.0</v>
      </c>
      <c r="C366" s="24">
        <f t="shared" si="610"/>
        <v>6811.40016</v>
      </c>
      <c r="D366" s="25">
        <v>0.05</v>
      </c>
      <c r="E366" s="24">
        <f t="shared" si="611"/>
        <v>35.51493243</v>
      </c>
      <c r="F366" s="25">
        <v>0.02</v>
      </c>
      <c r="G366" s="24">
        <f t="shared" si="612"/>
        <v>1021.710024</v>
      </c>
      <c r="H366" s="25">
        <v>0.05</v>
      </c>
      <c r="I366" s="24">
        <f t="shared" si="613"/>
        <v>159.8171959</v>
      </c>
      <c r="J366" s="25">
        <v>0.02</v>
      </c>
      <c r="K366" s="25">
        <v>0.0</v>
      </c>
      <c r="L366" s="24">
        <f t="shared" ref="L366:O366" si="738">IF(L365="", "", 1 + MROUND(IFERROR(MINIFS(OFFSET(L365, -1, 0, -$B366, 1), OFFSET(L365, -1, 0, -$B366, 1), "&gt;0"), L365) + (LN(1 + $Z366) ^ U$2) * U$3, 1))</f>
        <v>17633</v>
      </c>
      <c r="M366" s="24" t="str">
        <f t="shared" si="738"/>
        <v/>
      </c>
      <c r="N366" s="24" t="str">
        <f t="shared" si="738"/>
        <v/>
      </c>
      <c r="O366" s="24">
        <f t="shared" si="738"/>
        <v>775</v>
      </c>
      <c r="P366" s="24">
        <f t="shared" ref="P366:S366" si="739">L366*$Y$2</f>
        <v>4408.25</v>
      </c>
      <c r="Q366" s="24">
        <f t="shared" si="739"/>
        <v>0</v>
      </c>
      <c r="R366" s="24">
        <f t="shared" si="739"/>
        <v>0</v>
      </c>
      <c r="S366" s="24">
        <f t="shared" si="739"/>
        <v>193.75</v>
      </c>
      <c r="T366" s="24">
        <f t="shared" si="4"/>
        <v>8</v>
      </c>
      <c r="Z366" s="25">
        <f t="shared" si="12"/>
        <v>8.04029051</v>
      </c>
    </row>
    <row r="367">
      <c r="A367" s="16" t="s">
        <v>36</v>
      </c>
      <c r="B367" s="17">
        <v>66.0</v>
      </c>
      <c r="C367" s="24">
        <f t="shared" si="610"/>
        <v>7151.970168</v>
      </c>
      <c r="D367" s="25">
        <v>0.05</v>
      </c>
      <c r="E367" s="24">
        <f t="shared" si="611"/>
        <v>36.22523108</v>
      </c>
      <c r="F367" s="25">
        <v>0.02</v>
      </c>
      <c r="G367" s="24">
        <f t="shared" si="612"/>
        <v>1072.795525</v>
      </c>
      <c r="H367" s="25">
        <v>0.05</v>
      </c>
      <c r="I367" s="24">
        <f t="shared" si="613"/>
        <v>163.0135399</v>
      </c>
      <c r="J367" s="25">
        <v>0.02</v>
      </c>
      <c r="K367" s="25">
        <v>0.0</v>
      </c>
      <c r="L367" s="24">
        <f t="shared" ref="L367:O367" si="740">IF(L366="", "", 1 + MROUND(IFERROR(MINIFS(OFFSET(L366, -1, 0, -$B367, 1), OFFSET(L366, -1, 0, -$B367, 1), "&gt;0"), L366) + (LN(1 + $Z367) ^ U$2) * U$3, 1))</f>
        <v>18073</v>
      </c>
      <c r="M367" s="24" t="str">
        <f t="shared" si="740"/>
        <v/>
      </c>
      <c r="N367" s="24" t="str">
        <f t="shared" si="740"/>
        <v/>
      </c>
      <c r="O367" s="24">
        <f t="shared" si="740"/>
        <v>794</v>
      </c>
      <c r="P367" s="24">
        <f t="shared" ref="P367:S367" si="741">L367*$Y$2</f>
        <v>4518.25</v>
      </c>
      <c r="Q367" s="24">
        <f t="shared" si="741"/>
        <v>0</v>
      </c>
      <c r="R367" s="24">
        <f t="shared" si="741"/>
        <v>0</v>
      </c>
      <c r="S367" s="24">
        <f t="shared" si="741"/>
        <v>198.5</v>
      </c>
      <c r="T367" s="24">
        <f t="shared" si="4"/>
        <v>8</v>
      </c>
      <c r="Z367" s="25">
        <f t="shared" si="12"/>
        <v>8.356700677</v>
      </c>
    </row>
    <row r="368">
      <c r="A368" s="16" t="s">
        <v>36</v>
      </c>
      <c r="B368" s="17">
        <v>67.0</v>
      </c>
      <c r="C368" s="24">
        <f t="shared" si="610"/>
        <v>7509.568676</v>
      </c>
      <c r="D368" s="25">
        <v>0.05</v>
      </c>
      <c r="E368" s="24">
        <f t="shared" si="611"/>
        <v>36.9497357</v>
      </c>
      <c r="F368" s="25">
        <v>0.02</v>
      </c>
      <c r="G368" s="24">
        <f t="shared" si="612"/>
        <v>1126.435301</v>
      </c>
      <c r="H368" s="25">
        <v>0.05</v>
      </c>
      <c r="I368" s="24">
        <f t="shared" si="613"/>
        <v>166.2738107</v>
      </c>
      <c r="J368" s="25">
        <v>0.02</v>
      </c>
      <c r="K368" s="25">
        <v>0.0</v>
      </c>
      <c r="L368" s="24">
        <f t="shared" ref="L368:O368" si="742">IF(L367="", "", 1 + MROUND(IFERROR(MINIFS(OFFSET(L367, -1, 0, -$B368, 1), OFFSET(L367, -1, 0, -$B368, 1), "&gt;0"), L367) + (LN(1 + $Z368) ^ U$2) * U$3, 1))</f>
        <v>18518</v>
      </c>
      <c r="M368" s="24" t="str">
        <f t="shared" si="742"/>
        <v/>
      </c>
      <c r="N368" s="24" t="str">
        <f t="shared" si="742"/>
        <v/>
      </c>
      <c r="O368" s="24">
        <f t="shared" si="742"/>
        <v>813</v>
      </c>
      <c r="P368" s="24">
        <f t="shared" ref="P368:S368" si="743">L368*$Y$2</f>
        <v>4629.5</v>
      </c>
      <c r="Q368" s="24">
        <f t="shared" si="743"/>
        <v>0</v>
      </c>
      <c r="R368" s="24">
        <f t="shared" si="743"/>
        <v>0</v>
      </c>
      <c r="S368" s="24">
        <f t="shared" si="743"/>
        <v>203.25</v>
      </c>
      <c r="T368" s="24">
        <f t="shared" si="4"/>
        <v>8</v>
      </c>
      <c r="Z368" s="25">
        <f t="shared" si="12"/>
        <v>8.684185201</v>
      </c>
    </row>
    <row r="369">
      <c r="A369" s="16" t="s">
        <v>36</v>
      </c>
      <c r="B369" s="17">
        <v>68.0</v>
      </c>
      <c r="C369" s="24">
        <f t="shared" si="610"/>
        <v>7885.04711</v>
      </c>
      <c r="D369" s="25">
        <v>0.05</v>
      </c>
      <c r="E369" s="24">
        <f t="shared" si="611"/>
        <v>37.68873042</v>
      </c>
      <c r="F369" s="25">
        <v>0.02</v>
      </c>
      <c r="G369" s="24">
        <f t="shared" si="612"/>
        <v>1182.757066</v>
      </c>
      <c r="H369" s="25">
        <v>0.05</v>
      </c>
      <c r="I369" s="24">
        <f t="shared" si="613"/>
        <v>169.5992869</v>
      </c>
      <c r="J369" s="25">
        <v>0.02</v>
      </c>
      <c r="K369" s="25">
        <v>0.0</v>
      </c>
      <c r="L369" s="24">
        <f t="shared" ref="L369:O369" si="744">IF(L368="", "", 1 + MROUND(IFERROR(MINIFS(OFFSET(L368, -1, 0, -$B369, 1), OFFSET(L368, -1, 0, -$B369, 1), "&gt;0"), L368) + (LN(1 + $Z369) ^ U$2) * U$3, 1))</f>
        <v>18968</v>
      </c>
      <c r="M369" s="24" t="str">
        <f t="shared" si="744"/>
        <v/>
      </c>
      <c r="N369" s="24" t="str">
        <f t="shared" si="744"/>
        <v/>
      </c>
      <c r="O369" s="24">
        <f t="shared" si="744"/>
        <v>832</v>
      </c>
      <c r="P369" s="24">
        <f t="shared" ref="P369:S369" si="745">L369*$Y$2</f>
        <v>4742</v>
      </c>
      <c r="Q369" s="24">
        <f t="shared" si="745"/>
        <v>0</v>
      </c>
      <c r="R369" s="24">
        <f t="shared" si="745"/>
        <v>0</v>
      </c>
      <c r="S369" s="24">
        <f t="shared" si="745"/>
        <v>208</v>
      </c>
      <c r="T369" s="24">
        <f t="shared" si="4"/>
        <v>8</v>
      </c>
      <c r="Z369" s="25">
        <f t="shared" si="12"/>
        <v>9.023131683</v>
      </c>
    </row>
    <row r="370">
      <c r="A370" s="16" t="s">
        <v>36</v>
      </c>
      <c r="B370" s="17">
        <v>69.0</v>
      </c>
      <c r="C370" s="24">
        <f t="shared" si="610"/>
        <v>8279.299465</v>
      </c>
      <c r="D370" s="25">
        <v>0.05</v>
      </c>
      <c r="E370" s="24">
        <f t="shared" si="611"/>
        <v>38.44250503</v>
      </c>
      <c r="F370" s="25">
        <v>0.02</v>
      </c>
      <c r="G370" s="24">
        <f t="shared" si="612"/>
        <v>1241.89492</v>
      </c>
      <c r="H370" s="25">
        <v>0.05</v>
      </c>
      <c r="I370" s="24">
        <f t="shared" si="613"/>
        <v>172.9912726</v>
      </c>
      <c r="J370" s="25">
        <v>0.02</v>
      </c>
      <c r="K370" s="25">
        <v>0.0</v>
      </c>
      <c r="L370" s="24">
        <f t="shared" ref="L370:O370" si="746">IF(L369="", "", 1 + MROUND(IFERROR(MINIFS(OFFSET(L369, -1, 0, -$B370, 1), OFFSET(L369, -1, 0, -$B370, 1), "&gt;0"), L369) + (LN(1 + $Z370) ^ U$2) * U$3, 1))</f>
        <v>19422</v>
      </c>
      <c r="M370" s="24" t="str">
        <f t="shared" si="746"/>
        <v/>
      </c>
      <c r="N370" s="24" t="str">
        <f t="shared" si="746"/>
        <v/>
      </c>
      <c r="O370" s="24">
        <f t="shared" si="746"/>
        <v>851</v>
      </c>
      <c r="P370" s="24">
        <f t="shared" ref="P370:S370" si="747">L370*$Y$2</f>
        <v>4855.5</v>
      </c>
      <c r="Q370" s="24">
        <f t="shared" si="747"/>
        <v>0</v>
      </c>
      <c r="R370" s="24">
        <f t="shared" si="747"/>
        <v>0</v>
      </c>
      <c r="S370" s="24">
        <f t="shared" si="747"/>
        <v>212.75</v>
      </c>
      <c r="T370" s="24">
        <f t="shared" si="4"/>
        <v>8</v>
      </c>
      <c r="Z370" s="25">
        <f t="shared" si="12"/>
        <v>9.373941292</v>
      </c>
    </row>
    <row r="371">
      <c r="A371" s="16" t="s">
        <v>36</v>
      </c>
      <c r="B371" s="17">
        <v>70.0</v>
      </c>
      <c r="C371" s="24">
        <f t="shared" si="610"/>
        <v>8693.264439</v>
      </c>
      <c r="D371" s="25">
        <v>0.05</v>
      </c>
      <c r="E371" s="24">
        <f t="shared" si="611"/>
        <v>39.21135513</v>
      </c>
      <c r="F371" s="25">
        <v>0.02</v>
      </c>
      <c r="G371" s="24">
        <f t="shared" si="612"/>
        <v>1303.989666</v>
      </c>
      <c r="H371" s="25">
        <v>0.05</v>
      </c>
      <c r="I371" s="24">
        <f t="shared" si="613"/>
        <v>176.4510981</v>
      </c>
      <c r="J371" s="25">
        <v>0.02</v>
      </c>
      <c r="K371" s="25">
        <v>0.0</v>
      </c>
      <c r="L371" s="24">
        <f t="shared" ref="L371:O371" si="748">IF(L370="", "", 1 + MROUND(IFERROR(MINIFS(OFFSET(L370, -1, 0, -$B371, 1), OFFSET(L370, -1, 0, -$B371, 1), "&gt;0"), L370) + (LN(1 + $Z371) ^ U$2) * U$3, 1))</f>
        <v>19881</v>
      </c>
      <c r="M371" s="24" t="str">
        <f t="shared" si="748"/>
        <v/>
      </c>
      <c r="N371" s="24" t="str">
        <f t="shared" si="748"/>
        <v/>
      </c>
      <c r="O371" s="24">
        <f t="shared" si="748"/>
        <v>870</v>
      </c>
      <c r="P371" s="24">
        <f t="shared" ref="P371:S371" si="749">L371*$Y$2</f>
        <v>4970.25</v>
      </c>
      <c r="Q371" s="24">
        <f t="shared" si="749"/>
        <v>0</v>
      </c>
      <c r="R371" s="24">
        <f t="shared" si="749"/>
        <v>0</v>
      </c>
      <c r="S371" s="24">
        <f t="shared" si="749"/>
        <v>217.5</v>
      </c>
      <c r="T371" s="24">
        <f t="shared" si="4"/>
        <v>8</v>
      </c>
      <c r="Z371" s="25">
        <f t="shared" si="12"/>
        <v>9.737029237</v>
      </c>
    </row>
    <row r="372">
      <c r="A372" s="16" t="s">
        <v>36</v>
      </c>
      <c r="B372" s="17">
        <v>71.0</v>
      </c>
      <c r="C372" s="24">
        <f t="shared" si="610"/>
        <v>9127.927661</v>
      </c>
      <c r="D372" s="25">
        <v>0.05</v>
      </c>
      <c r="E372" s="24">
        <f t="shared" si="611"/>
        <v>39.99558223</v>
      </c>
      <c r="F372" s="25">
        <v>0.02</v>
      </c>
      <c r="G372" s="24">
        <f t="shared" si="612"/>
        <v>1369.189149</v>
      </c>
      <c r="H372" s="25">
        <v>0.05</v>
      </c>
      <c r="I372" s="24">
        <f t="shared" si="613"/>
        <v>179.98012</v>
      </c>
      <c r="J372" s="25">
        <v>0.02</v>
      </c>
      <c r="K372" s="25">
        <v>0.0</v>
      </c>
      <c r="L372" s="24">
        <f t="shared" ref="L372:O372" si="750">IF(L371="", "", 1 + MROUND(IFERROR(MINIFS(OFFSET(L371, -1, 0, -$B372, 1), OFFSET(L371, -1, 0, -$B372, 1), "&gt;0"), L371) + (LN(1 + $Z372) ^ U$2) * U$3, 1))</f>
        <v>20345</v>
      </c>
      <c r="M372" s="24" t="str">
        <f t="shared" si="750"/>
        <v/>
      </c>
      <c r="N372" s="24" t="str">
        <f t="shared" si="750"/>
        <v/>
      </c>
      <c r="O372" s="24">
        <f t="shared" si="750"/>
        <v>890</v>
      </c>
      <c r="P372" s="24">
        <f t="shared" ref="P372:S372" si="751">L372*$Y$2</f>
        <v>5086.25</v>
      </c>
      <c r="Q372" s="24">
        <f t="shared" si="751"/>
        <v>0</v>
      </c>
      <c r="R372" s="24">
        <f t="shared" si="751"/>
        <v>0</v>
      </c>
      <c r="S372" s="24">
        <f t="shared" si="751"/>
        <v>222.5</v>
      </c>
      <c r="T372" s="24">
        <f t="shared" si="4"/>
        <v>8</v>
      </c>
      <c r="Z372" s="25">
        <f t="shared" si="12"/>
        <v>10.11282526</v>
      </c>
    </row>
    <row r="373">
      <c r="A373" s="16" t="s">
        <v>36</v>
      </c>
      <c r="B373" s="17">
        <v>72.0</v>
      </c>
      <c r="C373" s="24">
        <f t="shared" si="610"/>
        <v>9584.324044</v>
      </c>
      <c r="D373" s="25">
        <v>0.05</v>
      </c>
      <c r="E373" s="24">
        <f t="shared" si="611"/>
        <v>40.79549387</v>
      </c>
      <c r="F373" s="25">
        <v>0.02</v>
      </c>
      <c r="G373" s="24">
        <f t="shared" si="612"/>
        <v>1437.648607</v>
      </c>
      <c r="H373" s="25">
        <v>0.05</v>
      </c>
      <c r="I373" s="24">
        <f t="shared" si="613"/>
        <v>183.5797224</v>
      </c>
      <c r="J373" s="25">
        <v>0.02</v>
      </c>
      <c r="K373" s="25">
        <v>0.0</v>
      </c>
      <c r="L373" s="24">
        <f t="shared" ref="L373:O373" si="752">IF(L372="", "", 1 + MROUND(IFERROR(MINIFS(OFFSET(L372, -1, 0, -$B373, 1), OFFSET(L372, -1, 0, -$B373, 1), "&gt;0"), L372) + (LN(1 + $Z373) ^ U$2) * U$3, 1))</f>
        <v>20813</v>
      </c>
      <c r="M373" s="24" t="str">
        <f t="shared" si="752"/>
        <v/>
      </c>
      <c r="N373" s="24" t="str">
        <f t="shared" si="752"/>
        <v/>
      </c>
      <c r="O373" s="24">
        <f t="shared" si="752"/>
        <v>910</v>
      </c>
      <c r="P373" s="24">
        <f t="shared" ref="P373:S373" si="753">L373*$Y$2</f>
        <v>5203.25</v>
      </c>
      <c r="Q373" s="24">
        <f t="shared" si="753"/>
        <v>0</v>
      </c>
      <c r="R373" s="24">
        <f t="shared" si="753"/>
        <v>0</v>
      </c>
      <c r="S373" s="24">
        <f t="shared" si="753"/>
        <v>227.5</v>
      </c>
      <c r="T373" s="24">
        <f t="shared" si="4"/>
        <v>8</v>
      </c>
      <c r="Z373" s="25">
        <f t="shared" si="12"/>
        <v>10.50177414</v>
      </c>
    </row>
    <row r="374">
      <c r="A374" s="16" t="s">
        <v>36</v>
      </c>
      <c r="B374" s="17">
        <v>73.0</v>
      </c>
      <c r="C374" s="24">
        <f t="shared" si="610"/>
        <v>10063.54025</v>
      </c>
      <c r="D374" s="25">
        <v>0.05</v>
      </c>
      <c r="E374" s="24">
        <f t="shared" si="611"/>
        <v>41.61140375</v>
      </c>
      <c r="F374" s="25">
        <v>0.02</v>
      </c>
      <c r="G374" s="24">
        <f t="shared" si="612"/>
        <v>1509.531037</v>
      </c>
      <c r="H374" s="25">
        <v>0.05</v>
      </c>
      <c r="I374" s="24">
        <f t="shared" si="613"/>
        <v>187.2513169</v>
      </c>
      <c r="J374" s="25">
        <v>0.02</v>
      </c>
      <c r="K374" s="25">
        <v>0.0</v>
      </c>
      <c r="L374" s="24">
        <f t="shared" ref="L374:O374" si="754">IF(L373="", "", 1 + MROUND(IFERROR(MINIFS(OFFSET(L373, -1, 0, -$B374, 1), OFFSET(L373, -1, 0, -$B374, 1), "&gt;0"), L373) + (LN(1 + $Z374) ^ U$2) * U$3, 1))</f>
        <v>21286</v>
      </c>
      <c r="M374" s="24" t="str">
        <f t="shared" si="754"/>
        <v/>
      </c>
      <c r="N374" s="24" t="str">
        <f t="shared" si="754"/>
        <v/>
      </c>
      <c r="O374" s="24">
        <f t="shared" si="754"/>
        <v>930</v>
      </c>
      <c r="P374" s="24">
        <f t="shared" ref="P374:S374" si="755">L374*$Y$2</f>
        <v>5321.5</v>
      </c>
      <c r="Q374" s="24">
        <f t="shared" si="755"/>
        <v>0</v>
      </c>
      <c r="R374" s="24">
        <f t="shared" si="755"/>
        <v>0</v>
      </c>
      <c r="S374" s="24">
        <f t="shared" si="755"/>
        <v>232.5</v>
      </c>
      <c r="T374" s="24">
        <f t="shared" si="4"/>
        <v>8</v>
      </c>
      <c r="Z374" s="25">
        <f t="shared" si="12"/>
        <v>10.90433624</v>
      </c>
    </row>
    <row r="375">
      <c r="A375" s="16" t="s">
        <v>36</v>
      </c>
      <c r="B375" s="17">
        <v>74.0</v>
      </c>
      <c r="C375" s="24">
        <f t="shared" si="610"/>
        <v>10566.71726</v>
      </c>
      <c r="D375" s="25">
        <v>0.05</v>
      </c>
      <c r="E375" s="24">
        <f t="shared" si="611"/>
        <v>42.44363183</v>
      </c>
      <c r="F375" s="25">
        <v>0.02</v>
      </c>
      <c r="G375" s="24">
        <f t="shared" si="612"/>
        <v>1585.007589</v>
      </c>
      <c r="H375" s="25">
        <v>0.05</v>
      </c>
      <c r="I375" s="24">
        <f t="shared" si="613"/>
        <v>190.9963432</v>
      </c>
      <c r="J375" s="25">
        <v>0.02</v>
      </c>
      <c r="K375" s="25">
        <v>0.0</v>
      </c>
      <c r="L375" s="24">
        <f t="shared" ref="L375:O375" si="756">IF(L374="", "", 1 + MROUND(IFERROR(MINIFS(OFFSET(L374, -1, 0, -$B375, 1), OFFSET(L374, -1, 0, -$B375, 1), "&gt;0"), L374) + (LN(1 + $Z375) ^ U$2) * U$3, 1))</f>
        <v>21763</v>
      </c>
      <c r="M375" s="24" t="str">
        <f t="shared" si="756"/>
        <v/>
      </c>
      <c r="N375" s="24" t="str">
        <f t="shared" si="756"/>
        <v/>
      </c>
      <c r="O375" s="24">
        <f t="shared" si="756"/>
        <v>950</v>
      </c>
      <c r="P375" s="24">
        <f t="shared" ref="P375:S375" si="757">L375*$Y$2</f>
        <v>5440.75</v>
      </c>
      <c r="Q375" s="24">
        <f t="shared" si="757"/>
        <v>0</v>
      </c>
      <c r="R375" s="24">
        <f t="shared" si="757"/>
        <v>0</v>
      </c>
      <c r="S375" s="24">
        <f t="shared" si="757"/>
        <v>237.5</v>
      </c>
      <c r="T375" s="24">
        <f t="shared" si="4"/>
        <v>8</v>
      </c>
      <c r="Z375" s="25">
        <f t="shared" si="12"/>
        <v>11.32098801</v>
      </c>
    </row>
    <row r="376">
      <c r="A376" s="16" t="s">
        <v>36</v>
      </c>
      <c r="B376" s="17">
        <v>75.0</v>
      </c>
      <c r="C376" s="24">
        <f t="shared" si="610"/>
        <v>11095.05312</v>
      </c>
      <c r="D376" s="25">
        <v>0.05</v>
      </c>
      <c r="E376" s="24">
        <f t="shared" si="611"/>
        <v>43.29250446</v>
      </c>
      <c r="F376" s="25">
        <v>0.02</v>
      </c>
      <c r="G376" s="24">
        <f t="shared" si="612"/>
        <v>1664.257968</v>
      </c>
      <c r="H376" s="25">
        <v>0.05</v>
      </c>
      <c r="I376" s="24">
        <f t="shared" si="613"/>
        <v>194.8162701</v>
      </c>
      <c r="J376" s="25">
        <v>0.02</v>
      </c>
      <c r="K376" s="25">
        <v>0.0</v>
      </c>
      <c r="L376" s="24">
        <f t="shared" ref="L376:O376" si="758">IF(L375="", "", 1 + MROUND(IFERROR(MINIFS(OFFSET(L375, -1, 0, -$B376, 1), OFFSET(L375, -1, 0, -$B376, 1), "&gt;0"), L375) + (LN(1 + $Z376) ^ U$2) * U$3, 1))</f>
        <v>22245</v>
      </c>
      <c r="M376" s="24" t="str">
        <f t="shared" si="758"/>
        <v/>
      </c>
      <c r="N376" s="24" t="str">
        <f t="shared" si="758"/>
        <v/>
      </c>
      <c r="O376" s="24">
        <f t="shared" si="758"/>
        <v>970</v>
      </c>
      <c r="P376" s="24">
        <f t="shared" ref="P376:S376" si="759">L376*$Y$2</f>
        <v>5561.25</v>
      </c>
      <c r="Q376" s="24">
        <f t="shared" si="759"/>
        <v>0</v>
      </c>
      <c r="R376" s="24">
        <f t="shared" si="759"/>
        <v>0</v>
      </c>
      <c r="S376" s="24">
        <f t="shared" si="759"/>
        <v>242.5</v>
      </c>
      <c r="T376" s="24">
        <f t="shared" si="4"/>
        <v>9</v>
      </c>
      <c r="Z376" s="25">
        <f t="shared" si="12"/>
        <v>11.75222259</v>
      </c>
    </row>
    <row r="377">
      <c r="A377" s="16" t="s">
        <v>36</v>
      </c>
      <c r="B377" s="17">
        <v>76.0</v>
      </c>
      <c r="C377" s="24">
        <f t="shared" si="610"/>
        <v>11649.80578</v>
      </c>
      <c r="D377" s="25">
        <v>0.05</v>
      </c>
      <c r="E377" s="24">
        <f t="shared" si="611"/>
        <v>44.15835455</v>
      </c>
      <c r="F377" s="25">
        <v>0.02</v>
      </c>
      <c r="G377" s="24">
        <f t="shared" si="612"/>
        <v>1747.470867</v>
      </c>
      <c r="H377" s="25">
        <v>0.05</v>
      </c>
      <c r="I377" s="24">
        <f t="shared" si="613"/>
        <v>198.7125955</v>
      </c>
      <c r="J377" s="25">
        <v>0.02</v>
      </c>
      <c r="K377" s="25">
        <v>0.0</v>
      </c>
      <c r="L377" s="24">
        <f t="shared" ref="L377:O377" si="760">IF(L376="", "", 1 + MROUND(IFERROR(MINIFS(OFFSET(L376, -1, 0, -$B377, 1), OFFSET(L376, -1, 0, -$B377, 1), "&gt;0"), L376) + (LN(1 + $Z377) ^ U$2) * U$3, 1))</f>
        <v>22731</v>
      </c>
      <c r="M377" s="24" t="str">
        <f t="shared" si="760"/>
        <v/>
      </c>
      <c r="N377" s="24" t="str">
        <f t="shared" si="760"/>
        <v/>
      </c>
      <c r="O377" s="24">
        <f t="shared" si="760"/>
        <v>990</v>
      </c>
      <c r="P377" s="24">
        <f t="shared" ref="P377:S377" si="761">L377*$Y$2</f>
        <v>5682.75</v>
      </c>
      <c r="Q377" s="24">
        <f t="shared" si="761"/>
        <v>0</v>
      </c>
      <c r="R377" s="24">
        <f t="shared" si="761"/>
        <v>0</v>
      </c>
      <c r="S377" s="24">
        <f t="shared" si="761"/>
        <v>247.5</v>
      </c>
      <c r="T377" s="24">
        <f t="shared" si="4"/>
        <v>9</v>
      </c>
      <c r="Z377" s="25">
        <f t="shared" si="12"/>
        <v>12.19855038</v>
      </c>
    </row>
    <row r="378">
      <c r="A378" s="16" t="s">
        <v>36</v>
      </c>
      <c r="B378" s="17">
        <v>77.0</v>
      </c>
      <c r="C378" s="24">
        <f t="shared" si="610"/>
        <v>12232.29607</v>
      </c>
      <c r="D378" s="25">
        <v>0.05</v>
      </c>
      <c r="E378" s="24">
        <f t="shared" si="611"/>
        <v>45.04152164</v>
      </c>
      <c r="F378" s="25">
        <v>0.02</v>
      </c>
      <c r="G378" s="24">
        <f t="shared" si="612"/>
        <v>1834.84441</v>
      </c>
      <c r="H378" s="25">
        <v>0.05</v>
      </c>
      <c r="I378" s="24">
        <f t="shared" si="613"/>
        <v>202.6868474</v>
      </c>
      <c r="J378" s="25">
        <v>0.02</v>
      </c>
      <c r="K378" s="25">
        <v>0.0</v>
      </c>
      <c r="L378" s="24">
        <f t="shared" ref="L378:O378" si="762">IF(L377="", "", 1 + MROUND(IFERROR(MINIFS(OFFSET(L377, -1, 0, -$B378, 1), OFFSET(L377, -1, 0, -$B378, 1), "&gt;0"), L377) + (LN(1 + $Z378) ^ U$2) * U$3, 1))</f>
        <v>23222</v>
      </c>
      <c r="M378" s="24" t="str">
        <f t="shared" si="762"/>
        <v/>
      </c>
      <c r="N378" s="24" t="str">
        <f t="shared" si="762"/>
        <v/>
      </c>
      <c r="O378" s="24">
        <f t="shared" si="762"/>
        <v>1011</v>
      </c>
      <c r="P378" s="24">
        <f t="shared" ref="P378:S378" si="763">L378*$Y$2</f>
        <v>5805.5</v>
      </c>
      <c r="Q378" s="24">
        <f t="shared" si="763"/>
        <v>0</v>
      </c>
      <c r="R378" s="24">
        <f t="shared" si="763"/>
        <v>0</v>
      </c>
      <c r="S378" s="24">
        <f t="shared" si="763"/>
        <v>252.75</v>
      </c>
      <c r="T378" s="24">
        <f t="shared" si="4"/>
        <v>9</v>
      </c>
      <c r="Z378" s="25">
        <f t="shared" si="12"/>
        <v>12.66049964</v>
      </c>
    </row>
    <row r="379">
      <c r="A379" s="16" t="s">
        <v>36</v>
      </c>
      <c r="B379" s="17">
        <v>78.0</v>
      </c>
      <c r="C379" s="24">
        <f t="shared" si="610"/>
        <v>12843.91087</v>
      </c>
      <c r="D379" s="25">
        <v>0.05</v>
      </c>
      <c r="E379" s="24">
        <f t="shared" si="611"/>
        <v>45.94235208</v>
      </c>
      <c r="F379" s="25">
        <v>0.02</v>
      </c>
      <c r="G379" s="24">
        <f t="shared" si="612"/>
        <v>1926.58663</v>
      </c>
      <c r="H379" s="25">
        <v>0.05</v>
      </c>
      <c r="I379" s="24">
        <f t="shared" si="613"/>
        <v>206.7405843</v>
      </c>
      <c r="J379" s="25">
        <v>0.02</v>
      </c>
      <c r="K379" s="25">
        <v>0.0</v>
      </c>
      <c r="L379" s="24">
        <f t="shared" ref="L379:O379" si="764">IF(L378="", "", 1 + MROUND(IFERROR(MINIFS(OFFSET(L378, -1, 0, -$B379, 1), OFFSET(L378, -1, 0, -$B379, 1), "&gt;0"), L378) + (LN(1 + $Z379) ^ U$2) * U$3, 1))</f>
        <v>23717</v>
      </c>
      <c r="M379" s="24" t="str">
        <f t="shared" si="764"/>
        <v/>
      </c>
      <c r="N379" s="24" t="str">
        <f t="shared" si="764"/>
        <v/>
      </c>
      <c r="O379" s="24">
        <f t="shared" si="764"/>
        <v>1032</v>
      </c>
      <c r="P379" s="24">
        <f t="shared" ref="P379:S379" si="765">L379*$Y$2</f>
        <v>5929.25</v>
      </c>
      <c r="Q379" s="24">
        <f t="shared" si="765"/>
        <v>0</v>
      </c>
      <c r="R379" s="24">
        <f t="shared" si="765"/>
        <v>0</v>
      </c>
      <c r="S379" s="24">
        <f t="shared" si="765"/>
        <v>258</v>
      </c>
      <c r="T379" s="24">
        <f t="shared" si="4"/>
        <v>9</v>
      </c>
      <c r="Z379" s="25">
        <f t="shared" si="12"/>
        <v>13.13861713</v>
      </c>
    </row>
    <row r="380">
      <c r="A380" s="16" t="s">
        <v>36</v>
      </c>
      <c r="B380" s="17">
        <v>79.0</v>
      </c>
      <c r="C380" s="24">
        <f t="shared" si="610"/>
        <v>13486.10641</v>
      </c>
      <c r="D380" s="25">
        <v>0.05</v>
      </c>
      <c r="E380" s="24">
        <f t="shared" si="611"/>
        <v>46.86119912</v>
      </c>
      <c r="F380" s="25">
        <v>0.02</v>
      </c>
      <c r="G380" s="24">
        <f t="shared" si="612"/>
        <v>2022.915962</v>
      </c>
      <c r="H380" s="25">
        <v>0.05</v>
      </c>
      <c r="I380" s="24">
        <f t="shared" si="613"/>
        <v>210.875396</v>
      </c>
      <c r="J380" s="25">
        <v>0.02</v>
      </c>
      <c r="K380" s="25">
        <v>0.0</v>
      </c>
      <c r="L380" s="24">
        <f t="shared" ref="L380:O380" si="766">IF(L379="", "", 1 + MROUND(IFERROR(MINIFS(OFFSET(L379, -1, 0, -$B380, 1), OFFSET(L379, -1, 0, -$B380, 1), "&gt;0"), L379) + (LN(1 + $Z380) ^ U$2) * U$3, 1))</f>
        <v>24217</v>
      </c>
      <c r="M380" s="24" t="str">
        <f t="shared" si="766"/>
        <v/>
      </c>
      <c r="N380" s="24" t="str">
        <f t="shared" si="766"/>
        <v/>
      </c>
      <c r="O380" s="24">
        <f t="shared" si="766"/>
        <v>1053</v>
      </c>
      <c r="P380" s="24">
        <f t="shared" ref="P380:S380" si="767">L380*$Y$2</f>
        <v>6054.25</v>
      </c>
      <c r="Q380" s="24">
        <f t="shared" si="767"/>
        <v>0</v>
      </c>
      <c r="R380" s="24">
        <f t="shared" si="767"/>
        <v>0</v>
      </c>
      <c r="S380" s="24">
        <f t="shared" si="767"/>
        <v>263.25</v>
      </c>
      <c r="T380" s="24">
        <f t="shared" si="4"/>
        <v>9</v>
      </c>
      <c r="Z380" s="25">
        <f t="shared" si="12"/>
        <v>13.63346873</v>
      </c>
    </row>
    <row r="381">
      <c r="A381" s="16" t="s">
        <v>36</v>
      </c>
      <c r="B381" s="17">
        <v>80.0</v>
      </c>
      <c r="C381" s="24">
        <f t="shared" si="610"/>
        <v>14160.41173</v>
      </c>
      <c r="D381" s="25">
        <v>0.05</v>
      </c>
      <c r="E381" s="24">
        <f t="shared" si="611"/>
        <v>47.7984231</v>
      </c>
      <c r="F381" s="25">
        <v>0.02</v>
      </c>
      <c r="G381" s="24">
        <f t="shared" si="612"/>
        <v>2124.06176</v>
      </c>
      <c r="H381" s="25">
        <v>0.05</v>
      </c>
      <c r="I381" s="24">
        <f t="shared" si="613"/>
        <v>215.0929039</v>
      </c>
      <c r="J381" s="25">
        <v>0.02</v>
      </c>
      <c r="K381" s="25">
        <v>0.0</v>
      </c>
      <c r="L381" s="24">
        <f t="shared" ref="L381:O381" si="768">IF(L380="", "", 1 + MROUND(IFERROR(MINIFS(OFFSET(L380, -1, 0, -$B381, 1), OFFSET(L380, -1, 0, -$B381, 1), "&gt;0"), L380) + (LN(1 + $Z381) ^ U$2) * U$3, 1))</f>
        <v>24721</v>
      </c>
      <c r="M381" s="24" t="str">
        <f t="shared" si="768"/>
        <v/>
      </c>
      <c r="N381" s="24" t="str">
        <f t="shared" si="768"/>
        <v/>
      </c>
      <c r="O381" s="24">
        <f t="shared" si="768"/>
        <v>1074</v>
      </c>
      <c r="P381" s="24">
        <f t="shared" ref="P381:S381" si="769">L381*$Y$2</f>
        <v>6180.25</v>
      </c>
      <c r="Q381" s="24">
        <f t="shared" si="769"/>
        <v>0</v>
      </c>
      <c r="R381" s="24">
        <f t="shared" si="769"/>
        <v>0</v>
      </c>
      <c r="S381" s="24">
        <f t="shared" si="769"/>
        <v>268.5</v>
      </c>
      <c r="T381" s="24">
        <f t="shared" si="4"/>
        <v>9</v>
      </c>
      <c r="Z381" s="25">
        <f t="shared" si="12"/>
        <v>14.14564013</v>
      </c>
    </row>
    <row r="382">
      <c r="A382" s="16" t="s">
        <v>36</v>
      </c>
      <c r="B382" s="17">
        <v>81.0</v>
      </c>
      <c r="C382" s="24">
        <f t="shared" si="610"/>
        <v>14868.43232</v>
      </c>
      <c r="D382" s="25">
        <v>0.05</v>
      </c>
      <c r="E382" s="24">
        <f t="shared" si="611"/>
        <v>48.75439156</v>
      </c>
      <c r="F382" s="25">
        <v>0.02</v>
      </c>
      <c r="G382" s="24">
        <f t="shared" si="612"/>
        <v>2230.264848</v>
      </c>
      <c r="H382" s="25">
        <v>0.05</v>
      </c>
      <c r="I382" s="24">
        <f t="shared" si="613"/>
        <v>219.394762</v>
      </c>
      <c r="J382" s="25">
        <v>0.02</v>
      </c>
      <c r="K382" s="25">
        <v>0.0</v>
      </c>
      <c r="L382" s="24">
        <f t="shared" ref="L382:O382" si="770">IF(L381="", "", 1 + MROUND(IFERROR(MINIFS(OFFSET(L381, -1, 0, -$B382, 1), OFFSET(L381, -1, 0, -$B382, 1), "&gt;0"), L381) + (LN(1 + $Z382) ^ U$2) * U$3, 1))</f>
        <v>25230</v>
      </c>
      <c r="M382" s="24" t="str">
        <f t="shared" si="770"/>
        <v/>
      </c>
      <c r="N382" s="24" t="str">
        <f t="shared" si="770"/>
        <v/>
      </c>
      <c r="O382" s="24">
        <f t="shared" si="770"/>
        <v>1095</v>
      </c>
      <c r="P382" s="24">
        <f t="shared" ref="P382:S382" si="771">L382*$Y$2</f>
        <v>6307.5</v>
      </c>
      <c r="Q382" s="24">
        <f t="shared" si="771"/>
        <v>0</v>
      </c>
      <c r="R382" s="24">
        <f t="shared" si="771"/>
        <v>0</v>
      </c>
      <c r="S382" s="24">
        <f t="shared" si="771"/>
        <v>273.75</v>
      </c>
      <c r="T382" s="24">
        <f t="shared" si="4"/>
        <v>9</v>
      </c>
      <c r="Z382" s="25">
        <f t="shared" si="12"/>
        <v>14.67573754</v>
      </c>
    </row>
    <row r="383">
      <c r="A383" s="16" t="s">
        <v>36</v>
      </c>
      <c r="B383" s="17">
        <v>82.0</v>
      </c>
      <c r="C383" s="24">
        <f t="shared" si="610"/>
        <v>15611.85394</v>
      </c>
      <c r="D383" s="25">
        <v>0.05</v>
      </c>
      <c r="E383" s="24">
        <f t="shared" si="611"/>
        <v>49.72947939</v>
      </c>
      <c r="F383" s="25">
        <v>0.02</v>
      </c>
      <c r="G383" s="24">
        <f t="shared" si="612"/>
        <v>2341.77809</v>
      </c>
      <c r="H383" s="25">
        <v>0.05</v>
      </c>
      <c r="I383" s="24">
        <f t="shared" si="613"/>
        <v>223.7826573</v>
      </c>
      <c r="J383" s="25">
        <v>0.02</v>
      </c>
      <c r="K383" s="25">
        <v>0.0</v>
      </c>
      <c r="L383" s="24">
        <f t="shared" ref="L383:O383" si="772">IF(L382="", "", 1 + MROUND(IFERROR(MINIFS(OFFSET(L382, -1, 0, -$B383, 1), OFFSET(L382, -1, 0, -$B383, 1), "&gt;0"), L382) + (LN(1 + $Z383) ^ U$2) * U$3, 1))</f>
        <v>25743</v>
      </c>
      <c r="M383" s="24" t="str">
        <f t="shared" si="772"/>
        <v/>
      </c>
      <c r="N383" s="24" t="str">
        <f t="shared" si="772"/>
        <v/>
      </c>
      <c r="O383" s="24">
        <f t="shared" si="772"/>
        <v>1116</v>
      </c>
      <c r="P383" s="24">
        <f t="shared" ref="P383:S383" si="773">L383*$Y$2</f>
        <v>6435.75</v>
      </c>
      <c r="Q383" s="24">
        <f t="shared" si="773"/>
        <v>0</v>
      </c>
      <c r="R383" s="24">
        <f t="shared" si="773"/>
        <v>0</v>
      </c>
      <c r="S383" s="24">
        <f t="shared" si="773"/>
        <v>279</v>
      </c>
      <c r="T383" s="24">
        <f t="shared" si="4"/>
        <v>9</v>
      </c>
      <c r="Z383" s="25">
        <f t="shared" si="12"/>
        <v>15.22438835</v>
      </c>
    </row>
    <row r="384">
      <c r="A384" s="16" t="s">
        <v>36</v>
      </c>
      <c r="B384" s="17">
        <v>83.0</v>
      </c>
      <c r="C384" s="24">
        <f t="shared" si="610"/>
        <v>16392.44663</v>
      </c>
      <c r="D384" s="25">
        <v>0.05</v>
      </c>
      <c r="E384" s="24">
        <f t="shared" si="611"/>
        <v>50.72406898</v>
      </c>
      <c r="F384" s="25">
        <v>0.02</v>
      </c>
      <c r="G384" s="24">
        <f t="shared" si="612"/>
        <v>2458.866995</v>
      </c>
      <c r="H384" s="25">
        <v>0.05</v>
      </c>
      <c r="I384" s="24">
        <f t="shared" si="613"/>
        <v>228.2583104</v>
      </c>
      <c r="J384" s="25">
        <v>0.02</v>
      </c>
      <c r="K384" s="25">
        <v>0.0</v>
      </c>
      <c r="L384" s="24">
        <f t="shared" ref="L384:O384" si="774">IF(L383="", "", 1 + MROUND(IFERROR(MINIFS(OFFSET(L383, -1, 0, -$B384, 1), OFFSET(L383, -1, 0, -$B384, 1), "&gt;0"), L383) + (LN(1 + $Z384) ^ U$2) * U$3, 1))</f>
        <v>26261</v>
      </c>
      <c r="M384" s="24" t="str">
        <f t="shared" si="774"/>
        <v/>
      </c>
      <c r="N384" s="24" t="str">
        <f t="shared" si="774"/>
        <v/>
      </c>
      <c r="O384" s="24">
        <f t="shared" si="774"/>
        <v>1138</v>
      </c>
      <c r="P384" s="24">
        <f t="shared" ref="P384:S384" si="775">L384*$Y$2</f>
        <v>6565.25</v>
      </c>
      <c r="Q384" s="24">
        <f t="shared" si="775"/>
        <v>0</v>
      </c>
      <c r="R384" s="24">
        <f t="shared" si="775"/>
        <v>0</v>
      </c>
      <c r="S384" s="24">
        <f t="shared" si="775"/>
        <v>284.5</v>
      </c>
      <c r="T384" s="24">
        <f t="shared" si="4"/>
        <v>9</v>
      </c>
      <c r="Z384" s="25">
        <f t="shared" si="12"/>
        <v>15.79224195</v>
      </c>
    </row>
    <row r="385">
      <c r="A385" s="16" t="s">
        <v>36</v>
      </c>
      <c r="B385" s="17">
        <v>84.0</v>
      </c>
      <c r="C385" s="24">
        <f t="shared" si="610"/>
        <v>17212.06896</v>
      </c>
      <c r="D385" s="25">
        <v>0.05</v>
      </c>
      <c r="E385" s="24">
        <f t="shared" si="611"/>
        <v>51.73855036</v>
      </c>
      <c r="F385" s="25">
        <v>0.02</v>
      </c>
      <c r="G385" s="24">
        <f t="shared" si="612"/>
        <v>2581.810345</v>
      </c>
      <c r="H385" s="25">
        <v>0.05</v>
      </c>
      <c r="I385" s="24">
        <f t="shared" si="613"/>
        <v>232.8234766</v>
      </c>
      <c r="J385" s="25">
        <v>0.02</v>
      </c>
      <c r="K385" s="25">
        <v>0.0</v>
      </c>
      <c r="L385" s="24">
        <f t="shared" ref="L385:O385" si="776">IF(L384="", "", 1 + MROUND(IFERROR(MINIFS(OFFSET(L384, -1, 0, -$B385, 1), OFFSET(L384, -1, 0, -$B385, 1), "&gt;0"), L384) + (LN(1 + $Z385) ^ U$2) * U$3, 1))</f>
        <v>26783</v>
      </c>
      <c r="M385" s="24" t="str">
        <f t="shared" si="776"/>
        <v/>
      </c>
      <c r="N385" s="24" t="str">
        <f t="shared" si="776"/>
        <v/>
      </c>
      <c r="O385" s="24">
        <f t="shared" si="776"/>
        <v>1160</v>
      </c>
      <c r="P385" s="24">
        <f t="shared" ref="P385:S385" si="777">L385*$Y$2</f>
        <v>6695.75</v>
      </c>
      <c r="Q385" s="24">
        <f t="shared" si="777"/>
        <v>0</v>
      </c>
      <c r="R385" s="24">
        <f t="shared" si="777"/>
        <v>0</v>
      </c>
      <c r="S385" s="24">
        <f t="shared" si="777"/>
        <v>290</v>
      </c>
      <c r="T385" s="24">
        <f t="shared" si="4"/>
        <v>9</v>
      </c>
      <c r="Z385" s="25">
        <f t="shared" si="12"/>
        <v>16.37997041</v>
      </c>
    </row>
    <row r="386">
      <c r="A386" s="16" t="s">
        <v>36</v>
      </c>
      <c r="B386" s="17">
        <v>85.0</v>
      </c>
      <c r="C386" s="24">
        <f t="shared" si="610"/>
        <v>18072.67241</v>
      </c>
      <c r="D386" s="25">
        <v>0.05</v>
      </c>
      <c r="E386" s="24">
        <f t="shared" si="611"/>
        <v>52.77332137</v>
      </c>
      <c r="F386" s="25">
        <v>0.02</v>
      </c>
      <c r="G386" s="24">
        <f t="shared" si="612"/>
        <v>2710.900862</v>
      </c>
      <c r="H386" s="25">
        <v>0.05</v>
      </c>
      <c r="I386" s="24">
        <f t="shared" si="613"/>
        <v>237.4799462</v>
      </c>
      <c r="J386" s="25">
        <v>0.02</v>
      </c>
      <c r="K386" s="25">
        <v>0.0</v>
      </c>
      <c r="L386" s="24">
        <f t="shared" ref="L386:O386" si="778">IF(L385="", "", 1 + MROUND(IFERROR(MINIFS(OFFSET(L385, -1, 0, -$B386, 1), OFFSET(L385, -1, 0, -$B386, 1), "&gt;0"), L385) + (LN(1 + $Z386) ^ U$2) * U$3, 1))</f>
        <v>27309</v>
      </c>
      <c r="M386" s="24" t="str">
        <f t="shared" si="778"/>
        <v/>
      </c>
      <c r="N386" s="24" t="str">
        <f t="shared" si="778"/>
        <v/>
      </c>
      <c r="O386" s="24">
        <f t="shared" si="778"/>
        <v>1182</v>
      </c>
      <c r="P386" s="24">
        <f t="shared" ref="P386:S386" si="779">L386*$Y$2</f>
        <v>6827.25</v>
      </c>
      <c r="Q386" s="24">
        <f t="shared" si="779"/>
        <v>0</v>
      </c>
      <c r="R386" s="24">
        <f t="shared" si="779"/>
        <v>0</v>
      </c>
      <c r="S386" s="24">
        <f t="shared" si="779"/>
        <v>295.5</v>
      </c>
      <c r="T386" s="24">
        <f t="shared" si="4"/>
        <v>10</v>
      </c>
      <c r="Z386" s="25">
        <f t="shared" si="12"/>
        <v>16.98826938</v>
      </c>
    </row>
    <row r="387">
      <c r="A387" s="16" t="s">
        <v>36</v>
      </c>
      <c r="B387" s="17">
        <v>86.0</v>
      </c>
      <c r="C387" s="24">
        <f t="shared" si="610"/>
        <v>18976.30603</v>
      </c>
      <c r="D387" s="25">
        <v>0.05</v>
      </c>
      <c r="E387" s="24">
        <f t="shared" si="611"/>
        <v>53.82878779</v>
      </c>
      <c r="F387" s="25">
        <v>0.02</v>
      </c>
      <c r="G387" s="24">
        <f t="shared" si="612"/>
        <v>2846.445905</v>
      </c>
      <c r="H387" s="25">
        <v>0.05</v>
      </c>
      <c r="I387" s="24">
        <f t="shared" si="613"/>
        <v>242.2295451</v>
      </c>
      <c r="J387" s="25">
        <v>0.02</v>
      </c>
      <c r="K387" s="25">
        <v>0.0</v>
      </c>
      <c r="L387" s="24">
        <f t="shared" ref="L387:O387" si="780">IF(L386="", "", 1 + MROUND(IFERROR(MINIFS(OFFSET(L386, -1, 0, -$B387, 1), OFFSET(L386, -1, 0, -$B387, 1), "&gt;0"), L386) + (LN(1 + $Z387) ^ U$2) * U$3, 1))</f>
        <v>27840</v>
      </c>
      <c r="M387" s="24" t="str">
        <f t="shared" si="780"/>
        <v/>
      </c>
      <c r="N387" s="24" t="str">
        <f t="shared" si="780"/>
        <v/>
      </c>
      <c r="O387" s="24">
        <f t="shared" si="780"/>
        <v>1204</v>
      </c>
      <c r="P387" s="24">
        <f t="shared" ref="P387:S387" si="781">L387*$Y$2</f>
        <v>6960</v>
      </c>
      <c r="Q387" s="24">
        <f t="shared" si="781"/>
        <v>0</v>
      </c>
      <c r="R387" s="24">
        <f t="shared" si="781"/>
        <v>0</v>
      </c>
      <c r="S387" s="24">
        <f t="shared" si="781"/>
        <v>301</v>
      </c>
      <c r="T387" s="24">
        <f t="shared" si="4"/>
        <v>10</v>
      </c>
      <c r="Z387" s="25">
        <f t="shared" si="12"/>
        <v>17.61785881</v>
      </c>
    </row>
    <row r="388">
      <c r="A388" s="16" t="s">
        <v>36</v>
      </c>
      <c r="B388" s="17">
        <v>87.0</v>
      </c>
      <c r="C388" s="24">
        <f t="shared" si="610"/>
        <v>19925.12134</v>
      </c>
      <c r="D388" s="25">
        <v>0.05</v>
      </c>
      <c r="E388" s="24">
        <f t="shared" si="611"/>
        <v>54.90536355</v>
      </c>
      <c r="F388" s="25">
        <v>0.02</v>
      </c>
      <c r="G388" s="24">
        <f t="shared" si="612"/>
        <v>2988.7682</v>
      </c>
      <c r="H388" s="25">
        <v>0.05</v>
      </c>
      <c r="I388" s="24">
        <f t="shared" si="613"/>
        <v>247.074136</v>
      </c>
      <c r="J388" s="25">
        <v>0.02</v>
      </c>
      <c r="K388" s="25">
        <v>0.0</v>
      </c>
      <c r="L388" s="24">
        <f t="shared" ref="L388:O388" si="782">IF(L387="", "", 1 + MROUND(IFERROR(MINIFS(OFFSET(L387, -1, 0, -$B388, 1), OFFSET(L387, -1, 0, -$B388, 1), "&gt;0"), L387) + (LN(1 + $Z388) ^ U$2) * U$3, 1))</f>
        <v>28375</v>
      </c>
      <c r="M388" s="24" t="str">
        <f t="shared" si="782"/>
        <v/>
      </c>
      <c r="N388" s="24" t="str">
        <f t="shared" si="782"/>
        <v/>
      </c>
      <c r="O388" s="24">
        <f t="shared" si="782"/>
        <v>1226</v>
      </c>
      <c r="P388" s="24">
        <f t="shared" ref="P388:S388" si="783">L388*$Y$2</f>
        <v>7093.75</v>
      </c>
      <c r="Q388" s="24">
        <f t="shared" si="783"/>
        <v>0</v>
      </c>
      <c r="R388" s="24">
        <f t="shared" si="783"/>
        <v>0</v>
      </c>
      <c r="S388" s="24">
        <f t="shared" si="783"/>
        <v>306.5</v>
      </c>
      <c r="T388" s="24">
        <f t="shared" si="4"/>
        <v>10</v>
      </c>
      <c r="Z388" s="25">
        <f t="shared" si="12"/>
        <v>18.26948387</v>
      </c>
    </row>
    <row r="389">
      <c r="A389" s="16" t="s">
        <v>36</v>
      </c>
      <c r="B389" s="17">
        <v>88.0</v>
      </c>
      <c r="C389" s="24">
        <f t="shared" si="610"/>
        <v>20921.3774</v>
      </c>
      <c r="D389" s="25">
        <v>0.05</v>
      </c>
      <c r="E389" s="24">
        <f t="shared" si="611"/>
        <v>56.00347082</v>
      </c>
      <c r="F389" s="25">
        <v>0.02</v>
      </c>
      <c r="G389" s="24">
        <f t="shared" si="612"/>
        <v>3138.20661</v>
      </c>
      <c r="H389" s="25">
        <v>0.05</v>
      </c>
      <c r="I389" s="24">
        <f t="shared" si="613"/>
        <v>252.0156187</v>
      </c>
      <c r="J389" s="25">
        <v>0.02</v>
      </c>
      <c r="K389" s="25">
        <v>0.0</v>
      </c>
      <c r="L389" s="24">
        <f t="shared" ref="L389:O389" si="784">IF(L388="", "", 1 + MROUND(IFERROR(MINIFS(OFFSET(L388, -1, 0, -$B389, 1), OFFSET(L388, -1, 0, -$B389, 1), "&gt;0"), L388) + (LN(1 + $Z389) ^ U$2) * U$3, 1))</f>
        <v>28915</v>
      </c>
      <c r="M389" s="24" t="str">
        <f t="shared" si="784"/>
        <v/>
      </c>
      <c r="N389" s="24" t="str">
        <f t="shared" si="784"/>
        <v/>
      </c>
      <c r="O389" s="24">
        <f t="shared" si="784"/>
        <v>1249</v>
      </c>
      <c r="P389" s="24">
        <f t="shared" ref="P389:S389" si="785">L389*$Y$2</f>
        <v>7228.75</v>
      </c>
      <c r="Q389" s="24">
        <f t="shared" si="785"/>
        <v>0</v>
      </c>
      <c r="R389" s="24">
        <f t="shared" si="785"/>
        <v>0</v>
      </c>
      <c r="S389" s="24">
        <f t="shared" si="785"/>
        <v>312.25</v>
      </c>
      <c r="T389" s="24">
        <f t="shared" si="4"/>
        <v>10</v>
      </c>
      <c r="Z389" s="25">
        <f t="shared" si="12"/>
        <v>18.9439158</v>
      </c>
    </row>
    <row r="390">
      <c r="A390" s="16" t="s">
        <v>36</v>
      </c>
      <c r="B390" s="17">
        <v>89.0</v>
      </c>
      <c r="C390" s="24">
        <f t="shared" si="610"/>
        <v>21967.44627</v>
      </c>
      <c r="D390" s="25">
        <v>0.05</v>
      </c>
      <c r="E390" s="24">
        <f t="shared" si="611"/>
        <v>57.12354024</v>
      </c>
      <c r="F390" s="25">
        <v>0.02</v>
      </c>
      <c r="G390" s="24">
        <f t="shared" si="612"/>
        <v>3295.116941</v>
      </c>
      <c r="H390" s="25">
        <v>0.05</v>
      </c>
      <c r="I390" s="24">
        <f t="shared" si="613"/>
        <v>257.0559311</v>
      </c>
      <c r="J390" s="25">
        <v>0.02</v>
      </c>
      <c r="K390" s="25">
        <v>0.0</v>
      </c>
      <c r="L390" s="24">
        <f t="shared" ref="L390:O390" si="786">IF(L389="", "", 1 + MROUND(IFERROR(MINIFS(OFFSET(L389, -1, 0, -$B390, 1), OFFSET(L389, -1, 0, -$B390, 1), "&gt;0"), L389) + (LN(1 + $Z390) ^ U$2) * U$3, 1))</f>
        <v>29459</v>
      </c>
      <c r="M390" s="24" t="str">
        <f t="shared" si="786"/>
        <v/>
      </c>
      <c r="N390" s="24" t="str">
        <f t="shared" si="786"/>
        <v/>
      </c>
      <c r="O390" s="24">
        <f t="shared" si="786"/>
        <v>1272</v>
      </c>
      <c r="P390" s="24">
        <f t="shared" ref="P390:S390" si="787">L390*$Y$2</f>
        <v>7364.75</v>
      </c>
      <c r="Q390" s="24">
        <f t="shared" si="787"/>
        <v>0</v>
      </c>
      <c r="R390" s="24">
        <f t="shared" si="787"/>
        <v>0</v>
      </c>
      <c r="S390" s="24">
        <f t="shared" si="787"/>
        <v>318</v>
      </c>
      <c r="T390" s="24">
        <f t="shared" si="4"/>
        <v>10</v>
      </c>
      <c r="Z390" s="25">
        <f t="shared" si="12"/>
        <v>19.64195285</v>
      </c>
    </row>
    <row r="391">
      <c r="A391" s="16" t="s">
        <v>36</v>
      </c>
      <c r="B391" s="17">
        <v>90.0</v>
      </c>
      <c r="C391" s="24">
        <f t="shared" si="610"/>
        <v>23065.81859</v>
      </c>
      <c r="D391" s="25">
        <v>0.05</v>
      </c>
      <c r="E391" s="24">
        <f t="shared" si="611"/>
        <v>58.26601104</v>
      </c>
      <c r="F391" s="25">
        <v>0.02</v>
      </c>
      <c r="G391" s="24">
        <f t="shared" si="612"/>
        <v>3459.872788</v>
      </c>
      <c r="H391" s="25">
        <v>0.05</v>
      </c>
      <c r="I391" s="24">
        <f t="shared" si="613"/>
        <v>262.1970497</v>
      </c>
      <c r="J391" s="25">
        <v>0.02</v>
      </c>
      <c r="K391" s="25">
        <v>0.0</v>
      </c>
      <c r="L391" s="24">
        <f t="shared" ref="L391:O391" si="788">IF(L390="", "", 1 + MROUND(IFERROR(MINIFS(OFFSET(L390, -1, 0, -$B391, 1), OFFSET(L390, -1, 0, -$B391, 1), "&gt;0"), L390) + (LN(1 + $Z391) ^ U$2) * U$3, 1))</f>
        <v>30007</v>
      </c>
      <c r="M391" s="24" t="str">
        <f t="shared" si="788"/>
        <v/>
      </c>
      <c r="N391" s="24" t="str">
        <f t="shared" si="788"/>
        <v/>
      </c>
      <c r="O391" s="24">
        <f t="shared" si="788"/>
        <v>1295</v>
      </c>
      <c r="P391" s="24">
        <f t="shared" ref="P391:S391" si="789">L391*$Y$2</f>
        <v>7501.75</v>
      </c>
      <c r="Q391" s="24">
        <f t="shared" si="789"/>
        <v>0</v>
      </c>
      <c r="R391" s="24">
        <f t="shared" si="789"/>
        <v>0</v>
      </c>
      <c r="S391" s="24">
        <f t="shared" si="789"/>
        <v>323.75</v>
      </c>
      <c r="T391" s="24">
        <f t="shared" si="4"/>
        <v>10</v>
      </c>
      <c r="Z391" s="25">
        <f t="shared" si="12"/>
        <v>20.3644212</v>
      </c>
    </row>
    <row r="392">
      <c r="A392" s="16" t="s">
        <v>36</v>
      </c>
      <c r="B392" s="17">
        <v>91.0</v>
      </c>
      <c r="C392" s="24">
        <f t="shared" si="610"/>
        <v>24219.10951</v>
      </c>
      <c r="D392" s="25">
        <v>0.05</v>
      </c>
      <c r="E392" s="24">
        <f t="shared" si="611"/>
        <v>59.43133126</v>
      </c>
      <c r="F392" s="25">
        <v>0.02</v>
      </c>
      <c r="G392" s="24">
        <f t="shared" si="612"/>
        <v>3632.866427</v>
      </c>
      <c r="H392" s="25">
        <v>0.05</v>
      </c>
      <c r="I392" s="24">
        <f t="shared" si="613"/>
        <v>267.4409907</v>
      </c>
      <c r="J392" s="25">
        <v>0.02</v>
      </c>
      <c r="K392" s="25">
        <v>0.0</v>
      </c>
      <c r="L392" s="24">
        <f t="shared" ref="L392:O392" si="790">IF(L391="", "", 1 + MROUND(IFERROR(MINIFS(OFFSET(L391, -1, 0, -$B392, 1), OFFSET(L391, -1, 0, -$B392, 1), "&gt;0"), L391) + (LN(1 + $Z392) ^ U$2) * U$3, 1))</f>
        <v>30559</v>
      </c>
      <c r="M392" s="24" t="str">
        <f t="shared" si="790"/>
        <v/>
      </c>
      <c r="N392" s="24" t="str">
        <f t="shared" si="790"/>
        <v/>
      </c>
      <c r="O392" s="24">
        <f t="shared" si="790"/>
        <v>1318</v>
      </c>
      <c r="P392" s="24">
        <f t="shared" ref="P392:S392" si="791">L392*$Y$2</f>
        <v>7639.75</v>
      </c>
      <c r="Q392" s="24">
        <f t="shared" si="791"/>
        <v>0</v>
      </c>
      <c r="R392" s="24">
        <f t="shared" si="791"/>
        <v>0</v>
      </c>
      <c r="S392" s="24">
        <f t="shared" si="791"/>
        <v>329.5</v>
      </c>
      <c r="T392" s="24">
        <f t="shared" si="4"/>
        <v>10</v>
      </c>
      <c r="Z392" s="25">
        <f t="shared" si="12"/>
        <v>21.11217595</v>
      </c>
    </row>
    <row r="393">
      <c r="A393" s="16" t="s">
        <v>36</v>
      </c>
      <c r="B393" s="17">
        <v>92.0</v>
      </c>
      <c r="C393" s="24">
        <f t="shared" si="610"/>
        <v>25430.06499</v>
      </c>
      <c r="D393" s="25">
        <v>0.05</v>
      </c>
      <c r="E393" s="24">
        <f t="shared" si="611"/>
        <v>60.61995789</v>
      </c>
      <c r="F393" s="25">
        <v>0.02</v>
      </c>
      <c r="G393" s="24">
        <f t="shared" si="612"/>
        <v>3814.509749</v>
      </c>
      <c r="H393" s="25">
        <v>0.05</v>
      </c>
      <c r="I393" s="24">
        <f t="shared" si="613"/>
        <v>272.7898105</v>
      </c>
      <c r="J393" s="25">
        <v>0.02</v>
      </c>
      <c r="K393" s="25">
        <v>0.0</v>
      </c>
      <c r="L393" s="24">
        <f t="shared" ref="L393:O393" si="792">IF(L392="", "", 1 + MROUND(IFERROR(MINIFS(OFFSET(L392, -1, 0, -$B393, 1), OFFSET(L392, -1, 0, -$B393, 1), "&gt;0"), L392) + (LN(1 + $Z393) ^ U$2) * U$3, 1))</f>
        <v>31116</v>
      </c>
      <c r="M393" s="24" t="str">
        <f t="shared" si="792"/>
        <v/>
      </c>
      <c r="N393" s="24" t="str">
        <f t="shared" si="792"/>
        <v/>
      </c>
      <c r="O393" s="24">
        <f t="shared" si="792"/>
        <v>1341</v>
      </c>
      <c r="P393" s="24">
        <f t="shared" ref="P393:S393" si="793">L393*$Y$2</f>
        <v>7779</v>
      </c>
      <c r="Q393" s="24">
        <f t="shared" si="793"/>
        <v>0</v>
      </c>
      <c r="R393" s="24">
        <f t="shared" si="793"/>
        <v>0</v>
      </c>
      <c r="S393" s="24">
        <f t="shared" si="793"/>
        <v>335.25</v>
      </c>
      <c r="T393" s="24">
        <f t="shared" si="4"/>
        <v>10</v>
      </c>
      <c r="Z393" s="25">
        <f t="shared" si="12"/>
        <v>21.8861021</v>
      </c>
    </row>
    <row r="394">
      <c r="A394" s="16" t="s">
        <v>36</v>
      </c>
      <c r="B394" s="17">
        <v>93.0</v>
      </c>
      <c r="C394" s="24">
        <f t="shared" si="610"/>
        <v>26701.56824</v>
      </c>
      <c r="D394" s="25">
        <v>0.05</v>
      </c>
      <c r="E394" s="24">
        <f t="shared" si="611"/>
        <v>61.83235705</v>
      </c>
      <c r="F394" s="25">
        <v>0.02</v>
      </c>
      <c r="G394" s="24">
        <f t="shared" si="612"/>
        <v>4005.235236</v>
      </c>
      <c r="H394" s="25">
        <v>0.05</v>
      </c>
      <c r="I394" s="24">
        <f t="shared" si="613"/>
        <v>278.2456067</v>
      </c>
      <c r="J394" s="25">
        <v>0.02</v>
      </c>
      <c r="K394" s="25">
        <v>0.0</v>
      </c>
      <c r="L394" s="24">
        <f t="shared" ref="L394:O394" si="794">IF(L393="", "", 1 + MROUND(IFERROR(MINIFS(OFFSET(L393, -1, 0, -$B394, 1), OFFSET(L393, -1, 0, -$B394, 1), "&gt;0"), L393) + (LN(1 + $Z394) ^ U$2) * U$3, 1))</f>
        <v>31677</v>
      </c>
      <c r="M394" s="24" t="str">
        <f t="shared" si="794"/>
        <v/>
      </c>
      <c r="N394" s="24" t="str">
        <f t="shared" si="794"/>
        <v/>
      </c>
      <c r="O394" s="24">
        <f t="shared" si="794"/>
        <v>1364</v>
      </c>
      <c r="P394" s="24">
        <f t="shared" ref="P394:S394" si="795">L394*$Y$2</f>
        <v>7919.25</v>
      </c>
      <c r="Q394" s="24">
        <f t="shared" si="795"/>
        <v>0</v>
      </c>
      <c r="R394" s="24">
        <f t="shared" si="795"/>
        <v>0</v>
      </c>
      <c r="S394" s="24">
        <f t="shared" si="795"/>
        <v>341</v>
      </c>
      <c r="T394" s="24">
        <f t="shared" si="4"/>
        <v>10</v>
      </c>
      <c r="Z394" s="25">
        <f t="shared" si="12"/>
        <v>22.68711568</v>
      </c>
    </row>
    <row r="395">
      <c r="A395" s="16" t="s">
        <v>36</v>
      </c>
      <c r="B395" s="17">
        <v>94.0</v>
      </c>
      <c r="C395" s="24">
        <f t="shared" si="610"/>
        <v>28036.64665</v>
      </c>
      <c r="D395" s="25">
        <v>0.05</v>
      </c>
      <c r="E395" s="24">
        <f t="shared" si="611"/>
        <v>63.06900419</v>
      </c>
      <c r="F395" s="25">
        <v>0.02</v>
      </c>
      <c r="G395" s="24">
        <f t="shared" si="612"/>
        <v>4205.496998</v>
      </c>
      <c r="H395" s="25">
        <v>0.05</v>
      </c>
      <c r="I395" s="24">
        <f t="shared" si="613"/>
        <v>283.8105188</v>
      </c>
      <c r="J395" s="25">
        <v>0.02</v>
      </c>
      <c r="K395" s="25">
        <v>0.0</v>
      </c>
      <c r="L395" s="24">
        <f t="shared" ref="L395:O395" si="796">IF(L394="", "", 1 + MROUND(IFERROR(MINIFS(OFFSET(L394, -1, 0, -$B395, 1), OFFSET(L394, -1, 0, -$B395, 1), "&gt;0"), L394) + (LN(1 + $Z395) ^ U$2) * U$3, 1))</f>
        <v>32242</v>
      </c>
      <c r="M395" s="24" t="str">
        <f t="shared" si="796"/>
        <v/>
      </c>
      <c r="N395" s="24" t="str">
        <f t="shared" si="796"/>
        <v/>
      </c>
      <c r="O395" s="24">
        <f t="shared" si="796"/>
        <v>1388</v>
      </c>
      <c r="P395" s="24">
        <f t="shared" ref="P395:S395" si="797">L395*$Y$2</f>
        <v>8060.5</v>
      </c>
      <c r="Q395" s="24">
        <f t="shared" si="797"/>
        <v>0</v>
      </c>
      <c r="R395" s="24">
        <f t="shared" si="797"/>
        <v>0</v>
      </c>
      <c r="S395" s="24">
        <f t="shared" si="797"/>
        <v>347</v>
      </c>
      <c r="T395" s="24">
        <f t="shared" si="4"/>
        <v>10</v>
      </c>
      <c r="Z395" s="25">
        <f t="shared" si="12"/>
        <v>23.51616473</v>
      </c>
    </row>
    <row r="396">
      <c r="A396" s="16" t="s">
        <v>36</v>
      </c>
      <c r="B396" s="17">
        <v>95.0</v>
      </c>
      <c r="C396" s="24">
        <f t="shared" si="610"/>
        <v>29438.47898</v>
      </c>
      <c r="D396" s="25">
        <v>0.05</v>
      </c>
      <c r="E396" s="24">
        <f t="shared" si="611"/>
        <v>64.33038427</v>
      </c>
      <c r="F396" s="25">
        <v>0.02</v>
      </c>
      <c r="G396" s="24">
        <f t="shared" si="612"/>
        <v>4415.771848</v>
      </c>
      <c r="H396" s="25">
        <v>0.05</v>
      </c>
      <c r="I396" s="24">
        <f t="shared" si="613"/>
        <v>289.4867292</v>
      </c>
      <c r="J396" s="25">
        <v>0.02</v>
      </c>
      <c r="K396" s="25">
        <v>0.0</v>
      </c>
      <c r="L396" s="24">
        <f t="shared" ref="L396:O396" si="798">IF(L395="", "", 1 + MROUND(IFERROR(MINIFS(OFFSET(L395, -1, 0, -$B396, 1), OFFSET(L395, -1, 0, -$B396, 1), "&gt;0"), L395) + (LN(1 + $Z396) ^ U$2) * U$3, 1))</f>
        <v>32812</v>
      </c>
      <c r="M396" s="24" t="str">
        <f t="shared" si="798"/>
        <v/>
      </c>
      <c r="N396" s="24" t="str">
        <f t="shared" si="798"/>
        <v/>
      </c>
      <c r="O396" s="24">
        <f t="shared" si="798"/>
        <v>1412</v>
      </c>
      <c r="P396" s="24">
        <f t="shared" ref="P396:S396" si="799">L396*$Y$2</f>
        <v>8203</v>
      </c>
      <c r="Q396" s="24">
        <f t="shared" si="799"/>
        <v>0</v>
      </c>
      <c r="R396" s="24">
        <f t="shared" si="799"/>
        <v>0</v>
      </c>
      <c r="S396" s="24">
        <f t="shared" si="799"/>
        <v>353</v>
      </c>
      <c r="T396" s="24">
        <f t="shared" si="4"/>
        <v>11</v>
      </c>
      <c r="Z396" s="25">
        <f t="shared" si="12"/>
        <v>24.37423049</v>
      </c>
    </row>
    <row r="397">
      <c r="A397" s="16" t="s">
        <v>36</v>
      </c>
      <c r="B397" s="17">
        <v>96.0</v>
      </c>
      <c r="C397" s="24">
        <f t="shared" si="610"/>
        <v>30910.40293</v>
      </c>
      <c r="D397" s="25">
        <v>0.05</v>
      </c>
      <c r="E397" s="24">
        <f t="shared" si="611"/>
        <v>65.61699196</v>
      </c>
      <c r="F397" s="25">
        <v>0.02</v>
      </c>
      <c r="G397" s="24">
        <f t="shared" si="612"/>
        <v>4636.56044</v>
      </c>
      <c r="H397" s="25">
        <v>0.05</v>
      </c>
      <c r="I397" s="24">
        <f t="shared" si="613"/>
        <v>295.2764638</v>
      </c>
      <c r="J397" s="25">
        <v>0.02</v>
      </c>
      <c r="K397" s="25">
        <v>0.0</v>
      </c>
      <c r="L397" s="24">
        <f t="shared" ref="L397:O397" si="800">IF(L396="", "", 1 + MROUND(IFERROR(MINIFS(OFFSET(L396, -1, 0, -$B397, 1), OFFSET(L396, -1, 0, -$B397, 1), "&gt;0"), L396) + (LN(1 + $Z397) ^ U$2) * U$3, 1))</f>
        <v>33386</v>
      </c>
      <c r="M397" s="24" t="str">
        <f t="shared" si="800"/>
        <v/>
      </c>
      <c r="N397" s="24" t="str">
        <f t="shared" si="800"/>
        <v/>
      </c>
      <c r="O397" s="24">
        <f t="shared" si="800"/>
        <v>1436</v>
      </c>
      <c r="P397" s="24">
        <f t="shared" ref="P397:S397" si="801">L397*$Y$2</f>
        <v>8346.5</v>
      </c>
      <c r="Q397" s="24">
        <f t="shared" si="801"/>
        <v>0</v>
      </c>
      <c r="R397" s="24">
        <f t="shared" si="801"/>
        <v>0</v>
      </c>
      <c r="S397" s="24">
        <f t="shared" si="801"/>
        <v>359</v>
      </c>
      <c r="T397" s="24">
        <f t="shared" si="4"/>
        <v>11</v>
      </c>
      <c r="Z397" s="25">
        <f t="shared" si="12"/>
        <v>25.26232856</v>
      </c>
    </row>
    <row r="398">
      <c r="A398" s="16" t="s">
        <v>36</v>
      </c>
      <c r="B398" s="17">
        <v>97.0</v>
      </c>
      <c r="C398" s="24">
        <f t="shared" si="610"/>
        <v>32455.92308</v>
      </c>
      <c r="D398" s="25">
        <v>0.05</v>
      </c>
      <c r="E398" s="24">
        <f t="shared" si="611"/>
        <v>66.9293318</v>
      </c>
      <c r="F398" s="25">
        <v>0.02</v>
      </c>
      <c r="G398" s="24">
        <f t="shared" si="612"/>
        <v>4868.388462</v>
      </c>
      <c r="H398" s="25">
        <v>0.05</v>
      </c>
      <c r="I398" s="24">
        <f t="shared" si="613"/>
        <v>301.1819931</v>
      </c>
      <c r="J398" s="25">
        <v>0.02</v>
      </c>
      <c r="K398" s="25">
        <v>0.0</v>
      </c>
      <c r="L398" s="24">
        <f t="shared" ref="L398:O398" si="802">IF(L397="", "", 1 + MROUND(IFERROR(MINIFS(OFFSET(L397, -1, 0, -$B398, 1), OFFSET(L397, -1, 0, -$B398, 1), "&gt;0"), L397) + (LN(1 + $Z398) ^ U$2) * U$3, 1))</f>
        <v>33964</v>
      </c>
      <c r="M398" s="24" t="str">
        <f t="shared" si="802"/>
        <v/>
      </c>
      <c r="N398" s="24" t="str">
        <f t="shared" si="802"/>
        <v/>
      </c>
      <c r="O398" s="24">
        <f t="shared" si="802"/>
        <v>1460</v>
      </c>
      <c r="P398" s="24">
        <f t="shared" ref="P398:S398" si="803">L398*$Y$2</f>
        <v>8491</v>
      </c>
      <c r="Q398" s="24">
        <f t="shared" si="803"/>
        <v>0</v>
      </c>
      <c r="R398" s="24">
        <f t="shared" si="803"/>
        <v>0</v>
      </c>
      <c r="S398" s="24">
        <f t="shared" si="803"/>
        <v>365</v>
      </c>
      <c r="T398" s="24">
        <f t="shared" si="4"/>
        <v>11</v>
      </c>
      <c r="Z398" s="25">
        <f t="shared" si="12"/>
        <v>26.18151006</v>
      </c>
    </row>
    <row r="399">
      <c r="A399" s="16" t="s">
        <v>36</v>
      </c>
      <c r="B399" s="17">
        <v>98.0</v>
      </c>
      <c r="C399" s="24">
        <f t="shared" si="610"/>
        <v>34078.71923</v>
      </c>
      <c r="D399" s="25">
        <v>0.05</v>
      </c>
      <c r="E399" s="24">
        <f t="shared" si="611"/>
        <v>68.26791843</v>
      </c>
      <c r="F399" s="25">
        <v>0.02</v>
      </c>
      <c r="G399" s="24">
        <f t="shared" si="612"/>
        <v>5111.807885</v>
      </c>
      <c r="H399" s="25">
        <v>0.05</v>
      </c>
      <c r="I399" s="24">
        <f t="shared" si="613"/>
        <v>307.2056329</v>
      </c>
      <c r="J399" s="25">
        <v>0.02</v>
      </c>
      <c r="K399" s="25">
        <v>0.0</v>
      </c>
      <c r="L399" s="24">
        <f t="shared" ref="L399:O399" si="804">IF(L398="", "", 1 + MROUND(IFERROR(MINIFS(OFFSET(L398, -1, 0, -$B399, 1), OFFSET(L398, -1, 0, -$B399, 1), "&gt;0"), L398) + (LN(1 + $Z399) ^ U$2) * U$3, 1))</f>
        <v>34546</v>
      </c>
      <c r="M399" s="24" t="str">
        <f t="shared" si="804"/>
        <v/>
      </c>
      <c r="N399" s="24" t="str">
        <f t="shared" si="804"/>
        <v/>
      </c>
      <c r="O399" s="24">
        <f t="shared" si="804"/>
        <v>1484</v>
      </c>
      <c r="P399" s="24">
        <f t="shared" ref="P399:S399" si="805">L399*$Y$2</f>
        <v>8636.5</v>
      </c>
      <c r="Q399" s="24">
        <f t="shared" si="805"/>
        <v>0</v>
      </c>
      <c r="R399" s="24">
        <f t="shared" si="805"/>
        <v>0</v>
      </c>
      <c r="S399" s="24">
        <f t="shared" si="805"/>
        <v>371</v>
      </c>
      <c r="T399" s="24">
        <f t="shared" si="4"/>
        <v>11</v>
      </c>
      <c r="Z399" s="25">
        <f t="shared" si="12"/>
        <v>27.13286291</v>
      </c>
    </row>
    <row r="400">
      <c r="A400" s="16" t="s">
        <v>36</v>
      </c>
      <c r="B400" s="17">
        <v>99.0</v>
      </c>
      <c r="C400" s="24">
        <f t="shared" si="610"/>
        <v>35782.6552</v>
      </c>
      <c r="D400" s="25">
        <v>0.05</v>
      </c>
      <c r="E400" s="24">
        <f t="shared" si="611"/>
        <v>69.6332768</v>
      </c>
      <c r="F400" s="25">
        <v>0.02</v>
      </c>
      <c r="G400" s="24">
        <f t="shared" si="612"/>
        <v>5367.398279</v>
      </c>
      <c r="H400" s="25">
        <v>0.05</v>
      </c>
      <c r="I400" s="24">
        <f t="shared" si="613"/>
        <v>313.3497456</v>
      </c>
      <c r="J400" s="25">
        <v>0.02</v>
      </c>
      <c r="K400" s="25">
        <v>0.0</v>
      </c>
      <c r="L400" s="24">
        <f t="shared" ref="L400:O400" si="806">IF(L399="", "", 1 + MROUND(IFERROR(MINIFS(OFFSET(L399, -1, 0, -$B400, 1), OFFSET(L399, -1, 0, -$B400, 1), "&gt;0"), L399) + (LN(1 + $Z400) ^ U$2) * U$3, 1))</f>
        <v>35132</v>
      </c>
      <c r="M400" s="24" t="str">
        <f t="shared" si="806"/>
        <v/>
      </c>
      <c r="N400" s="24" t="str">
        <f t="shared" si="806"/>
        <v/>
      </c>
      <c r="O400" s="24">
        <f t="shared" si="806"/>
        <v>1508</v>
      </c>
      <c r="P400" s="24">
        <f t="shared" ref="P400:S400" si="807">L400*$Y$2</f>
        <v>8783</v>
      </c>
      <c r="Q400" s="24">
        <f t="shared" si="807"/>
        <v>0</v>
      </c>
      <c r="R400" s="24">
        <f t="shared" si="807"/>
        <v>0</v>
      </c>
      <c r="S400" s="24">
        <f t="shared" si="807"/>
        <v>377</v>
      </c>
      <c r="T400" s="24">
        <f t="shared" si="4"/>
        <v>11</v>
      </c>
      <c r="Z400" s="25">
        <f t="shared" si="12"/>
        <v>28.11751311</v>
      </c>
    </row>
    <row r="401">
      <c r="A401" s="16" t="s">
        <v>36</v>
      </c>
      <c r="B401" s="17">
        <v>100.0</v>
      </c>
      <c r="C401" s="24">
        <f t="shared" si="610"/>
        <v>37571.78796</v>
      </c>
      <c r="D401" s="25">
        <v>0.05</v>
      </c>
      <c r="E401" s="24">
        <f t="shared" si="611"/>
        <v>71.02594234</v>
      </c>
      <c r="F401" s="25">
        <v>0.02</v>
      </c>
      <c r="G401" s="24">
        <f t="shared" si="612"/>
        <v>5635.768193</v>
      </c>
      <c r="H401" s="25">
        <v>0.05</v>
      </c>
      <c r="I401" s="24">
        <f t="shared" si="613"/>
        <v>319.6167405</v>
      </c>
      <c r="J401" s="25">
        <v>0.02</v>
      </c>
      <c r="K401" s="25">
        <v>0.0</v>
      </c>
      <c r="L401" s="24">
        <f t="shared" ref="L401:L601" si="810">IF(L400="", "", 1 + MROUND(IFERROR(MINIFS(OFFSET(L400, -1, 0, -$B401, 1), OFFSET(L400, -1, 0, -$B401, 1), "&gt;0"), L400) + (LN(1 + $Z401) ^ U$2) * U$3, 1))</f>
        <v>35723</v>
      </c>
      <c r="M401" s="24">
        <f>L401/10</f>
        <v>3572.3</v>
      </c>
      <c r="N401" s="24" t="str">
        <f t="shared" ref="N401:O401" si="808">IF(N400="", "", 1 + MROUND(IFERROR(MINIFS(OFFSET(N400, -1, 0, -$B401, 1), OFFSET(N400, -1, 0, -$B401, 1), "&gt;0"), N400) + (LN(1 + $Z401) ^ W$2) * W$3, 1))</f>
        <v/>
      </c>
      <c r="O401" s="24">
        <f t="shared" si="808"/>
        <v>1533</v>
      </c>
      <c r="P401" s="24">
        <f t="shared" ref="P401:S401" si="809">L401*$Y$2</f>
        <v>8930.75</v>
      </c>
      <c r="Q401" s="24">
        <f t="shared" si="809"/>
        <v>893.075</v>
      </c>
      <c r="R401" s="24">
        <f t="shared" si="809"/>
        <v>0</v>
      </c>
      <c r="S401" s="24">
        <f t="shared" si="809"/>
        <v>383.25</v>
      </c>
      <c r="T401" s="24">
        <f t="shared" si="4"/>
        <v>11</v>
      </c>
      <c r="Z401" s="25">
        <f t="shared" si="12"/>
        <v>29.13662607</v>
      </c>
    </row>
    <row r="402">
      <c r="A402" s="16" t="s">
        <v>36</v>
      </c>
      <c r="B402" s="17">
        <v>101.0</v>
      </c>
      <c r="C402" s="24">
        <f t="shared" si="610"/>
        <v>39450.37735</v>
      </c>
      <c r="D402" s="25">
        <v>0.05</v>
      </c>
      <c r="E402" s="24">
        <f t="shared" si="611"/>
        <v>72.44646118</v>
      </c>
      <c r="F402" s="25">
        <v>0.02</v>
      </c>
      <c r="G402" s="24">
        <f t="shared" si="612"/>
        <v>5917.556603</v>
      </c>
      <c r="H402" s="25">
        <v>0.05</v>
      </c>
      <c r="I402" s="24">
        <f t="shared" si="613"/>
        <v>326.0090753</v>
      </c>
      <c r="J402" s="25">
        <v>0.02</v>
      </c>
      <c r="K402" s="25">
        <v>0.0</v>
      </c>
      <c r="L402" s="24">
        <f t="shared" si="810"/>
        <v>36318</v>
      </c>
      <c r="M402" s="24">
        <f t="shared" ref="M402:O402" si="811">IF(M401="", "", 1 + MROUND(IFERROR(MINIFS(OFFSET(M401, -1, 0, -$B402, 1), OFFSET(M401, -1, 0, -$B402, 1), "&gt;0"), M401) + (LN(1 + $Z402) ^ V$2) * V$3, 1))</f>
        <v>3621</v>
      </c>
      <c r="N402" s="24" t="str">
        <f t="shared" si="811"/>
        <v/>
      </c>
      <c r="O402" s="24">
        <f t="shared" si="811"/>
        <v>1558</v>
      </c>
      <c r="P402" s="24">
        <f t="shared" ref="P402:S402" si="812">L402*$Y$2</f>
        <v>9079.5</v>
      </c>
      <c r="Q402" s="24">
        <f t="shared" si="812"/>
        <v>905.25</v>
      </c>
      <c r="R402" s="24">
        <f t="shared" si="812"/>
        <v>0</v>
      </c>
      <c r="S402" s="24">
        <f t="shared" si="812"/>
        <v>389.5</v>
      </c>
      <c r="T402" s="24">
        <f t="shared" si="4"/>
        <v>11</v>
      </c>
      <c r="Z402" s="25">
        <f t="shared" si="12"/>
        <v>30.19140798</v>
      </c>
    </row>
    <row r="403">
      <c r="A403" s="16" t="s">
        <v>36</v>
      </c>
      <c r="B403" s="17">
        <v>102.0</v>
      </c>
      <c r="C403" s="24">
        <f t="shared" si="610"/>
        <v>41422.89622</v>
      </c>
      <c r="D403" s="25">
        <v>0.05</v>
      </c>
      <c r="E403" s="24">
        <f t="shared" si="611"/>
        <v>73.89539041</v>
      </c>
      <c r="F403" s="25">
        <v>0.02</v>
      </c>
      <c r="G403" s="24">
        <f t="shared" si="612"/>
        <v>6213.434433</v>
      </c>
      <c r="H403" s="25">
        <v>0.05</v>
      </c>
      <c r="I403" s="24">
        <f t="shared" si="613"/>
        <v>332.5292568</v>
      </c>
      <c r="J403" s="25">
        <v>0.02</v>
      </c>
      <c r="K403" s="25">
        <v>0.0</v>
      </c>
      <c r="L403" s="24">
        <f t="shared" si="810"/>
        <v>36917</v>
      </c>
      <c r="M403" s="24">
        <f t="shared" ref="M403:O403" si="813">IF(M402="", "", 1 + MROUND(IFERROR(MINIFS(OFFSET(M402, -1, 0, -$B403, 1), OFFSET(M402, -1, 0, -$B403, 1), "&gt;0"), M402) + (LN(1 + $Z403) ^ V$2) * V$3, 1))</f>
        <v>3670</v>
      </c>
      <c r="N403" s="24" t="str">
        <f t="shared" si="813"/>
        <v/>
      </c>
      <c r="O403" s="24">
        <f t="shared" si="813"/>
        <v>1583</v>
      </c>
      <c r="P403" s="24">
        <f t="shared" ref="P403:S403" si="814">L403*$Y$2</f>
        <v>9229.25</v>
      </c>
      <c r="Q403" s="24">
        <f t="shared" si="814"/>
        <v>917.5</v>
      </c>
      <c r="R403" s="24">
        <f t="shared" si="814"/>
        <v>0</v>
      </c>
      <c r="S403" s="24">
        <f t="shared" si="814"/>
        <v>395.75</v>
      </c>
      <c r="T403" s="24">
        <f t="shared" si="4"/>
        <v>11</v>
      </c>
      <c r="Z403" s="25">
        <f t="shared" si="12"/>
        <v>31.28310726</v>
      </c>
    </row>
    <row r="404">
      <c r="A404" s="16" t="s">
        <v>36</v>
      </c>
      <c r="B404" s="17">
        <v>103.0</v>
      </c>
      <c r="C404" s="24">
        <f t="shared" si="610"/>
        <v>43494.04103</v>
      </c>
      <c r="D404" s="25">
        <v>0.05</v>
      </c>
      <c r="E404" s="24">
        <f t="shared" si="611"/>
        <v>75.37329821</v>
      </c>
      <c r="F404" s="25">
        <v>0.02</v>
      </c>
      <c r="G404" s="24">
        <f t="shared" si="612"/>
        <v>6524.106155</v>
      </c>
      <c r="H404" s="25">
        <v>0.05</v>
      </c>
      <c r="I404" s="24">
        <f t="shared" si="613"/>
        <v>339.179842</v>
      </c>
      <c r="J404" s="25">
        <v>0.02</v>
      </c>
      <c r="K404" s="25">
        <v>0.0</v>
      </c>
      <c r="L404" s="24">
        <f t="shared" si="810"/>
        <v>37520</v>
      </c>
      <c r="M404" s="24">
        <f t="shared" ref="M404:O404" si="815">IF(M403="", "", 1 + MROUND(IFERROR(MINIFS(OFFSET(M403, -1, 0, -$B404, 1), OFFSET(M403, -1, 0, -$B404, 1), "&gt;0"), M403) + (LN(1 + $Z404) ^ V$2) * V$3, 1))</f>
        <v>3719</v>
      </c>
      <c r="N404" s="24" t="str">
        <f t="shared" si="815"/>
        <v/>
      </c>
      <c r="O404" s="24">
        <f t="shared" si="815"/>
        <v>1608</v>
      </c>
      <c r="P404" s="24">
        <f t="shared" ref="P404:S404" si="816">L404*$Y$2</f>
        <v>9380</v>
      </c>
      <c r="Q404" s="24">
        <f t="shared" si="816"/>
        <v>929.75</v>
      </c>
      <c r="R404" s="24">
        <f t="shared" si="816"/>
        <v>0</v>
      </c>
      <c r="S404" s="24">
        <f t="shared" si="816"/>
        <v>402</v>
      </c>
      <c r="T404" s="24">
        <f t="shared" si="4"/>
        <v>11</v>
      </c>
      <c r="Z404" s="25">
        <f t="shared" si="12"/>
        <v>32.41301602</v>
      </c>
    </row>
    <row r="405">
      <c r="A405" s="16" t="s">
        <v>36</v>
      </c>
      <c r="B405" s="17">
        <v>104.0</v>
      </c>
      <c r="C405" s="24">
        <f t="shared" si="610"/>
        <v>45668.74308</v>
      </c>
      <c r="D405" s="25">
        <v>0.05</v>
      </c>
      <c r="E405" s="24">
        <f t="shared" si="611"/>
        <v>76.88076418</v>
      </c>
      <c r="F405" s="25">
        <v>0.02</v>
      </c>
      <c r="G405" s="24">
        <f t="shared" si="612"/>
        <v>6850.311463</v>
      </c>
      <c r="H405" s="25">
        <v>0.05</v>
      </c>
      <c r="I405" s="24">
        <f t="shared" si="613"/>
        <v>345.9634388</v>
      </c>
      <c r="J405" s="25">
        <v>0.02</v>
      </c>
      <c r="K405" s="25">
        <v>0.0</v>
      </c>
      <c r="L405" s="24">
        <f t="shared" si="810"/>
        <v>38127</v>
      </c>
      <c r="M405" s="24">
        <f t="shared" ref="M405:O405" si="817">IF(M404="", "", 1 + MROUND(IFERROR(MINIFS(OFFSET(M404, -1, 0, -$B405, 1), OFFSET(M404, -1, 0, -$B405, 1), "&gt;0"), M404) + (LN(1 + $Z405) ^ V$2) * V$3, 1))</f>
        <v>3768</v>
      </c>
      <c r="N405" s="24" t="str">
        <f t="shared" si="817"/>
        <v/>
      </c>
      <c r="O405" s="24">
        <f t="shared" si="817"/>
        <v>1633</v>
      </c>
      <c r="P405" s="24">
        <f t="shared" ref="P405:S405" si="818">L405*$Y$2</f>
        <v>9531.75</v>
      </c>
      <c r="Q405" s="24">
        <f t="shared" si="818"/>
        <v>942</v>
      </c>
      <c r="R405" s="24">
        <f t="shared" si="818"/>
        <v>0</v>
      </c>
      <c r="S405" s="24">
        <f t="shared" si="818"/>
        <v>408.25</v>
      </c>
      <c r="T405" s="24">
        <f t="shared" si="4"/>
        <v>11</v>
      </c>
      <c r="Z405" s="25">
        <f t="shared" si="12"/>
        <v>33.58247158</v>
      </c>
    </row>
    <row r="406">
      <c r="A406" s="16" t="s">
        <v>36</v>
      </c>
      <c r="B406" s="17">
        <v>105.0</v>
      </c>
      <c r="C406" s="24">
        <f t="shared" si="610"/>
        <v>47952.18024</v>
      </c>
      <c r="D406" s="25">
        <v>0.05</v>
      </c>
      <c r="E406" s="24">
        <f t="shared" si="611"/>
        <v>78.41837946</v>
      </c>
      <c r="F406" s="25">
        <v>0.02</v>
      </c>
      <c r="G406" s="24">
        <f t="shared" si="612"/>
        <v>7192.827036</v>
      </c>
      <c r="H406" s="25">
        <v>0.05</v>
      </c>
      <c r="I406" s="24">
        <f t="shared" si="613"/>
        <v>352.8827076</v>
      </c>
      <c r="J406" s="25">
        <v>0.02</v>
      </c>
      <c r="K406" s="25">
        <v>0.0</v>
      </c>
      <c r="L406" s="24">
        <f t="shared" si="810"/>
        <v>38738</v>
      </c>
      <c r="M406" s="24">
        <f t="shared" ref="M406:O406" si="819">IF(M405="", "", 1 + MROUND(IFERROR(MINIFS(OFFSET(M405, -1, 0, -$B406, 1), OFFSET(M405, -1, 0, -$B406, 1), "&gt;0"), M405) + (LN(1 + $Z406) ^ V$2) * V$3, 1))</f>
        <v>3818</v>
      </c>
      <c r="N406" s="24" t="str">
        <f t="shared" si="819"/>
        <v/>
      </c>
      <c r="O406" s="24">
        <f t="shared" si="819"/>
        <v>1658</v>
      </c>
      <c r="P406" s="24">
        <f t="shared" ref="P406:S406" si="820">L406*$Y$2</f>
        <v>9684.5</v>
      </c>
      <c r="Q406" s="24">
        <f t="shared" si="820"/>
        <v>954.5</v>
      </c>
      <c r="R406" s="24">
        <f t="shared" si="820"/>
        <v>0</v>
      </c>
      <c r="S406" s="24">
        <f t="shared" si="820"/>
        <v>414.5</v>
      </c>
      <c r="T406" s="24">
        <f t="shared" si="4"/>
        <v>12</v>
      </c>
      <c r="Z406" s="25">
        <f t="shared" si="12"/>
        <v>34.79285808</v>
      </c>
    </row>
    <row r="407">
      <c r="A407" s="16" t="s">
        <v>36</v>
      </c>
      <c r="B407" s="17">
        <v>106.0</v>
      </c>
      <c r="C407" s="24">
        <f t="shared" si="610"/>
        <v>50349.78925</v>
      </c>
      <c r="D407" s="25">
        <v>0.05</v>
      </c>
      <c r="E407" s="24">
        <f t="shared" si="611"/>
        <v>79.98674705</v>
      </c>
      <c r="F407" s="25">
        <v>0.02</v>
      </c>
      <c r="G407" s="24">
        <f t="shared" si="612"/>
        <v>7552.468388</v>
      </c>
      <c r="H407" s="25">
        <v>0.05</v>
      </c>
      <c r="I407" s="24">
        <f t="shared" si="613"/>
        <v>359.9403617</v>
      </c>
      <c r="J407" s="25">
        <v>0.02</v>
      </c>
      <c r="K407" s="25">
        <v>0.0</v>
      </c>
      <c r="L407" s="24">
        <f t="shared" si="810"/>
        <v>39353</v>
      </c>
      <c r="M407" s="24">
        <f t="shared" ref="M407:O407" si="821">IF(M406="", "", 1 + MROUND(IFERROR(MINIFS(OFFSET(M406, -1, 0, -$B407, 1), OFFSET(M406, -1, 0, -$B407, 1), "&gt;0"), M406) + (LN(1 + $Z407) ^ V$2) * V$3, 1))</f>
        <v>3868</v>
      </c>
      <c r="N407" s="24" t="str">
        <f t="shared" si="821"/>
        <v/>
      </c>
      <c r="O407" s="24">
        <f t="shared" si="821"/>
        <v>1684</v>
      </c>
      <c r="P407" s="24">
        <f t="shared" ref="P407:S407" si="822">L407*$Y$2</f>
        <v>9838.25</v>
      </c>
      <c r="Q407" s="24">
        <f t="shared" si="822"/>
        <v>967</v>
      </c>
      <c r="R407" s="24">
        <f t="shared" si="822"/>
        <v>0</v>
      </c>
      <c r="S407" s="24">
        <f t="shared" si="822"/>
        <v>421</v>
      </c>
      <c r="T407" s="24">
        <f t="shared" si="4"/>
        <v>12</v>
      </c>
      <c r="Z407" s="25">
        <f t="shared" si="12"/>
        <v>36.04560812</v>
      </c>
    </row>
    <row r="408">
      <c r="A408" s="16" t="s">
        <v>36</v>
      </c>
      <c r="B408" s="17">
        <v>107.0</v>
      </c>
      <c r="C408" s="24">
        <f t="shared" si="610"/>
        <v>52867.27871</v>
      </c>
      <c r="D408" s="25">
        <v>0.05</v>
      </c>
      <c r="E408" s="24">
        <f t="shared" si="611"/>
        <v>81.58648199</v>
      </c>
      <c r="F408" s="25">
        <v>0.02</v>
      </c>
      <c r="G408" s="24">
        <f t="shared" si="612"/>
        <v>7930.091807</v>
      </c>
      <c r="H408" s="25">
        <v>0.05</v>
      </c>
      <c r="I408" s="24">
        <f t="shared" si="613"/>
        <v>367.139169</v>
      </c>
      <c r="J408" s="25">
        <v>0.02</v>
      </c>
      <c r="K408" s="25">
        <v>0.0</v>
      </c>
      <c r="L408" s="24">
        <f t="shared" si="810"/>
        <v>39972</v>
      </c>
      <c r="M408" s="24">
        <f t="shared" ref="M408:O408" si="823">IF(M407="", "", 1 + MROUND(IFERROR(MINIFS(OFFSET(M407, -1, 0, -$B408, 1), OFFSET(M407, -1, 0, -$B408, 1), "&gt;0"), M407) + (LN(1 + $Z408) ^ V$2) * V$3, 1))</f>
        <v>3918</v>
      </c>
      <c r="N408" s="24" t="str">
        <f t="shared" si="823"/>
        <v/>
      </c>
      <c r="O408" s="24">
        <f t="shared" si="823"/>
        <v>1710</v>
      </c>
      <c r="P408" s="24">
        <f t="shared" ref="P408:S408" si="824">L408*$Y$2</f>
        <v>9993</v>
      </c>
      <c r="Q408" s="24">
        <f t="shared" si="824"/>
        <v>979.5</v>
      </c>
      <c r="R408" s="24">
        <f t="shared" si="824"/>
        <v>0</v>
      </c>
      <c r="S408" s="24">
        <f t="shared" si="824"/>
        <v>427.5</v>
      </c>
      <c r="T408" s="24">
        <f t="shared" si="4"/>
        <v>12</v>
      </c>
      <c r="Z408" s="25">
        <f t="shared" si="12"/>
        <v>37.3422044</v>
      </c>
    </row>
    <row r="409">
      <c r="A409" s="16" t="s">
        <v>36</v>
      </c>
      <c r="B409" s="17">
        <v>108.0</v>
      </c>
      <c r="C409" s="24">
        <f t="shared" si="610"/>
        <v>55510.64265</v>
      </c>
      <c r="D409" s="25">
        <v>0.05</v>
      </c>
      <c r="E409" s="24">
        <f t="shared" si="611"/>
        <v>83.21821163</v>
      </c>
      <c r="F409" s="25">
        <v>0.02</v>
      </c>
      <c r="G409" s="24">
        <f t="shared" si="612"/>
        <v>8326.596397</v>
      </c>
      <c r="H409" s="25">
        <v>0.05</v>
      </c>
      <c r="I409" s="24">
        <f t="shared" si="613"/>
        <v>374.4819523</v>
      </c>
      <c r="J409" s="25">
        <v>0.02</v>
      </c>
      <c r="K409" s="25">
        <v>0.0</v>
      </c>
      <c r="L409" s="24">
        <f t="shared" si="810"/>
        <v>40595</v>
      </c>
      <c r="M409" s="24">
        <f t="shared" ref="M409:O409" si="825">IF(M408="", "", 1 + MROUND(IFERROR(MINIFS(OFFSET(M408, -1, 0, -$B409, 1), OFFSET(M408, -1, 0, -$B409, 1), "&gt;0"), M408) + (LN(1 + $Z409) ^ V$2) * V$3, 1))</f>
        <v>3969</v>
      </c>
      <c r="N409" s="24" t="str">
        <f t="shared" si="825"/>
        <v/>
      </c>
      <c r="O409" s="24">
        <f t="shared" si="825"/>
        <v>1736</v>
      </c>
      <c r="P409" s="24">
        <f t="shared" ref="P409:S409" si="826">L409*$Y$2</f>
        <v>10148.75</v>
      </c>
      <c r="Q409" s="24">
        <f t="shared" si="826"/>
        <v>992.25</v>
      </c>
      <c r="R409" s="24">
        <f t="shared" si="826"/>
        <v>0</v>
      </c>
      <c r="S409" s="24">
        <f t="shared" si="826"/>
        <v>434</v>
      </c>
      <c r="T409" s="24">
        <f t="shared" si="4"/>
        <v>12</v>
      </c>
      <c r="Z409" s="25">
        <f t="shared" si="12"/>
        <v>38.68418155</v>
      </c>
    </row>
    <row r="410">
      <c r="A410" s="16" t="s">
        <v>36</v>
      </c>
      <c r="B410" s="17">
        <v>109.0</v>
      </c>
      <c r="C410" s="24">
        <f t="shared" si="610"/>
        <v>58286.17478</v>
      </c>
      <c r="D410" s="25">
        <v>0.05</v>
      </c>
      <c r="E410" s="24">
        <f t="shared" si="611"/>
        <v>84.88257586</v>
      </c>
      <c r="F410" s="25">
        <v>0.02</v>
      </c>
      <c r="G410" s="24">
        <f t="shared" si="612"/>
        <v>8742.926217</v>
      </c>
      <c r="H410" s="25">
        <v>0.05</v>
      </c>
      <c r="I410" s="24">
        <f t="shared" si="613"/>
        <v>381.9715914</v>
      </c>
      <c r="J410" s="25">
        <v>0.02</v>
      </c>
      <c r="K410" s="25">
        <v>0.0</v>
      </c>
      <c r="L410" s="24">
        <f t="shared" si="810"/>
        <v>41223</v>
      </c>
      <c r="M410" s="24">
        <f t="shared" ref="M410:O410" si="827">IF(M409="", "", 1 + MROUND(IFERROR(MINIFS(OFFSET(M409, -1, 0, -$B410, 1), OFFSET(M409, -1, 0, -$B410, 1), "&gt;0"), M409) + (LN(1 + $Z410) ^ V$2) * V$3, 1))</f>
        <v>4020</v>
      </c>
      <c r="N410" s="24" t="str">
        <f t="shared" si="827"/>
        <v/>
      </c>
      <c r="O410" s="24">
        <f t="shared" si="827"/>
        <v>1762</v>
      </c>
      <c r="P410" s="24">
        <f t="shared" ref="P410:S410" si="828">L410*$Y$2</f>
        <v>10305.75</v>
      </c>
      <c r="Q410" s="24">
        <f t="shared" si="828"/>
        <v>1005</v>
      </c>
      <c r="R410" s="24">
        <f t="shared" si="828"/>
        <v>0</v>
      </c>
      <c r="S410" s="24">
        <f t="shared" si="828"/>
        <v>440.5</v>
      </c>
      <c r="T410" s="24">
        <f t="shared" si="4"/>
        <v>12</v>
      </c>
      <c r="Z410" s="25">
        <f t="shared" si="12"/>
        <v>40.07312791</v>
      </c>
    </row>
    <row r="411">
      <c r="A411" s="16" t="s">
        <v>36</v>
      </c>
      <c r="B411" s="17">
        <v>110.0</v>
      </c>
      <c r="C411" s="24">
        <f t="shared" si="610"/>
        <v>61200.48352</v>
      </c>
      <c r="D411" s="25">
        <v>0.05</v>
      </c>
      <c r="E411" s="24">
        <f t="shared" si="611"/>
        <v>86.58022738</v>
      </c>
      <c r="F411" s="25">
        <v>0.02</v>
      </c>
      <c r="G411" s="24">
        <f t="shared" si="612"/>
        <v>9180.072528</v>
      </c>
      <c r="H411" s="25">
        <v>0.05</v>
      </c>
      <c r="I411" s="24">
        <f t="shared" si="613"/>
        <v>389.6110232</v>
      </c>
      <c r="J411" s="25">
        <v>0.02</v>
      </c>
      <c r="K411" s="25">
        <v>0.0</v>
      </c>
      <c r="L411" s="24">
        <f t="shared" si="810"/>
        <v>41855</v>
      </c>
      <c r="M411" s="24">
        <f t="shared" ref="M411:O411" si="829">IF(M410="", "", 1 + MROUND(IFERROR(MINIFS(OFFSET(M410, -1, 0, -$B411, 1), OFFSET(M410, -1, 0, -$B411, 1), "&gt;0"), M410) + (LN(1 + $Z411) ^ V$2) * V$3, 1))</f>
        <v>4071</v>
      </c>
      <c r="N411" s="24" t="str">
        <f t="shared" si="829"/>
        <v/>
      </c>
      <c r="O411" s="24">
        <f t="shared" si="829"/>
        <v>1788</v>
      </c>
      <c r="P411" s="24">
        <f t="shared" ref="P411:S411" si="830">L411*$Y$2</f>
        <v>10463.75</v>
      </c>
      <c r="Q411" s="24">
        <f t="shared" si="830"/>
        <v>1017.75</v>
      </c>
      <c r="R411" s="24">
        <f t="shared" si="830"/>
        <v>0</v>
      </c>
      <c r="S411" s="24">
        <f t="shared" si="830"/>
        <v>447</v>
      </c>
      <c r="T411" s="24">
        <f t="shared" si="4"/>
        <v>12</v>
      </c>
      <c r="Z411" s="25">
        <f t="shared" si="12"/>
        <v>41.51068738</v>
      </c>
    </row>
    <row r="412">
      <c r="A412" s="16" t="s">
        <v>36</v>
      </c>
      <c r="B412" s="17">
        <v>111.0</v>
      </c>
      <c r="C412" s="24">
        <f t="shared" si="610"/>
        <v>64260.5077</v>
      </c>
      <c r="D412" s="25">
        <v>0.05</v>
      </c>
      <c r="E412" s="24">
        <f t="shared" si="611"/>
        <v>88.31183193</v>
      </c>
      <c r="F412" s="25">
        <v>0.02</v>
      </c>
      <c r="G412" s="24">
        <f t="shared" si="612"/>
        <v>9639.076154</v>
      </c>
      <c r="H412" s="25">
        <v>0.05</v>
      </c>
      <c r="I412" s="24">
        <f t="shared" si="613"/>
        <v>397.4032437</v>
      </c>
      <c r="J412" s="25">
        <v>0.02</v>
      </c>
      <c r="K412" s="25">
        <v>0.0</v>
      </c>
      <c r="L412" s="24">
        <f t="shared" si="810"/>
        <v>42491</v>
      </c>
      <c r="M412" s="24">
        <f t="shared" ref="M412:O412" si="831">IF(M411="", "", 1 + MROUND(IFERROR(MINIFS(OFFSET(M411, -1, 0, -$B412, 1), OFFSET(M411, -1, 0, -$B412, 1), "&gt;0"), M411) + (LN(1 + $Z412) ^ V$2) * V$3, 1))</f>
        <v>4123</v>
      </c>
      <c r="N412" s="24" t="str">
        <f t="shared" si="831"/>
        <v/>
      </c>
      <c r="O412" s="24">
        <f t="shared" si="831"/>
        <v>1814</v>
      </c>
      <c r="P412" s="24">
        <f t="shared" ref="P412:S412" si="832">L412*$Y$2</f>
        <v>10622.75</v>
      </c>
      <c r="Q412" s="24">
        <f t="shared" si="832"/>
        <v>1030.75</v>
      </c>
      <c r="R412" s="24">
        <f t="shared" si="832"/>
        <v>0</v>
      </c>
      <c r="S412" s="24">
        <f t="shared" si="832"/>
        <v>453.5</v>
      </c>
      <c r="T412" s="24">
        <f t="shared" si="4"/>
        <v>12</v>
      </c>
      <c r="Z412" s="25">
        <f t="shared" si="12"/>
        <v>42.99856144</v>
      </c>
    </row>
    <row r="413">
      <c r="A413" s="16" t="s">
        <v>36</v>
      </c>
      <c r="B413" s="17">
        <v>112.0</v>
      </c>
      <c r="C413" s="24">
        <f t="shared" si="610"/>
        <v>67473.53308</v>
      </c>
      <c r="D413" s="25">
        <v>0.05</v>
      </c>
      <c r="E413" s="24">
        <f t="shared" si="611"/>
        <v>90.07806857</v>
      </c>
      <c r="F413" s="25">
        <v>0.02</v>
      </c>
      <c r="G413" s="24">
        <f t="shared" si="612"/>
        <v>10121.02996</v>
      </c>
      <c r="H413" s="25">
        <v>0.05</v>
      </c>
      <c r="I413" s="24">
        <f t="shared" si="613"/>
        <v>405.3513086</v>
      </c>
      <c r="J413" s="25">
        <v>0.02</v>
      </c>
      <c r="K413" s="25">
        <v>0.0</v>
      </c>
      <c r="L413" s="24">
        <f t="shared" si="810"/>
        <v>43131</v>
      </c>
      <c r="M413" s="24">
        <f t="shared" ref="M413:O413" si="833">IF(M412="", "", 1 + MROUND(IFERROR(MINIFS(OFFSET(M412, -1, 0, -$B413, 1), OFFSET(M412, -1, 0, -$B413, 1), "&gt;0"), M412) + (LN(1 + $Z413) ^ V$2) * V$3, 1))</f>
        <v>4175</v>
      </c>
      <c r="N413" s="24" t="str">
        <f t="shared" si="833"/>
        <v/>
      </c>
      <c r="O413" s="24">
        <f t="shared" si="833"/>
        <v>1841</v>
      </c>
      <c r="P413" s="24">
        <f t="shared" ref="P413:S413" si="834">L413*$Y$2</f>
        <v>10782.75</v>
      </c>
      <c r="Q413" s="24">
        <f t="shared" si="834"/>
        <v>1043.75</v>
      </c>
      <c r="R413" s="24">
        <f t="shared" si="834"/>
        <v>0</v>
      </c>
      <c r="S413" s="24">
        <f t="shared" si="834"/>
        <v>460.25</v>
      </c>
      <c r="T413" s="24">
        <f t="shared" si="4"/>
        <v>12</v>
      </c>
      <c r="Z413" s="25">
        <f t="shared" si="12"/>
        <v>44.53851109</v>
      </c>
    </row>
    <row r="414">
      <c r="A414" s="16" t="s">
        <v>36</v>
      </c>
      <c r="B414" s="17">
        <v>113.0</v>
      </c>
      <c r="C414" s="24">
        <f t="shared" si="610"/>
        <v>70847.20973</v>
      </c>
      <c r="D414" s="25">
        <v>0.05</v>
      </c>
      <c r="E414" s="24">
        <f t="shared" si="611"/>
        <v>91.87962994</v>
      </c>
      <c r="F414" s="25">
        <v>0.02</v>
      </c>
      <c r="G414" s="24">
        <f t="shared" si="612"/>
        <v>10627.08146</v>
      </c>
      <c r="H414" s="25">
        <v>0.05</v>
      </c>
      <c r="I414" s="24">
        <f t="shared" si="613"/>
        <v>413.4583347</v>
      </c>
      <c r="J414" s="25">
        <v>0.02</v>
      </c>
      <c r="K414" s="25">
        <v>0.0</v>
      </c>
      <c r="L414" s="24">
        <f t="shared" si="810"/>
        <v>43775</v>
      </c>
      <c r="M414" s="24">
        <f t="shared" ref="M414:O414" si="835">IF(M413="", "", 1 + MROUND(IFERROR(MINIFS(OFFSET(M413, -1, 0, -$B414, 1), OFFSET(M413, -1, 0, -$B414, 1), "&gt;0"), M413) + (LN(1 + $Z414) ^ V$2) * V$3, 1))</f>
        <v>4227</v>
      </c>
      <c r="N414" s="24" t="str">
        <f t="shared" si="835"/>
        <v/>
      </c>
      <c r="O414" s="24">
        <f t="shared" si="835"/>
        <v>1868</v>
      </c>
      <c r="P414" s="24">
        <f t="shared" ref="P414:S414" si="836">L414*$Y$2</f>
        <v>10943.75</v>
      </c>
      <c r="Q414" s="24">
        <f t="shared" si="836"/>
        <v>1056.75</v>
      </c>
      <c r="R414" s="24">
        <f t="shared" si="836"/>
        <v>0</v>
      </c>
      <c r="S414" s="24">
        <f t="shared" si="836"/>
        <v>467</v>
      </c>
      <c r="T414" s="24">
        <f t="shared" si="4"/>
        <v>12</v>
      </c>
      <c r="Z414" s="25">
        <f t="shared" si="12"/>
        <v>46.13235898</v>
      </c>
    </row>
    <row r="415">
      <c r="A415" s="16" t="s">
        <v>36</v>
      </c>
      <c r="B415" s="17">
        <v>114.0</v>
      </c>
      <c r="C415" s="24">
        <f t="shared" si="610"/>
        <v>74389.57022</v>
      </c>
      <c r="D415" s="25">
        <v>0.05</v>
      </c>
      <c r="E415" s="24">
        <f t="shared" si="611"/>
        <v>93.71722254</v>
      </c>
      <c r="F415" s="25">
        <v>0.02</v>
      </c>
      <c r="G415" s="24">
        <f t="shared" si="612"/>
        <v>11158.43553</v>
      </c>
      <c r="H415" s="25">
        <v>0.05</v>
      </c>
      <c r="I415" s="24">
        <f t="shared" si="613"/>
        <v>421.7275014</v>
      </c>
      <c r="J415" s="25">
        <v>0.02</v>
      </c>
      <c r="K415" s="25">
        <v>0.0</v>
      </c>
      <c r="L415" s="24">
        <f t="shared" si="810"/>
        <v>44423</v>
      </c>
      <c r="M415" s="24">
        <f t="shared" ref="M415:O415" si="837">IF(M414="", "", 1 + MROUND(IFERROR(MINIFS(OFFSET(M414, -1, 0, -$B415, 1), OFFSET(M414, -1, 0, -$B415, 1), "&gt;0"), M414) + (LN(1 + $Z415) ^ V$2) * V$3, 1))</f>
        <v>4280</v>
      </c>
      <c r="N415" s="24" t="str">
        <f t="shared" si="837"/>
        <v/>
      </c>
      <c r="O415" s="24">
        <f t="shared" si="837"/>
        <v>1895</v>
      </c>
      <c r="P415" s="24">
        <f t="shared" ref="P415:S415" si="838">L415*$Y$2</f>
        <v>11105.75</v>
      </c>
      <c r="Q415" s="24">
        <f t="shared" si="838"/>
        <v>1070</v>
      </c>
      <c r="R415" s="24">
        <f t="shared" si="838"/>
        <v>0</v>
      </c>
      <c r="S415" s="24">
        <f t="shared" si="838"/>
        <v>473.75</v>
      </c>
      <c r="T415" s="24">
        <f t="shared" si="4"/>
        <v>12</v>
      </c>
      <c r="Z415" s="25">
        <f t="shared" si="12"/>
        <v>47.78199155</v>
      </c>
    </row>
    <row r="416">
      <c r="A416" s="16" t="s">
        <v>36</v>
      </c>
      <c r="B416" s="17">
        <v>115.0</v>
      </c>
      <c r="C416" s="24">
        <f t="shared" si="610"/>
        <v>78109.04873</v>
      </c>
      <c r="D416" s="25">
        <v>0.05</v>
      </c>
      <c r="E416" s="24">
        <f t="shared" si="611"/>
        <v>95.59156699</v>
      </c>
      <c r="F416" s="25">
        <v>0.02</v>
      </c>
      <c r="G416" s="24">
        <f t="shared" si="612"/>
        <v>11716.35731</v>
      </c>
      <c r="H416" s="25">
        <v>0.05</v>
      </c>
      <c r="I416" s="24">
        <f t="shared" si="613"/>
        <v>430.1620515</v>
      </c>
      <c r="J416" s="25">
        <v>0.02</v>
      </c>
      <c r="K416" s="25">
        <v>0.0</v>
      </c>
      <c r="L416" s="24">
        <f t="shared" si="810"/>
        <v>45075</v>
      </c>
      <c r="M416" s="24">
        <f t="shared" ref="M416:O416" si="839">IF(M415="", "", 1 + MROUND(IFERROR(MINIFS(OFFSET(M415, -1, 0, -$B416, 1), OFFSET(M415, -1, 0, -$B416, 1), "&gt;0"), M415) + (LN(1 + $Z416) ^ V$2) * V$3, 1))</f>
        <v>4333</v>
      </c>
      <c r="N416" s="24" t="str">
        <f t="shared" si="839"/>
        <v/>
      </c>
      <c r="O416" s="24">
        <f t="shared" si="839"/>
        <v>1922</v>
      </c>
      <c r="P416" s="24">
        <f t="shared" ref="P416:S416" si="840">L416*$Y$2</f>
        <v>11268.75</v>
      </c>
      <c r="Q416" s="24">
        <f t="shared" si="840"/>
        <v>1083.25</v>
      </c>
      <c r="R416" s="24">
        <f t="shared" si="840"/>
        <v>0</v>
      </c>
      <c r="S416" s="24">
        <f t="shared" si="840"/>
        <v>480.5</v>
      </c>
      <c r="T416" s="24">
        <f t="shared" si="4"/>
        <v>13</v>
      </c>
      <c r="Z416" s="25">
        <f t="shared" si="12"/>
        <v>49.48936125</v>
      </c>
    </row>
    <row r="417">
      <c r="A417" s="16" t="s">
        <v>36</v>
      </c>
      <c r="B417" s="17">
        <v>116.0</v>
      </c>
      <c r="C417" s="24">
        <f t="shared" si="610"/>
        <v>82014.50117</v>
      </c>
      <c r="D417" s="25">
        <v>0.05</v>
      </c>
      <c r="E417" s="24">
        <f t="shared" si="611"/>
        <v>97.50339833</v>
      </c>
      <c r="F417" s="25">
        <v>0.02</v>
      </c>
      <c r="G417" s="24">
        <f t="shared" si="612"/>
        <v>12302.17518</v>
      </c>
      <c r="H417" s="25">
        <v>0.05</v>
      </c>
      <c r="I417" s="24">
        <f t="shared" si="613"/>
        <v>438.7652925</v>
      </c>
      <c r="J417" s="25">
        <v>0.02</v>
      </c>
      <c r="K417" s="25">
        <v>0.0</v>
      </c>
      <c r="L417" s="24">
        <f t="shared" si="810"/>
        <v>45731</v>
      </c>
      <c r="M417" s="24">
        <f t="shared" ref="M417:O417" si="841">IF(M416="", "", 1 + MROUND(IFERROR(MINIFS(OFFSET(M416, -1, 0, -$B417, 1), OFFSET(M416, -1, 0, -$B417, 1), "&gt;0"), M416) + (LN(1 + $Z417) ^ V$2) * V$3, 1))</f>
        <v>4386</v>
      </c>
      <c r="N417" s="24" t="str">
        <f t="shared" si="841"/>
        <v/>
      </c>
      <c r="O417" s="24">
        <f t="shared" si="841"/>
        <v>1949</v>
      </c>
      <c r="P417" s="24">
        <f t="shared" ref="P417:S417" si="842">L417*$Y$2</f>
        <v>11432.75</v>
      </c>
      <c r="Q417" s="24">
        <f t="shared" si="842"/>
        <v>1096.5</v>
      </c>
      <c r="R417" s="24">
        <f t="shared" si="842"/>
        <v>0</v>
      </c>
      <c r="S417" s="24">
        <f t="shared" si="842"/>
        <v>487.25</v>
      </c>
      <c r="T417" s="24">
        <f t="shared" si="4"/>
        <v>13</v>
      </c>
      <c r="Z417" s="25">
        <f t="shared" si="12"/>
        <v>51.25648889</v>
      </c>
    </row>
    <row r="418">
      <c r="A418" s="16" t="s">
        <v>36</v>
      </c>
      <c r="B418" s="17">
        <v>117.0</v>
      </c>
      <c r="C418" s="24">
        <f t="shared" si="610"/>
        <v>86115.22623</v>
      </c>
      <c r="D418" s="25">
        <v>0.05</v>
      </c>
      <c r="E418" s="24">
        <f t="shared" si="611"/>
        <v>99.4534663</v>
      </c>
      <c r="F418" s="25">
        <v>0.02</v>
      </c>
      <c r="G418" s="24">
        <f t="shared" si="612"/>
        <v>12917.28393</v>
      </c>
      <c r="H418" s="25">
        <v>0.05</v>
      </c>
      <c r="I418" s="24">
        <f t="shared" si="613"/>
        <v>447.5405983</v>
      </c>
      <c r="J418" s="25">
        <v>0.02</v>
      </c>
      <c r="K418" s="25">
        <v>0.0</v>
      </c>
      <c r="L418" s="24">
        <f t="shared" si="810"/>
        <v>46391</v>
      </c>
      <c r="M418" s="24">
        <f t="shared" ref="M418:O418" si="843">IF(M417="", "", 1 + MROUND(IFERROR(MINIFS(OFFSET(M417, -1, 0, -$B418, 1), OFFSET(M417, -1, 0, -$B418, 1), "&gt;0"), M417) + (LN(1 + $Z418) ^ V$2) * V$3, 1))</f>
        <v>4440</v>
      </c>
      <c r="N418" s="24" t="str">
        <f t="shared" si="843"/>
        <v/>
      </c>
      <c r="O418" s="24">
        <f t="shared" si="843"/>
        <v>1976</v>
      </c>
      <c r="P418" s="24">
        <f t="shared" ref="P418:S418" si="844">L418*$Y$2</f>
        <v>11597.75</v>
      </c>
      <c r="Q418" s="24">
        <f t="shared" si="844"/>
        <v>1110</v>
      </c>
      <c r="R418" s="24">
        <f t="shared" si="844"/>
        <v>0</v>
      </c>
      <c r="S418" s="24">
        <f t="shared" si="844"/>
        <v>494</v>
      </c>
      <c r="T418" s="24">
        <f t="shared" si="4"/>
        <v>13</v>
      </c>
      <c r="Z418" s="25">
        <f t="shared" si="12"/>
        <v>53.08546601</v>
      </c>
    </row>
    <row r="419">
      <c r="A419" s="16" t="s">
        <v>36</v>
      </c>
      <c r="B419" s="17">
        <v>118.0</v>
      </c>
      <c r="C419" s="24">
        <f t="shared" si="610"/>
        <v>90420.98754</v>
      </c>
      <c r="D419" s="25">
        <v>0.05</v>
      </c>
      <c r="E419" s="24">
        <f t="shared" si="611"/>
        <v>101.4425356</v>
      </c>
      <c r="F419" s="25">
        <v>0.02</v>
      </c>
      <c r="G419" s="24">
        <f t="shared" si="612"/>
        <v>13563.14813</v>
      </c>
      <c r="H419" s="25">
        <v>0.05</v>
      </c>
      <c r="I419" s="24">
        <f t="shared" si="613"/>
        <v>456.4914103</v>
      </c>
      <c r="J419" s="25">
        <v>0.02</v>
      </c>
      <c r="K419" s="25">
        <v>0.0</v>
      </c>
      <c r="L419" s="24">
        <f t="shared" si="810"/>
        <v>47055</v>
      </c>
      <c r="M419" s="24">
        <f t="shared" ref="M419:O419" si="845">IF(M418="", "", 1 + MROUND(IFERROR(MINIFS(OFFSET(M418, -1, 0, -$B419, 1), OFFSET(M418, -1, 0, -$B419, 1), "&gt;0"), M418) + (LN(1 + $Z419) ^ V$2) * V$3, 1))</f>
        <v>4494</v>
      </c>
      <c r="N419" s="24" t="str">
        <f t="shared" si="845"/>
        <v/>
      </c>
      <c r="O419" s="24">
        <f t="shared" si="845"/>
        <v>2004</v>
      </c>
      <c r="P419" s="24">
        <f t="shared" ref="P419:S419" si="846">L419*$Y$2</f>
        <v>11763.75</v>
      </c>
      <c r="Q419" s="24">
        <f t="shared" si="846"/>
        <v>1123.5</v>
      </c>
      <c r="R419" s="24">
        <f t="shared" si="846"/>
        <v>0</v>
      </c>
      <c r="S419" s="24">
        <f t="shared" si="846"/>
        <v>501</v>
      </c>
      <c r="T419" s="24">
        <f t="shared" si="4"/>
        <v>13</v>
      </c>
      <c r="Z419" s="25">
        <f t="shared" si="12"/>
        <v>54.97845732</v>
      </c>
    </row>
    <row r="420">
      <c r="A420" s="16" t="s">
        <v>36</v>
      </c>
      <c r="B420" s="17">
        <v>119.0</v>
      </c>
      <c r="C420" s="24">
        <f t="shared" si="610"/>
        <v>94942.03692</v>
      </c>
      <c r="D420" s="25">
        <v>0.05</v>
      </c>
      <c r="E420" s="24">
        <f t="shared" si="611"/>
        <v>103.4713863</v>
      </c>
      <c r="F420" s="25">
        <v>0.02</v>
      </c>
      <c r="G420" s="24">
        <f t="shared" si="612"/>
        <v>14241.30554</v>
      </c>
      <c r="H420" s="25">
        <v>0.05</v>
      </c>
      <c r="I420" s="24">
        <f t="shared" si="613"/>
        <v>465.6212385</v>
      </c>
      <c r="J420" s="25">
        <v>0.02</v>
      </c>
      <c r="K420" s="25">
        <v>0.0</v>
      </c>
      <c r="L420" s="24">
        <f t="shared" si="810"/>
        <v>47723</v>
      </c>
      <c r="M420" s="24">
        <f t="shared" ref="M420:O420" si="847">IF(M419="", "", 1 + MROUND(IFERROR(MINIFS(OFFSET(M419, -1, 0, -$B420, 1), OFFSET(M419, -1, 0, -$B420, 1), "&gt;0"), M419) + (LN(1 + $Z420) ^ V$2) * V$3, 1))</f>
        <v>4548</v>
      </c>
      <c r="N420" s="24" t="str">
        <f t="shared" si="847"/>
        <v/>
      </c>
      <c r="O420" s="24">
        <f t="shared" si="847"/>
        <v>2032</v>
      </c>
      <c r="P420" s="24">
        <f t="shared" ref="P420:S420" si="848">L420*$Y$2</f>
        <v>11930.75</v>
      </c>
      <c r="Q420" s="24">
        <f t="shared" si="848"/>
        <v>1137</v>
      </c>
      <c r="R420" s="24">
        <f t="shared" si="848"/>
        <v>0</v>
      </c>
      <c r="S420" s="24">
        <f t="shared" si="848"/>
        <v>508</v>
      </c>
      <c r="T420" s="24">
        <f t="shared" si="4"/>
        <v>13</v>
      </c>
      <c r="Z420" s="25">
        <f t="shared" si="12"/>
        <v>56.93770332</v>
      </c>
    </row>
    <row r="421">
      <c r="A421" s="16" t="s">
        <v>36</v>
      </c>
      <c r="B421" s="17">
        <v>120.0</v>
      </c>
      <c r="C421" s="24">
        <f t="shared" si="610"/>
        <v>99689.13876</v>
      </c>
      <c r="D421" s="25">
        <v>0.05</v>
      </c>
      <c r="E421" s="24">
        <f t="shared" si="611"/>
        <v>105.5408141</v>
      </c>
      <c r="F421" s="25">
        <v>0.02</v>
      </c>
      <c r="G421" s="24">
        <f t="shared" si="612"/>
        <v>14953.37081</v>
      </c>
      <c r="H421" s="25">
        <v>0.05</v>
      </c>
      <c r="I421" s="24">
        <f t="shared" si="613"/>
        <v>474.9336633</v>
      </c>
      <c r="J421" s="25">
        <v>0.02</v>
      </c>
      <c r="K421" s="25">
        <v>0.0</v>
      </c>
      <c r="L421" s="24">
        <f t="shared" si="810"/>
        <v>48395</v>
      </c>
      <c r="M421" s="24">
        <f t="shared" ref="M421:O421" si="849">IF(M420="", "", 1 + MROUND(IFERROR(MINIFS(OFFSET(M420, -1, 0, -$B421, 1), OFFSET(M420, -1, 0, -$B421, 1), "&gt;0"), M420) + (LN(1 + $Z421) ^ V$2) * V$3, 1))</f>
        <v>4603</v>
      </c>
      <c r="N421" s="24" t="str">
        <f t="shared" si="849"/>
        <v/>
      </c>
      <c r="O421" s="24">
        <f t="shared" si="849"/>
        <v>2060</v>
      </c>
      <c r="P421" s="24">
        <f t="shared" ref="P421:S421" si="850">L421*$Y$2</f>
        <v>12098.75</v>
      </c>
      <c r="Q421" s="24">
        <f t="shared" si="850"/>
        <v>1150.75</v>
      </c>
      <c r="R421" s="24">
        <f t="shared" si="850"/>
        <v>0</v>
      </c>
      <c r="S421" s="24">
        <f t="shared" si="850"/>
        <v>515</v>
      </c>
      <c r="T421" s="24">
        <f t="shared" si="4"/>
        <v>13</v>
      </c>
      <c r="Z421" s="25">
        <f t="shared" si="12"/>
        <v>58.96552294</v>
      </c>
    </row>
    <row r="422">
      <c r="A422" s="16" t="s">
        <v>36</v>
      </c>
      <c r="B422" s="17">
        <v>121.0</v>
      </c>
      <c r="C422" s="24">
        <f t="shared" si="610"/>
        <v>104673.5957</v>
      </c>
      <c r="D422" s="25">
        <v>0.05</v>
      </c>
      <c r="E422" s="24">
        <f t="shared" si="611"/>
        <v>107.6516303</v>
      </c>
      <c r="F422" s="25">
        <v>0.02</v>
      </c>
      <c r="G422" s="24">
        <f t="shared" si="612"/>
        <v>15701.03936</v>
      </c>
      <c r="H422" s="25">
        <v>0.05</v>
      </c>
      <c r="I422" s="24">
        <f t="shared" si="613"/>
        <v>484.4323365</v>
      </c>
      <c r="J422" s="25">
        <v>0.02</v>
      </c>
      <c r="K422" s="25">
        <v>0.0</v>
      </c>
      <c r="L422" s="24">
        <f t="shared" si="810"/>
        <v>49070</v>
      </c>
      <c r="M422" s="24">
        <f t="shared" ref="M422:O422" si="851">IF(M421="", "", 1 + MROUND(IFERROR(MINIFS(OFFSET(M421, -1, 0, -$B422, 1), OFFSET(M421, -1, 0, -$B422, 1), "&gt;0"), M421) + (LN(1 + $Z422) ^ V$2) * V$3, 1))</f>
        <v>4658</v>
      </c>
      <c r="N422" s="24" t="str">
        <f t="shared" si="851"/>
        <v/>
      </c>
      <c r="O422" s="24">
        <f t="shared" si="851"/>
        <v>2088</v>
      </c>
      <c r="P422" s="24">
        <f t="shared" ref="P422:S422" si="852">L422*$Y$2</f>
        <v>12267.5</v>
      </c>
      <c r="Q422" s="24">
        <f t="shared" si="852"/>
        <v>1164.5</v>
      </c>
      <c r="R422" s="24">
        <f t="shared" si="852"/>
        <v>0</v>
      </c>
      <c r="S422" s="24">
        <f t="shared" si="852"/>
        <v>522</v>
      </c>
      <c r="T422" s="24">
        <f t="shared" si="4"/>
        <v>13</v>
      </c>
      <c r="Z422" s="25">
        <f t="shared" si="12"/>
        <v>61.06431624</v>
      </c>
    </row>
    <row r="423">
      <c r="A423" s="16" t="s">
        <v>36</v>
      </c>
      <c r="B423" s="17">
        <v>122.0</v>
      </c>
      <c r="C423" s="24">
        <f t="shared" si="610"/>
        <v>109907.2755</v>
      </c>
      <c r="D423" s="25">
        <v>0.05</v>
      </c>
      <c r="E423" s="24">
        <f t="shared" si="611"/>
        <v>109.8046629</v>
      </c>
      <c r="F423" s="25">
        <v>0.02</v>
      </c>
      <c r="G423" s="24">
        <f t="shared" si="612"/>
        <v>16486.09132</v>
      </c>
      <c r="H423" s="25">
        <v>0.05</v>
      </c>
      <c r="I423" s="24">
        <f t="shared" si="613"/>
        <v>494.1209833</v>
      </c>
      <c r="J423" s="25">
        <v>0.02</v>
      </c>
      <c r="K423" s="25">
        <v>0.0</v>
      </c>
      <c r="L423" s="24">
        <f t="shared" si="810"/>
        <v>49749</v>
      </c>
      <c r="M423" s="24">
        <f t="shared" ref="M423:O423" si="853">IF(M422="", "", 1 + MROUND(IFERROR(MINIFS(OFFSET(M422, -1, 0, -$B423, 1), OFFSET(M422, -1, 0, -$B423, 1), "&gt;0"), M422) + (LN(1 + $Z423) ^ V$2) * V$3, 1))</f>
        <v>4713</v>
      </c>
      <c r="N423" s="24" t="str">
        <f t="shared" si="853"/>
        <v/>
      </c>
      <c r="O423" s="24">
        <f t="shared" si="853"/>
        <v>2116</v>
      </c>
      <c r="P423" s="24">
        <f t="shared" ref="P423:S423" si="854">L423*$Y$2</f>
        <v>12437.25</v>
      </c>
      <c r="Q423" s="24">
        <f t="shared" si="854"/>
        <v>1178.25</v>
      </c>
      <c r="R423" s="24">
        <f t="shared" si="854"/>
        <v>0</v>
      </c>
      <c r="S423" s="24">
        <f t="shared" si="854"/>
        <v>529</v>
      </c>
      <c r="T423" s="24">
        <f t="shared" si="4"/>
        <v>13</v>
      </c>
      <c r="Z423" s="25">
        <f t="shared" si="12"/>
        <v>63.23656731</v>
      </c>
    </row>
    <row r="424">
      <c r="A424" s="16" t="s">
        <v>36</v>
      </c>
      <c r="B424" s="17">
        <v>123.0</v>
      </c>
      <c r="C424" s="24">
        <f t="shared" si="610"/>
        <v>115402.6393</v>
      </c>
      <c r="D424" s="25">
        <v>0.05</v>
      </c>
      <c r="E424" s="24">
        <f t="shared" si="611"/>
        <v>112.0007562</v>
      </c>
      <c r="F424" s="25">
        <v>0.02</v>
      </c>
      <c r="G424" s="24">
        <f t="shared" si="612"/>
        <v>17310.39589</v>
      </c>
      <c r="H424" s="25">
        <v>0.05</v>
      </c>
      <c r="I424" s="24">
        <f t="shared" si="613"/>
        <v>504.0034029</v>
      </c>
      <c r="J424" s="25">
        <v>0.02</v>
      </c>
      <c r="K424" s="25">
        <v>0.0</v>
      </c>
      <c r="L424" s="24">
        <f t="shared" si="810"/>
        <v>50432</v>
      </c>
      <c r="M424" s="24">
        <f t="shared" ref="M424:O424" si="855">IF(M423="", "", 1 + MROUND(IFERROR(MINIFS(OFFSET(M423, -1, 0, -$B424, 1), OFFSET(M423, -1, 0, -$B424, 1), "&gt;0"), M423) + (LN(1 + $Z424) ^ V$2) * V$3, 1))</f>
        <v>4769</v>
      </c>
      <c r="N424" s="24" t="str">
        <f t="shared" si="855"/>
        <v/>
      </c>
      <c r="O424" s="24">
        <f t="shared" si="855"/>
        <v>2144</v>
      </c>
      <c r="P424" s="24">
        <f t="shared" ref="P424:S424" si="856">L424*$Y$2</f>
        <v>12608</v>
      </c>
      <c r="Q424" s="24">
        <f t="shared" si="856"/>
        <v>1192.25</v>
      </c>
      <c r="R424" s="24">
        <f t="shared" si="856"/>
        <v>0</v>
      </c>
      <c r="S424" s="24">
        <f t="shared" si="856"/>
        <v>536</v>
      </c>
      <c r="T424" s="24">
        <f t="shared" si="4"/>
        <v>13</v>
      </c>
      <c r="Z424" s="25">
        <f t="shared" si="12"/>
        <v>65.48484716</v>
      </c>
    </row>
    <row r="425">
      <c r="A425" s="16" t="s">
        <v>36</v>
      </c>
      <c r="B425" s="17">
        <v>124.0</v>
      </c>
      <c r="C425" s="24">
        <f t="shared" si="610"/>
        <v>121172.7712</v>
      </c>
      <c r="D425" s="25">
        <v>0.05</v>
      </c>
      <c r="E425" s="24">
        <f t="shared" si="611"/>
        <v>114.2407713</v>
      </c>
      <c r="F425" s="25">
        <v>0.02</v>
      </c>
      <c r="G425" s="24">
        <f t="shared" si="612"/>
        <v>18175.91568</v>
      </c>
      <c r="H425" s="25">
        <v>0.05</v>
      </c>
      <c r="I425" s="24">
        <f t="shared" si="613"/>
        <v>514.083471</v>
      </c>
      <c r="J425" s="25">
        <v>0.02</v>
      </c>
      <c r="K425" s="25">
        <v>0.0</v>
      </c>
      <c r="L425" s="24">
        <f t="shared" si="810"/>
        <v>51119</v>
      </c>
      <c r="M425" s="24">
        <f t="shared" ref="M425:O425" si="857">IF(M424="", "", 1 + MROUND(IFERROR(MINIFS(OFFSET(M424, -1, 0, -$B425, 1), OFFSET(M424, -1, 0, -$B425, 1), "&gt;0"), M424) + (LN(1 + $Z425) ^ V$2) * V$3, 1))</f>
        <v>4825</v>
      </c>
      <c r="N425" s="24" t="str">
        <f t="shared" si="857"/>
        <v/>
      </c>
      <c r="O425" s="24">
        <f t="shared" si="857"/>
        <v>2172</v>
      </c>
      <c r="P425" s="24">
        <f t="shared" ref="P425:S425" si="858">L425*$Y$2</f>
        <v>12779.75</v>
      </c>
      <c r="Q425" s="24">
        <f t="shared" si="858"/>
        <v>1206.25</v>
      </c>
      <c r="R425" s="24">
        <f t="shared" si="858"/>
        <v>0</v>
      </c>
      <c r="S425" s="24">
        <f t="shared" si="858"/>
        <v>543</v>
      </c>
      <c r="T425" s="24">
        <f t="shared" si="4"/>
        <v>13</v>
      </c>
      <c r="Z425" s="25">
        <f t="shared" si="12"/>
        <v>67.81181682</v>
      </c>
    </row>
    <row r="426">
      <c r="A426" s="16" t="s">
        <v>36</v>
      </c>
      <c r="B426" s="17">
        <v>125.0</v>
      </c>
      <c r="C426" s="24">
        <f t="shared" si="610"/>
        <v>127231.4098</v>
      </c>
      <c r="D426" s="25">
        <v>0.05</v>
      </c>
      <c r="E426" s="24">
        <f t="shared" si="611"/>
        <v>116.5255868</v>
      </c>
      <c r="F426" s="25">
        <v>0.02</v>
      </c>
      <c r="G426" s="24">
        <f t="shared" si="612"/>
        <v>19084.71147</v>
      </c>
      <c r="H426" s="25">
        <v>0.05</v>
      </c>
      <c r="I426" s="24">
        <f t="shared" si="613"/>
        <v>524.3651404</v>
      </c>
      <c r="J426" s="25">
        <v>0.02</v>
      </c>
      <c r="K426" s="25">
        <v>0.0</v>
      </c>
      <c r="L426" s="24">
        <f t="shared" si="810"/>
        <v>51810</v>
      </c>
      <c r="M426" s="24">
        <f t="shared" ref="M426:O426" si="859">IF(M425="", "", 1 + MROUND(IFERROR(MINIFS(OFFSET(M425, -1, 0, -$B426, 1), OFFSET(M425, -1, 0, -$B426, 1), "&gt;0"), M425) + (LN(1 + $Z426) ^ V$2) * V$3, 1))</f>
        <v>4881</v>
      </c>
      <c r="N426" s="24" t="str">
        <f t="shared" si="859"/>
        <v/>
      </c>
      <c r="O426" s="24">
        <f t="shared" si="859"/>
        <v>2201</v>
      </c>
      <c r="P426" s="24">
        <f t="shared" ref="P426:S426" si="860">L426*$Y$2</f>
        <v>12952.5</v>
      </c>
      <c r="Q426" s="24">
        <f t="shared" si="860"/>
        <v>1220.25</v>
      </c>
      <c r="R426" s="24">
        <f t="shared" si="860"/>
        <v>0</v>
      </c>
      <c r="S426" s="24">
        <f t="shared" si="860"/>
        <v>550.25</v>
      </c>
      <c r="T426" s="24">
        <f t="shared" si="4"/>
        <v>14</v>
      </c>
      <c r="Z426" s="25">
        <f t="shared" si="12"/>
        <v>70.2202304</v>
      </c>
    </row>
    <row r="427">
      <c r="A427" s="16" t="s">
        <v>36</v>
      </c>
      <c r="B427" s="17">
        <v>126.0</v>
      </c>
      <c r="C427" s="24">
        <f t="shared" si="610"/>
        <v>133592.9803</v>
      </c>
      <c r="D427" s="25">
        <v>0.05</v>
      </c>
      <c r="E427" s="24">
        <f t="shared" si="611"/>
        <v>118.8560985</v>
      </c>
      <c r="F427" s="25">
        <v>0.02</v>
      </c>
      <c r="G427" s="24">
        <f t="shared" si="612"/>
        <v>20038.94704</v>
      </c>
      <c r="H427" s="25">
        <v>0.05</v>
      </c>
      <c r="I427" s="24">
        <f t="shared" si="613"/>
        <v>534.8524432</v>
      </c>
      <c r="J427" s="25">
        <v>0.02</v>
      </c>
      <c r="K427" s="25">
        <v>0.0</v>
      </c>
      <c r="L427" s="24">
        <f t="shared" si="810"/>
        <v>52505</v>
      </c>
      <c r="M427" s="24">
        <f t="shared" ref="M427:O427" si="861">IF(M426="", "", 1 + MROUND(IFERROR(MINIFS(OFFSET(M426, -1, 0, -$B427, 1), OFFSET(M426, -1, 0, -$B427, 1), "&gt;0"), M426) + (LN(1 + $Z427) ^ V$2) * V$3, 1))</f>
        <v>4938</v>
      </c>
      <c r="N427" s="24" t="str">
        <f t="shared" si="861"/>
        <v/>
      </c>
      <c r="O427" s="24">
        <f t="shared" si="861"/>
        <v>2230</v>
      </c>
      <c r="P427" s="24">
        <f t="shared" ref="P427:S427" si="862">L427*$Y$2</f>
        <v>13126.25</v>
      </c>
      <c r="Q427" s="24">
        <f t="shared" si="862"/>
        <v>1234.5</v>
      </c>
      <c r="R427" s="24">
        <f t="shared" si="862"/>
        <v>0</v>
      </c>
      <c r="S427" s="24">
        <f t="shared" si="862"/>
        <v>557.5</v>
      </c>
      <c r="T427" s="24">
        <f t="shared" si="4"/>
        <v>14</v>
      </c>
      <c r="Z427" s="25">
        <f t="shared" si="12"/>
        <v>72.71293847</v>
      </c>
    </row>
    <row r="428">
      <c r="A428" s="16" t="s">
        <v>36</v>
      </c>
      <c r="B428" s="17">
        <v>127.0</v>
      </c>
      <c r="C428" s="24">
        <f t="shared" si="610"/>
        <v>140272.6293</v>
      </c>
      <c r="D428" s="25">
        <v>0.05</v>
      </c>
      <c r="E428" s="24">
        <f t="shared" si="611"/>
        <v>121.2332205</v>
      </c>
      <c r="F428" s="25">
        <v>0.02</v>
      </c>
      <c r="G428" s="24">
        <f t="shared" si="612"/>
        <v>21040.89439</v>
      </c>
      <c r="H428" s="25">
        <v>0.05</v>
      </c>
      <c r="I428" s="24">
        <f t="shared" si="613"/>
        <v>545.5494921</v>
      </c>
      <c r="J428" s="25">
        <v>0.02</v>
      </c>
      <c r="K428" s="25">
        <v>0.0</v>
      </c>
      <c r="L428" s="24">
        <f t="shared" si="810"/>
        <v>53204</v>
      </c>
      <c r="M428" s="24">
        <f t="shared" ref="M428:O428" si="863">IF(M427="", "", 1 + MROUND(IFERROR(MINIFS(OFFSET(M427, -1, 0, -$B428, 1), OFFSET(M427, -1, 0, -$B428, 1), "&gt;0"), M427) + (LN(1 + $Z428) ^ V$2) * V$3, 1))</f>
        <v>4995</v>
      </c>
      <c r="N428" s="24" t="str">
        <f t="shared" si="863"/>
        <v/>
      </c>
      <c r="O428" s="24">
        <f t="shared" si="863"/>
        <v>2259</v>
      </c>
      <c r="P428" s="24">
        <f t="shared" ref="P428:S428" si="864">L428*$Y$2</f>
        <v>13301</v>
      </c>
      <c r="Q428" s="24">
        <f t="shared" si="864"/>
        <v>1248.75</v>
      </c>
      <c r="R428" s="24">
        <f t="shared" si="864"/>
        <v>0</v>
      </c>
      <c r="S428" s="24">
        <f t="shared" si="864"/>
        <v>564.75</v>
      </c>
      <c r="T428" s="24">
        <f t="shared" si="4"/>
        <v>14</v>
      </c>
      <c r="Z428" s="25">
        <f t="shared" si="12"/>
        <v>75.29289131</v>
      </c>
    </row>
    <row r="429">
      <c r="A429" s="16" t="s">
        <v>36</v>
      </c>
      <c r="B429" s="17">
        <v>128.0</v>
      </c>
      <c r="C429" s="24">
        <f t="shared" si="610"/>
        <v>147286.2608</v>
      </c>
      <c r="D429" s="25">
        <v>0.05</v>
      </c>
      <c r="E429" s="24">
        <f t="shared" si="611"/>
        <v>123.6578849</v>
      </c>
      <c r="F429" s="25">
        <v>0.02</v>
      </c>
      <c r="G429" s="24">
        <f t="shared" si="612"/>
        <v>22092.93911</v>
      </c>
      <c r="H429" s="25">
        <v>0.05</v>
      </c>
      <c r="I429" s="24">
        <f t="shared" si="613"/>
        <v>556.4604819</v>
      </c>
      <c r="J429" s="25">
        <v>0.02</v>
      </c>
      <c r="K429" s="25">
        <v>0.0</v>
      </c>
      <c r="L429" s="24">
        <f t="shared" si="810"/>
        <v>53907</v>
      </c>
      <c r="M429" s="24">
        <f t="shared" ref="M429:O429" si="865">IF(M428="", "", 1 + MROUND(IFERROR(MINIFS(OFFSET(M428, -1, 0, -$B429, 1), OFFSET(M428, -1, 0, -$B429, 1), "&gt;0"), M428) + (LN(1 + $Z429) ^ V$2) * V$3, 1))</f>
        <v>5052</v>
      </c>
      <c r="N429" s="24" t="str">
        <f t="shared" si="865"/>
        <v/>
      </c>
      <c r="O429" s="24">
        <f t="shared" si="865"/>
        <v>2288</v>
      </c>
      <c r="P429" s="24">
        <f t="shared" ref="P429:S429" si="866">L429*$Y$2</f>
        <v>13476.75</v>
      </c>
      <c r="Q429" s="24">
        <f t="shared" si="866"/>
        <v>1263</v>
      </c>
      <c r="R429" s="24">
        <f t="shared" si="866"/>
        <v>0</v>
      </c>
      <c r="S429" s="24">
        <f t="shared" si="866"/>
        <v>572</v>
      </c>
      <c r="T429" s="24">
        <f t="shared" si="4"/>
        <v>14</v>
      </c>
      <c r="Z429" s="25">
        <f t="shared" si="12"/>
        <v>77.96314251</v>
      </c>
    </row>
    <row r="430">
      <c r="A430" s="16" t="s">
        <v>36</v>
      </c>
      <c r="B430" s="17">
        <v>129.0</v>
      </c>
      <c r="C430" s="24">
        <f t="shared" si="610"/>
        <v>154650.5738</v>
      </c>
      <c r="D430" s="25">
        <v>0.05</v>
      </c>
      <c r="E430" s="24">
        <f t="shared" si="611"/>
        <v>126.1310426</v>
      </c>
      <c r="F430" s="25">
        <v>0.02</v>
      </c>
      <c r="G430" s="24">
        <f t="shared" si="612"/>
        <v>23197.58607</v>
      </c>
      <c r="H430" s="25">
        <v>0.05</v>
      </c>
      <c r="I430" s="24">
        <f t="shared" si="613"/>
        <v>567.5896916</v>
      </c>
      <c r="J430" s="25">
        <v>0.02</v>
      </c>
      <c r="K430" s="25">
        <v>0.0</v>
      </c>
      <c r="L430" s="24">
        <f t="shared" si="810"/>
        <v>54614</v>
      </c>
      <c r="M430" s="24">
        <f t="shared" ref="M430:O430" si="867">IF(M429="", "", 1 + MROUND(IFERROR(MINIFS(OFFSET(M429, -1, 0, -$B430, 1), OFFSET(M429, -1, 0, -$B430, 1), "&gt;0"), M429) + (LN(1 + $Z430) ^ V$2) * V$3, 1))</f>
        <v>5109</v>
      </c>
      <c r="N430" s="24" t="str">
        <f t="shared" si="867"/>
        <v/>
      </c>
      <c r="O430" s="24">
        <f t="shared" si="867"/>
        <v>2317</v>
      </c>
      <c r="P430" s="24">
        <f t="shared" ref="P430:S430" si="868">L430*$Y$2</f>
        <v>13653.5</v>
      </c>
      <c r="Q430" s="24">
        <f t="shared" si="868"/>
        <v>1277.25</v>
      </c>
      <c r="R430" s="24">
        <f t="shared" si="868"/>
        <v>0</v>
      </c>
      <c r="S430" s="24">
        <f t="shared" si="868"/>
        <v>579.25</v>
      </c>
      <c r="T430" s="24">
        <f t="shared" si="4"/>
        <v>14</v>
      </c>
      <c r="Z430" s="25">
        <f t="shared" si="12"/>
        <v>80.7268525</v>
      </c>
    </row>
    <row r="431">
      <c r="A431" s="16" t="s">
        <v>36</v>
      </c>
      <c r="B431" s="17">
        <v>130.0</v>
      </c>
      <c r="C431" s="24">
        <f t="shared" si="610"/>
        <v>162383.1025</v>
      </c>
      <c r="D431" s="25">
        <v>0.05</v>
      </c>
      <c r="E431" s="24">
        <f t="shared" si="611"/>
        <v>128.6536634</v>
      </c>
      <c r="F431" s="25">
        <v>0.02</v>
      </c>
      <c r="G431" s="24">
        <f t="shared" si="612"/>
        <v>24357.46537</v>
      </c>
      <c r="H431" s="25">
        <v>0.05</v>
      </c>
      <c r="I431" s="24">
        <f t="shared" si="613"/>
        <v>578.9414854</v>
      </c>
      <c r="J431" s="25">
        <v>0.02</v>
      </c>
      <c r="K431" s="25">
        <v>0.0</v>
      </c>
      <c r="L431" s="24">
        <f t="shared" si="810"/>
        <v>55325</v>
      </c>
      <c r="M431" s="24">
        <f t="shared" ref="M431:O431" si="869">IF(M430="", "", 1 + MROUND(IFERROR(MINIFS(OFFSET(M430, -1, 0, -$B431, 1), OFFSET(M430, -1, 0, -$B431, 1), "&gt;0"), M430) + (LN(1 + $Z431) ^ V$2) * V$3, 1))</f>
        <v>5167</v>
      </c>
      <c r="N431" s="24" t="str">
        <f t="shared" si="869"/>
        <v/>
      </c>
      <c r="O431" s="24">
        <f t="shared" si="869"/>
        <v>2346</v>
      </c>
      <c r="P431" s="24">
        <f t="shared" ref="P431:S431" si="870">L431*$Y$2</f>
        <v>13831.25</v>
      </c>
      <c r="Q431" s="24">
        <f t="shared" si="870"/>
        <v>1291.75</v>
      </c>
      <c r="R431" s="24">
        <f t="shared" si="870"/>
        <v>0</v>
      </c>
      <c r="S431" s="24">
        <f t="shared" si="870"/>
        <v>586.5</v>
      </c>
      <c r="T431" s="24">
        <f t="shared" si="4"/>
        <v>14</v>
      </c>
      <c r="Z431" s="25">
        <f t="shared" si="12"/>
        <v>83.58729234</v>
      </c>
    </row>
    <row r="432">
      <c r="A432" s="16" t="s">
        <v>36</v>
      </c>
      <c r="B432" s="17">
        <v>131.0</v>
      </c>
      <c r="C432" s="24">
        <f t="shared" si="610"/>
        <v>170502.2576</v>
      </c>
      <c r="D432" s="25">
        <v>0.05</v>
      </c>
      <c r="E432" s="24">
        <f t="shared" si="611"/>
        <v>131.2267367</v>
      </c>
      <c r="F432" s="25">
        <v>0.02</v>
      </c>
      <c r="G432" s="24">
        <f t="shared" si="612"/>
        <v>25575.33864</v>
      </c>
      <c r="H432" s="25">
        <v>0.05</v>
      </c>
      <c r="I432" s="24">
        <f t="shared" si="613"/>
        <v>590.5203151</v>
      </c>
      <c r="J432" s="25">
        <v>0.02</v>
      </c>
      <c r="K432" s="25">
        <v>0.0</v>
      </c>
      <c r="L432" s="24">
        <f t="shared" si="810"/>
        <v>56039</v>
      </c>
      <c r="M432" s="24">
        <f t="shared" ref="M432:O432" si="871">IF(M431="", "", 1 + MROUND(IFERROR(MINIFS(OFFSET(M431, -1, 0, -$B432, 1), OFFSET(M431, -1, 0, -$B432, 1), "&gt;0"), M431) + (LN(1 + $Z432) ^ V$2) * V$3, 1))</f>
        <v>5225</v>
      </c>
      <c r="N432" s="24" t="str">
        <f t="shared" si="871"/>
        <v/>
      </c>
      <c r="O432" s="24">
        <f t="shared" si="871"/>
        <v>2376</v>
      </c>
      <c r="P432" s="24">
        <f t="shared" ref="P432:S432" si="872">L432*$Y$2</f>
        <v>14009.75</v>
      </c>
      <c r="Q432" s="24">
        <f t="shared" si="872"/>
        <v>1306.25</v>
      </c>
      <c r="R432" s="24">
        <f t="shared" si="872"/>
        <v>0</v>
      </c>
      <c r="S432" s="24">
        <f t="shared" si="872"/>
        <v>594</v>
      </c>
      <c r="T432" s="24">
        <f t="shared" si="4"/>
        <v>14</v>
      </c>
      <c r="Z432" s="25">
        <f t="shared" si="12"/>
        <v>86.54784757</v>
      </c>
    </row>
    <row r="433">
      <c r="A433" s="16" t="s">
        <v>36</v>
      </c>
      <c r="B433" s="17">
        <v>132.0</v>
      </c>
      <c r="C433" s="24">
        <f t="shared" si="610"/>
        <v>179027.3705</v>
      </c>
      <c r="D433" s="25">
        <v>0.05</v>
      </c>
      <c r="E433" s="24">
        <f t="shared" si="611"/>
        <v>133.8512714</v>
      </c>
      <c r="F433" s="25">
        <v>0.02</v>
      </c>
      <c r="G433" s="24">
        <f t="shared" si="612"/>
        <v>26854.10557</v>
      </c>
      <c r="H433" s="25">
        <v>0.05</v>
      </c>
      <c r="I433" s="24">
        <f t="shared" si="613"/>
        <v>602.3307214</v>
      </c>
      <c r="J433" s="25">
        <v>0.02</v>
      </c>
      <c r="K433" s="25">
        <v>0.0</v>
      </c>
      <c r="L433" s="24">
        <f t="shared" si="810"/>
        <v>56757</v>
      </c>
      <c r="M433" s="24">
        <f t="shared" ref="M433:O433" si="873">IF(M432="", "", 1 + MROUND(IFERROR(MINIFS(OFFSET(M432, -1, 0, -$B433, 1), OFFSET(M432, -1, 0, -$B433, 1), "&gt;0"), M432) + (LN(1 + $Z433) ^ V$2) * V$3, 1))</f>
        <v>5283</v>
      </c>
      <c r="N433" s="24" t="str">
        <f t="shared" si="873"/>
        <v/>
      </c>
      <c r="O433" s="24">
        <f t="shared" si="873"/>
        <v>2406</v>
      </c>
      <c r="P433" s="24">
        <f t="shared" ref="P433:S433" si="874">L433*$Y$2</f>
        <v>14189.25</v>
      </c>
      <c r="Q433" s="24">
        <f t="shared" si="874"/>
        <v>1320.75</v>
      </c>
      <c r="R433" s="24">
        <f t="shared" si="874"/>
        <v>0</v>
      </c>
      <c r="S433" s="24">
        <f t="shared" si="874"/>
        <v>601.5</v>
      </c>
      <c r="T433" s="24">
        <f t="shared" si="4"/>
        <v>14</v>
      </c>
      <c r="Z433" s="25">
        <f t="shared" si="12"/>
        <v>89.61202223</v>
      </c>
    </row>
    <row r="434">
      <c r="A434" s="16" t="s">
        <v>36</v>
      </c>
      <c r="B434" s="17">
        <v>133.0</v>
      </c>
      <c r="C434" s="24">
        <f t="shared" si="610"/>
        <v>187978.739</v>
      </c>
      <c r="D434" s="25">
        <v>0.05</v>
      </c>
      <c r="E434" s="24">
        <f t="shared" si="611"/>
        <v>136.5282969</v>
      </c>
      <c r="F434" s="25">
        <v>0.02</v>
      </c>
      <c r="G434" s="24">
        <f t="shared" si="612"/>
        <v>28196.81085</v>
      </c>
      <c r="H434" s="25">
        <v>0.05</v>
      </c>
      <c r="I434" s="24">
        <f t="shared" si="613"/>
        <v>614.3773358</v>
      </c>
      <c r="J434" s="25">
        <v>0.02</v>
      </c>
      <c r="K434" s="25">
        <v>0.0</v>
      </c>
      <c r="L434" s="24">
        <f t="shared" si="810"/>
        <v>57479</v>
      </c>
      <c r="M434" s="24">
        <f t="shared" ref="M434:O434" si="875">IF(M433="", "", 1 + MROUND(IFERROR(MINIFS(OFFSET(M433, -1, 0, -$B434, 1), OFFSET(M433, -1, 0, -$B434, 1), "&gt;0"), M433) + (LN(1 + $Z434) ^ V$2) * V$3, 1))</f>
        <v>5342</v>
      </c>
      <c r="N434" s="24" t="str">
        <f t="shared" si="875"/>
        <v/>
      </c>
      <c r="O434" s="24">
        <f t="shared" si="875"/>
        <v>2436</v>
      </c>
      <c r="P434" s="24">
        <f t="shared" ref="P434:S434" si="876">L434*$Y$2</f>
        <v>14369.75</v>
      </c>
      <c r="Q434" s="24">
        <f t="shared" si="876"/>
        <v>1335.5</v>
      </c>
      <c r="R434" s="24">
        <f t="shared" si="876"/>
        <v>0</v>
      </c>
      <c r="S434" s="24">
        <f t="shared" si="876"/>
        <v>609</v>
      </c>
      <c r="T434" s="24">
        <f t="shared" si="4"/>
        <v>14</v>
      </c>
      <c r="Z434" s="25">
        <f t="shared" si="12"/>
        <v>92.78344301</v>
      </c>
    </row>
    <row r="435">
      <c r="A435" s="16" t="s">
        <v>36</v>
      </c>
      <c r="B435" s="17">
        <v>134.0</v>
      </c>
      <c r="C435" s="24">
        <f t="shared" si="610"/>
        <v>197377.676</v>
      </c>
      <c r="D435" s="25">
        <v>0.05</v>
      </c>
      <c r="E435" s="24">
        <f t="shared" si="611"/>
        <v>139.2588628</v>
      </c>
      <c r="F435" s="25">
        <v>0.02</v>
      </c>
      <c r="G435" s="24">
        <f t="shared" si="612"/>
        <v>29606.65139</v>
      </c>
      <c r="H435" s="25">
        <v>0.05</v>
      </c>
      <c r="I435" s="24">
        <f t="shared" si="613"/>
        <v>626.6648826</v>
      </c>
      <c r="J435" s="25">
        <v>0.02</v>
      </c>
      <c r="K435" s="25">
        <v>0.0</v>
      </c>
      <c r="L435" s="24">
        <f t="shared" si="810"/>
        <v>58205</v>
      </c>
      <c r="M435" s="24">
        <f t="shared" ref="M435:O435" si="877">IF(M434="", "", 1 + MROUND(IFERROR(MINIFS(OFFSET(M434, -1, 0, -$B435, 1), OFFSET(M434, -1, 0, -$B435, 1), "&gt;0"), M434) + (LN(1 + $Z435) ^ V$2) * V$3, 1))</f>
        <v>5401</v>
      </c>
      <c r="N435" s="24" t="str">
        <f t="shared" si="877"/>
        <v/>
      </c>
      <c r="O435" s="24">
        <f t="shared" si="877"/>
        <v>2466</v>
      </c>
      <c r="P435" s="24">
        <f t="shared" ref="P435:S435" si="878">L435*$Y$2</f>
        <v>14551.25</v>
      </c>
      <c r="Q435" s="24">
        <f t="shared" si="878"/>
        <v>1350.25</v>
      </c>
      <c r="R435" s="24">
        <f t="shared" si="878"/>
        <v>0</v>
      </c>
      <c r="S435" s="24">
        <f t="shared" si="878"/>
        <v>616.5</v>
      </c>
      <c r="T435" s="24">
        <f t="shared" si="4"/>
        <v>14</v>
      </c>
      <c r="Z435" s="25">
        <f t="shared" si="12"/>
        <v>96.06586352</v>
      </c>
    </row>
    <row r="436">
      <c r="A436" s="16" t="s">
        <v>36</v>
      </c>
      <c r="B436" s="17">
        <v>135.0</v>
      </c>
      <c r="C436" s="24">
        <f t="shared" si="610"/>
        <v>207246.5598</v>
      </c>
      <c r="D436" s="25">
        <v>0.05</v>
      </c>
      <c r="E436" s="24">
        <f t="shared" si="611"/>
        <v>142.04404</v>
      </c>
      <c r="F436" s="25">
        <v>0.02</v>
      </c>
      <c r="G436" s="24">
        <f t="shared" si="612"/>
        <v>31086.98396</v>
      </c>
      <c r="H436" s="25">
        <v>0.05</v>
      </c>
      <c r="I436" s="24">
        <f t="shared" si="613"/>
        <v>639.1981802</v>
      </c>
      <c r="J436" s="25">
        <v>0.02</v>
      </c>
      <c r="K436" s="25">
        <v>0.0</v>
      </c>
      <c r="L436" s="24">
        <f t="shared" si="810"/>
        <v>58935</v>
      </c>
      <c r="M436" s="24">
        <f t="shared" ref="M436:O436" si="879">IF(M435="", "", 1 + MROUND(IFERROR(MINIFS(OFFSET(M435, -1, 0, -$B436, 1), OFFSET(M435, -1, 0, -$B436, 1), "&gt;0"), M435) + (LN(1 + $Z436) ^ V$2) * V$3, 1))</f>
        <v>5460</v>
      </c>
      <c r="N436" s="24" t="str">
        <f t="shared" si="879"/>
        <v/>
      </c>
      <c r="O436" s="24">
        <f t="shared" si="879"/>
        <v>2496</v>
      </c>
      <c r="P436" s="24">
        <f t="shared" ref="P436:S436" si="880">L436*$Y$2</f>
        <v>14733.75</v>
      </c>
      <c r="Q436" s="24">
        <f t="shared" si="880"/>
        <v>1365</v>
      </c>
      <c r="R436" s="24">
        <f t="shared" si="880"/>
        <v>0</v>
      </c>
      <c r="S436" s="24">
        <f t="shared" si="880"/>
        <v>624</v>
      </c>
      <c r="T436" s="24">
        <f t="shared" si="4"/>
        <v>15</v>
      </c>
      <c r="Z436" s="25">
        <f t="shared" si="12"/>
        <v>99.46316874</v>
      </c>
    </row>
    <row r="437">
      <c r="A437" s="16" t="s">
        <v>36</v>
      </c>
      <c r="B437" s="17">
        <v>136.0</v>
      </c>
      <c r="C437" s="24">
        <f t="shared" si="610"/>
        <v>217608.8877</v>
      </c>
      <c r="D437" s="25">
        <v>0.05</v>
      </c>
      <c r="E437" s="24">
        <f t="shared" si="611"/>
        <v>144.8849208</v>
      </c>
      <c r="F437" s="25">
        <v>0.02</v>
      </c>
      <c r="G437" s="24">
        <f t="shared" si="612"/>
        <v>32641.33316</v>
      </c>
      <c r="H437" s="25">
        <v>0.05</v>
      </c>
      <c r="I437" s="24">
        <f t="shared" si="613"/>
        <v>651.9821438</v>
      </c>
      <c r="J437" s="25">
        <v>0.02</v>
      </c>
      <c r="K437" s="25">
        <v>0.0</v>
      </c>
      <c r="L437" s="24">
        <f t="shared" si="810"/>
        <v>59668</v>
      </c>
      <c r="M437" s="24">
        <f t="shared" ref="M437:O437" si="881">IF(M436="", "", 1 + MROUND(IFERROR(MINIFS(OFFSET(M436, -1, 0, -$B437, 1), OFFSET(M436, -1, 0, -$B437, 1), "&gt;0"), M436) + (LN(1 + $Z437) ^ V$2) * V$3, 1))</f>
        <v>5520</v>
      </c>
      <c r="N437" s="24" t="str">
        <f t="shared" si="881"/>
        <v/>
      </c>
      <c r="O437" s="24">
        <f t="shared" si="881"/>
        <v>2526</v>
      </c>
      <c r="P437" s="24">
        <f t="shared" ref="P437:S437" si="882">L437*$Y$2</f>
        <v>14917</v>
      </c>
      <c r="Q437" s="24">
        <f t="shared" si="882"/>
        <v>1380</v>
      </c>
      <c r="R437" s="24">
        <f t="shared" si="882"/>
        <v>0</v>
      </c>
      <c r="S437" s="24">
        <f t="shared" si="882"/>
        <v>631.5</v>
      </c>
      <c r="T437" s="24">
        <f t="shared" si="4"/>
        <v>15</v>
      </c>
      <c r="Z437" s="25">
        <f t="shared" si="12"/>
        <v>102.9793796</v>
      </c>
    </row>
    <row r="438">
      <c r="A438" s="16" t="s">
        <v>36</v>
      </c>
      <c r="B438" s="17">
        <v>137.0</v>
      </c>
      <c r="C438" s="24">
        <f t="shared" si="610"/>
        <v>228489.3321</v>
      </c>
      <c r="D438" s="25">
        <v>0.05</v>
      </c>
      <c r="E438" s="24">
        <f t="shared" si="611"/>
        <v>147.7826193</v>
      </c>
      <c r="F438" s="25">
        <v>0.02</v>
      </c>
      <c r="G438" s="24">
        <f t="shared" si="612"/>
        <v>34273.39982</v>
      </c>
      <c r="H438" s="25">
        <v>0.05</v>
      </c>
      <c r="I438" s="24">
        <f t="shared" si="613"/>
        <v>665.0217867</v>
      </c>
      <c r="J438" s="25">
        <v>0.02</v>
      </c>
      <c r="K438" s="25">
        <v>0.0</v>
      </c>
      <c r="L438" s="24">
        <f t="shared" si="810"/>
        <v>60405</v>
      </c>
      <c r="M438" s="24">
        <f t="shared" ref="M438:O438" si="883">IF(M437="", "", 1 + MROUND(IFERROR(MINIFS(OFFSET(M437, -1, 0, -$B438, 1), OFFSET(M437, -1, 0, -$B438, 1), "&gt;0"), M437) + (LN(1 + $Z438) ^ V$2) * V$3, 1))</f>
        <v>5580</v>
      </c>
      <c r="N438" s="24" t="str">
        <f t="shared" si="883"/>
        <v/>
      </c>
      <c r="O438" s="24">
        <f t="shared" si="883"/>
        <v>2556</v>
      </c>
      <c r="P438" s="24">
        <f t="shared" ref="P438:S438" si="884">L438*$Y$2</f>
        <v>15101.25</v>
      </c>
      <c r="Q438" s="24">
        <f t="shared" si="884"/>
        <v>1395</v>
      </c>
      <c r="R438" s="24">
        <f t="shared" si="884"/>
        <v>0</v>
      </c>
      <c r="S438" s="24">
        <f t="shared" si="884"/>
        <v>639</v>
      </c>
      <c r="T438" s="24">
        <f t="shared" si="4"/>
        <v>15</v>
      </c>
      <c r="Z438" s="25">
        <f t="shared" si="12"/>
        <v>106.6186579</v>
      </c>
    </row>
    <row r="439">
      <c r="A439" s="16" t="s">
        <v>36</v>
      </c>
      <c r="B439" s="17">
        <v>138.0</v>
      </c>
      <c r="C439" s="24">
        <f t="shared" si="610"/>
        <v>239913.7987</v>
      </c>
      <c r="D439" s="25">
        <v>0.05</v>
      </c>
      <c r="E439" s="24">
        <f t="shared" si="611"/>
        <v>150.7382716</v>
      </c>
      <c r="F439" s="25">
        <v>0.02</v>
      </c>
      <c r="G439" s="24">
        <f t="shared" si="612"/>
        <v>35987.06981</v>
      </c>
      <c r="H439" s="25">
        <v>0.05</v>
      </c>
      <c r="I439" s="24">
        <f t="shared" si="613"/>
        <v>678.3222224</v>
      </c>
      <c r="J439" s="25">
        <v>0.02</v>
      </c>
      <c r="K439" s="25">
        <v>0.0</v>
      </c>
      <c r="L439" s="24">
        <f t="shared" si="810"/>
        <v>61146</v>
      </c>
      <c r="M439" s="24">
        <f t="shared" ref="M439:O439" si="885">IF(M438="", "", 1 + MROUND(IFERROR(MINIFS(OFFSET(M438, -1, 0, -$B439, 1), OFFSET(M438, -1, 0, -$B439, 1), "&gt;0"), M438) + (LN(1 + $Z439) ^ V$2) * V$3, 1))</f>
        <v>5640</v>
      </c>
      <c r="N439" s="24" t="str">
        <f t="shared" si="885"/>
        <v/>
      </c>
      <c r="O439" s="24">
        <f t="shared" si="885"/>
        <v>2587</v>
      </c>
      <c r="P439" s="24">
        <f t="shared" ref="P439:S439" si="886">L439*$Y$2</f>
        <v>15286.5</v>
      </c>
      <c r="Q439" s="24">
        <f t="shared" si="886"/>
        <v>1410</v>
      </c>
      <c r="R439" s="24">
        <f t="shared" si="886"/>
        <v>0</v>
      </c>
      <c r="S439" s="24">
        <f t="shared" si="886"/>
        <v>646.75</v>
      </c>
      <c r="T439" s="24">
        <f t="shared" si="4"/>
        <v>15</v>
      </c>
      <c r="Z439" s="25">
        <f t="shared" si="12"/>
        <v>110.385311</v>
      </c>
    </row>
    <row r="440">
      <c r="A440" s="16" t="s">
        <v>36</v>
      </c>
      <c r="B440" s="17">
        <v>139.0</v>
      </c>
      <c r="C440" s="24">
        <f t="shared" si="610"/>
        <v>251909.4887</v>
      </c>
      <c r="D440" s="25">
        <v>0.05</v>
      </c>
      <c r="E440" s="24">
        <f t="shared" si="611"/>
        <v>153.7530371</v>
      </c>
      <c r="F440" s="25">
        <v>0.02</v>
      </c>
      <c r="G440" s="24">
        <f t="shared" si="612"/>
        <v>37786.4233</v>
      </c>
      <c r="H440" s="25">
        <v>0.05</v>
      </c>
      <c r="I440" s="24">
        <f t="shared" si="613"/>
        <v>691.8886669</v>
      </c>
      <c r="J440" s="25">
        <v>0.02</v>
      </c>
      <c r="K440" s="25">
        <v>0.0</v>
      </c>
      <c r="L440" s="24">
        <f t="shared" si="810"/>
        <v>61891</v>
      </c>
      <c r="M440" s="24">
        <f t="shared" ref="M440:O440" si="887">IF(M439="", "", 1 + MROUND(IFERROR(MINIFS(OFFSET(M439, -1, 0, -$B440, 1), OFFSET(M439, -1, 0, -$B440, 1), "&gt;0"), M439) + (LN(1 + $Z440) ^ V$2) * V$3, 1))</f>
        <v>5701</v>
      </c>
      <c r="N440" s="24" t="str">
        <f t="shared" si="887"/>
        <v/>
      </c>
      <c r="O440" s="24">
        <f t="shared" si="887"/>
        <v>2618</v>
      </c>
      <c r="P440" s="24">
        <f t="shared" ref="P440:S440" si="888">L440*$Y$2</f>
        <v>15472.75</v>
      </c>
      <c r="Q440" s="24">
        <f t="shared" si="888"/>
        <v>1425.25</v>
      </c>
      <c r="R440" s="24">
        <f t="shared" si="888"/>
        <v>0</v>
      </c>
      <c r="S440" s="24">
        <f t="shared" si="888"/>
        <v>654.5</v>
      </c>
      <c r="T440" s="24">
        <f t="shared" si="4"/>
        <v>15</v>
      </c>
      <c r="Z440" s="25">
        <f t="shared" si="12"/>
        <v>114.2837968</v>
      </c>
    </row>
    <row r="441">
      <c r="A441" s="16" t="s">
        <v>36</v>
      </c>
      <c r="B441" s="17">
        <v>140.0</v>
      </c>
      <c r="C441" s="24">
        <f t="shared" si="610"/>
        <v>264504.9631</v>
      </c>
      <c r="D441" s="25">
        <v>0.05</v>
      </c>
      <c r="E441" s="24">
        <f t="shared" si="611"/>
        <v>156.8280978</v>
      </c>
      <c r="F441" s="25">
        <v>0.02</v>
      </c>
      <c r="G441" s="24">
        <f t="shared" si="612"/>
        <v>39675.74447</v>
      </c>
      <c r="H441" s="25">
        <v>0.05</v>
      </c>
      <c r="I441" s="24">
        <f t="shared" si="613"/>
        <v>705.7264402</v>
      </c>
      <c r="J441" s="25">
        <v>0.02</v>
      </c>
      <c r="K441" s="25">
        <v>0.0</v>
      </c>
      <c r="L441" s="24">
        <f t="shared" si="810"/>
        <v>62640</v>
      </c>
      <c r="M441" s="24">
        <f t="shared" ref="M441:O441" si="889">IF(M440="", "", 1 + MROUND(IFERROR(MINIFS(OFFSET(M440, -1, 0, -$B441, 1), OFFSET(M440, -1, 0, -$B441, 1), "&gt;0"), M440) + (LN(1 + $Z441) ^ V$2) * V$3, 1))</f>
        <v>5762</v>
      </c>
      <c r="N441" s="24" t="str">
        <f t="shared" si="889"/>
        <v/>
      </c>
      <c r="O441" s="24">
        <f t="shared" si="889"/>
        <v>2649</v>
      </c>
      <c r="P441" s="24">
        <f t="shared" ref="P441:S441" si="890">L441*$Y$2</f>
        <v>15660</v>
      </c>
      <c r="Q441" s="24">
        <f t="shared" si="890"/>
        <v>1440.5</v>
      </c>
      <c r="R441" s="24">
        <f t="shared" si="890"/>
        <v>0</v>
      </c>
      <c r="S441" s="24">
        <f t="shared" si="890"/>
        <v>662.25</v>
      </c>
      <c r="T441" s="24">
        <f t="shared" si="4"/>
        <v>15</v>
      </c>
      <c r="Z441" s="25">
        <f t="shared" si="12"/>
        <v>118.3187297</v>
      </c>
    </row>
    <row r="442">
      <c r="A442" s="16" t="s">
        <v>36</v>
      </c>
      <c r="B442" s="17">
        <v>141.0</v>
      </c>
      <c r="C442" s="24">
        <f t="shared" si="610"/>
        <v>277730.2113</v>
      </c>
      <c r="D442" s="25">
        <v>0.05</v>
      </c>
      <c r="E442" s="24">
        <f t="shared" si="611"/>
        <v>159.9646598</v>
      </c>
      <c r="F442" s="25">
        <v>0.02</v>
      </c>
      <c r="G442" s="24">
        <f t="shared" si="612"/>
        <v>41659.53169</v>
      </c>
      <c r="H442" s="25">
        <v>0.05</v>
      </c>
      <c r="I442" s="24">
        <f t="shared" si="613"/>
        <v>719.840969</v>
      </c>
      <c r="J442" s="25">
        <v>0.02</v>
      </c>
      <c r="K442" s="25">
        <v>0.0</v>
      </c>
      <c r="L442" s="24">
        <f t="shared" si="810"/>
        <v>63392</v>
      </c>
      <c r="M442" s="24">
        <f t="shared" ref="M442:O442" si="891">IF(M441="", "", 1 + MROUND(IFERROR(MINIFS(OFFSET(M441, -1, 0, -$B442, 1), OFFSET(M441, -1, 0, -$B442, 1), "&gt;0"), M441) + (LN(1 + $Z442) ^ V$2) * V$3, 1))</f>
        <v>5823</v>
      </c>
      <c r="N442" s="24" t="str">
        <f t="shared" si="891"/>
        <v/>
      </c>
      <c r="O442" s="24">
        <f t="shared" si="891"/>
        <v>2680</v>
      </c>
      <c r="P442" s="24">
        <f t="shared" ref="P442:S442" si="892">L442*$Y$2</f>
        <v>15848</v>
      </c>
      <c r="Q442" s="24">
        <f t="shared" si="892"/>
        <v>1455.75</v>
      </c>
      <c r="R442" s="24">
        <f t="shared" si="892"/>
        <v>0</v>
      </c>
      <c r="S442" s="24">
        <f t="shared" si="892"/>
        <v>670</v>
      </c>
      <c r="T442" s="24">
        <f t="shared" si="4"/>
        <v>15</v>
      </c>
      <c r="Z442" s="25">
        <f t="shared" si="12"/>
        <v>122.4948853</v>
      </c>
    </row>
    <row r="443">
      <c r="A443" s="16" t="s">
        <v>36</v>
      </c>
      <c r="B443" s="17">
        <v>142.0</v>
      </c>
      <c r="C443" s="24">
        <f t="shared" si="610"/>
        <v>291616.7218</v>
      </c>
      <c r="D443" s="25">
        <v>0.05</v>
      </c>
      <c r="E443" s="24">
        <f t="shared" si="611"/>
        <v>163.163953</v>
      </c>
      <c r="F443" s="25">
        <v>0.02</v>
      </c>
      <c r="G443" s="24">
        <f t="shared" si="612"/>
        <v>43742.50827</v>
      </c>
      <c r="H443" s="25">
        <v>0.05</v>
      </c>
      <c r="I443" s="24">
        <f t="shared" si="613"/>
        <v>734.2377884</v>
      </c>
      <c r="J443" s="25">
        <v>0.02</v>
      </c>
      <c r="K443" s="25">
        <v>0.0</v>
      </c>
      <c r="L443" s="24">
        <f t="shared" si="810"/>
        <v>64148</v>
      </c>
      <c r="M443" s="24">
        <f t="shared" ref="M443:O443" si="893">IF(M442="", "", 1 + MROUND(IFERROR(MINIFS(OFFSET(M442, -1, 0, -$B443, 1), OFFSET(M442, -1, 0, -$B443, 1), "&gt;0"), M442) + (LN(1 + $Z443) ^ V$2) * V$3, 1))</f>
        <v>5884</v>
      </c>
      <c r="N443" s="24" t="str">
        <f t="shared" si="893"/>
        <v/>
      </c>
      <c r="O443" s="24">
        <f t="shared" si="893"/>
        <v>2711</v>
      </c>
      <c r="P443" s="24">
        <f t="shared" ref="P443:S443" si="894">L443*$Y$2</f>
        <v>16037</v>
      </c>
      <c r="Q443" s="24">
        <f t="shared" si="894"/>
        <v>1471</v>
      </c>
      <c r="R443" s="24">
        <f t="shared" si="894"/>
        <v>0</v>
      </c>
      <c r="S443" s="24">
        <f t="shared" si="894"/>
        <v>677.75</v>
      </c>
      <c r="T443" s="24">
        <f t="shared" si="4"/>
        <v>15</v>
      </c>
      <c r="Z443" s="25">
        <f t="shared" si="12"/>
        <v>126.8172063</v>
      </c>
    </row>
    <row r="444">
      <c r="A444" s="16" t="s">
        <v>36</v>
      </c>
      <c r="B444" s="17">
        <v>143.0</v>
      </c>
      <c r="C444" s="24">
        <f t="shared" si="610"/>
        <v>306197.5579</v>
      </c>
      <c r="D444" s="25">
        <v>0.05</v>
      </c>
      <c r="E444" s="24">
        <f t="shared" si="611"/>
        <v>166.427232</v>
      </c>
      <c r="F444" s="25">
        <v>0.02</v>
      </c>
      <c r="G444" s="24">
        <f t="shared" si="612"/>
        <v>45929.63369</v>
      </c>
      <c r="H444" s="25">
        <v>0.05</v>
      </c>
      <c r="I444" s="24">
        <f t="shared" si="613"/>
        <v>748.9225442</v>
      </c>
      <c r="J444" s="25">
        <v>0.02</v>
      </c>
      <c r="K444" s="25">
        <v>0.0</v>
      </c>
      <c r="L444" s="24">
        <f t="shared" si="810"/>
        <v>64908</v>
      </c>
      <c r="M444" s="24">
        <f t="shared" ref="M444:O444" si="895">IF(M443="", "", 1 + MROUND(IFERROR(MINIFS(OFFSET(M443, -1, 0, -$B444, 1), OFFSET(M443, -1, 0, -$B444, 1), "&gt;0"), M443) + (LN(1 + $Z444) ^ V$2) * V$3, 1))</f>
        <v>5946</v>
      </c>
      <c r="N444" s="24" t="str">
        <f t="shared" si="895"/>
        <v/>
      </c>
      <c r="O444" s="24">
        <f t="shared" si="895"/>
        <v>2742</v>
      </c>
      <c r="P444" s="24">
        <f t="shared" ref="P444:S444" si="896">L444*$Y$2</f>
        <v>16227</v>
      </c>
      <c r="Q444" s="24">
        <f t="shared" si="896"/>
        <v>1486.5</v>
      </c>
      <c r="R444" s="24">
        <f t="shared" si="896"/>
        <v>0</v>
      </c>
      <c r="S444" s="24">
        <f t="shared" si="896"/>
        <v>685.5</v>
      </c>
      <c r="T444" s="24">
        <f t="shared" si="4"/>
        <v>15</v>
      </c>
      <c r="Z444" s="25">
        <f t="shared" si="12"/>
        <v>131.2908085</v>
      </c>
    </row>
    <row r="445">
      <c r="A445" s="16" t="s">
        <v>36</v>
      </c>
      <c r="B445" s="17">
        <v>144.0</v>
      </c>
      <c r="C445" s="24">
        <f t="shared" si="610"/>
        <v>321507.4358</v>
      </c>
      <c r="D445" s="25">
        <v>0.05</v>
      </c>
      <c r="E445" s="24">
        <f t="shared" si="611"/>
        <v>169.7557767</v>
      </c>
      <c r="F445" s="25">
        <v>0.02</v>
      </c>
      <c r="G445" s="24">
        <f t="shared" si="612"/>
        <v>48226.11537</v>
      </c>
      <c r="H445" s="25">
        <v>0.05</v>
      </c>
      <c r="I445" s="24">
        <f t="shared" si="613"/>
        <v>763.900995</v>
      </c>
      <c r="J445" s="25">
        <v>0.02</v>
      </c>
      <c r="K445" s="25">
        <v>0.0</v>
      </c>
      <c r="L445" s="24">
        <f t="shared" si="810"/>
        <v>65672</v>
      </c>
      <c r="M445" s="24">
        <f t="shared" ref="M445:O445" si="897">IF(M444="", "", 1 + MROUND(IFERROR(MINIFS(OFFSET(M444, -1, 0, -$B445, 1), OFFSET(M444, -1, 0, -$B445, 1), "&gt;0"), M444) + (LN(1 + $Z445) ^ V$2) * V$3, 1))</f>
        <v>6008</v>
      </c>
      <c r="N445" s="24" t="str">
        <f t="shared" si="897"/>
        <v/>
      </c>
      <c r="O445" s="24">
        <f t="shared" si="897"/>
        <v>2774</v>
      </c>
      <c r="P445" s="24">
        <f t="shared" ref="P445:S445" si="898">L445*$Y$2</f>
        <v>16418</v>
      </c>
      <c r="Q445" s="24">
        <f t="shared" si="898"/>
        <v>1502</v>
      </c>
      <c r="R445" s="24">
        <f t="shared" si="898"/>
        <v>0</v>
      </c>
      <c r="S445" s="24">
        <f t="shared" si="898"/>
        <v>693.5</v>
      </c>
      <c r="T445" s="24">
        <f t="shared" si="4"/>
        <v>15</v>
      </c>
      <c r="Z445" s="25">
        <f t="shared" si="12"/>
        <v>135.9209868</v>
      </c>
    </row>
    <row r="446">
      <c r="A446" s="16" t="s">
        <v>36</v>
      </c>
      <c r="B446" s="17">
        <v>145.0</v>
      </c>
      <c r="C446" s="24">
        <f t="shared" si="610"/>
        <v>337582.8076</v>
      </c>
      <c r="D446" s="25">
        <v>0.05</v>
      </c>
      <c r="E446" s="24">
        <f t="shared" si="611"/>
        <v>173.1508922</v>
      </c>
      <c r="F446" s="25">
        <v>0.02</v>
      </c>
      <c r="G446" s="24">
        <f t="shared" si="612"/>
        <v>50637.42114</v>
      </c>
      <c r="H446" s="25">
        <v>0.05</v>
      </c>
      <c r="I446" s="24">
        <f t="shared" si="613"/>
        <v>779.1790149</v>
      </c>
      <c r="J446" s="25">
        <v>0.02</v>
      </c>
      <c r="K446" s="25">
        <v>0.0</v>
      </c>
      <c r="L446" s="24">
        <f t="shared" si="810"/>
        <v>66439</v>
      </c>
      <c r="M446" s="24">
        <f t="shared" ref="M446:O446" si="899">IF(M445="", "", 1 + MROUND(IFERROR(MINIFS(OFFSET(M445, -1, 0, -$B446, 1), OFFSET(M445, -1, 0, -$B446, 1), "&gt;0"), M445) + (LN(1 + $Z446) ^ V$2) * V$3, 1))</f>
        <v>6070</v>
      </c>
      <c r="N446" s="24" t="str">
        <f t="shared" si="899"/>
        <v/>
      </c>
      <c r="O446" s="24">
        <f t="shared" si="899"/>
        <v>2806</v>
      </c>
      <c r="P446" s="24">
        <f t="shared" ref="P446:S446" si="900">L446*$Y$2</f>
        <v>16609.75</v>
      </c>
      <c r="Q446" s="24">
        <f t="shared" si="900"/>
        <v>1517.5</v>
      </c>
      <c r="R446" s="24">
        <f t="shared" si="900"/>
        <v>0</v>
      </c>
      <c r="S446" s="24">
        <f t="shared" si="900"/>
        <v>701.5</v>
      </c>
      <c r="T446" s="24">
        <f t="shared" si="4"/>
        <v>16</v>
      </c>
      <c r="Z446" s="25">
        <f t="shared" si="12"/>
        <v>140.7132213</v>
      </c>
    </row>
    <row r="447">
      <c r="A447" s="16" t="s">
        <v>36</v>
      </c>
      <c r="B447" s="17">
        <v>146.0</v>
      </c>
      <c r="C447" s="24">
        <f t="shared" si="610"/>
        <v>354461.948</v>
      </c>
      <c r="D447" s="25">
        <v>0.05</v>
      </c>
      <c r="E447" s="24">
        <f t="shared" si="611"/>
        <v>176.6139101</v>
      </c>
      <c r="F447" s="25">
        <v>0.02</v>
      </c>
      <c r="G447" s="24">
        <f t="shared" si="612"/>
        <v>53169.2922</v>
      </c>
      <c r="H447" s="25">
        <v>0.05</v>
      </c>
      <c r="I447" s="24">
        <f t="shared" si="613"/>
        <v>794.7625952</v>
      </c>
      <c r="J447" s="25">
        <v>0.02</v>
      </c>
      <c r="K447" s="25">
        <v>0.0</v>
      </c>
      <c r="L447" s="24">
        <f t="shared" si="810"/>
        <v>67210</v>
      </c>
      <c r="M447" s="24">
        <f t="shared" ref="M447:O447" si="901">IF(M446="", "", 1 + MROUND(IFERROR(MINIFS(OFFSET(M446, -1, 0, -$B447, 1), OFFSET(M446, -1, 0, -$B447, 1), "&gt;0"), M446) + (LN(1 + $Z447) ^ V$2) * V$3, 1))</f>
        <v>6133</v>
      </c>
      <c r="N447" s="24" t="str">
        <f t="shared" si="901"/>
        <v/>
      </c>
      <c r="O447" s="24">
        <f t="shared" si="901"/>
        <v>2838</v>
      </c>
      <c r="P447" s="24">
        <f t="shared" ref="P447:S447" si="902">L447*$Y$2</f>
        <v>16802.5</v>
      </c>
      <c r="Q447" s="24">
        <f t="shared" si="902"/>
        <v>1533.25</v>
      </c>
      <c r="R447" s="24">
        <f t="shared" si="902"/>
        <v>0</v>
      </c>
      <c r="S447" s="24">
        <f t="shared" si="902"/>
        <v>709.5</v>
      </c>
      <c r="T447" s="24">
        <f t="shared" si="4"/>
        <v>16</v>
      </c>
      <c r="Z447" s="25">
        <f t="shared" si="12"/>
        <v>145.6731841</v>
      </c>
    </row>
    <row r="448">
      <c r="A448" s="16" t="s">
        <v>36</v>
      </c>
      <c r="B448" s="17">
        <v>147.0</v>
      </c>
      <c r="C448" s="24">
        <f t="shared" si="610"/>
        <v>372185.0454</v>
      </c>
      <c r="D448" s="25">
        <v>0.05</v>
      </c>
      <c r="E448" s="24">
        <f t="shared" si="611"/>
        <v>180.1461883</v>
      </c>
      <c r="F448" s="25">
        <v>0.02</v>
      </c>
      <c r="G448" s="24">
        <f t="shared" si="612"/>
        <v>55827.75681</v>
      </c>
      <c r="H448" s="25">
        <v>0.05</v>
      </c>
      <c r="I448" s="24">
        <f t="shared" si="613"/>
        <v>810.6578471</v>
      </c>
      <c r="J448" s="25">
        <v>0.02</v>
      </c>
      <c r="K448" s="25">
        <v>0.0</v>
      </c>
      <c r="L448" s="24">
        <f t="shared" si="810"/>
        <v>67985</v>
      </c>
      <c r="M448" s="24">
        <f t="shared" ref="M448:O448" si="903">IF(M447="", "", 1 + MROUND(IFERROR(MINIFS(OFFSET(M447, -1, 0, -$B448, 1), OFFSET(M447, -1, 0, -$B448, 1), "&gt;0"), M447) + (LN(1 + $Z448) ^ V$2) * V$3, 1))</f>
        <v>6196</v>
      </c>
      <c r="N448" s="24" t="str">
        <f t="shared" si="903"/>
        <v/>
      </c>
      <c r="O448" s="24">
        <f t="shared" si="903"/>
        <v>2870</v>
      </c>
      <c r="P448" s="24">
        <f t="shared" ref="P448:S448" si="904">L448*$Y$2</f>
        <v>16996.25</v>
      </c>
      <c r="Q448" s="24">
        <f t="shared" si="904"/>
        <v>1549</v>
      </c>
      <c r="R448" s="24">
        <f t="shared" si="904"/>
        <v>0</v>
      </c>
      <c r="S448" s="24">
        <f t="shared" si="904"/>
        <v>717.5</v>
      </c>
      <c r="T448" s="24">
        <f t="shared" si="4"/>
        <v>16</v>
      </c>
      <c r="Z448" s="25">
        <f t="shared" si="12"/>
        <v>150.8067455</v>
      </c>
    </row>
    <row r="449">
      <c r="A449" s="16" t="s">
        <v>36</v>
      </c>
      <c r="B449" s="17">
        <v>148.0</v>
      </c>
      <c r="C449" s="24">
        <f t="shared" si="610"/>
        <v>390794.2976</v>
      </c>
      <c r="D449" s="25">
        <v>0.05</v>
      </c>
      <c r="E449" s="24">
        <f t="shared" si="611"/>
        <v>183.749112</v>
      </c>
      <c r="F449" s="25">
        <v>0.02</v>
      </c>
      <c r="G449" s="24">
        <f t="shared" si="612"/>
        <v>58619.14465</v>
      </c>
      <c r="H449" s="25">
        <v>0.05</v>
      </c>
      <c r="I449" s="24">
        <f t="shared" si="613"/>
        <v>826.8710041</v>
      </c>
      <c r="J449" s="25">
        <v>0.02</v>
      </c>
      <c r="K449" s="25">
        <v>0.0</v>
      </c>
      <c r="L449" s="24">
        <f t="shared" si="810"/>
        <v>68763</v>
      </c>
      <c r="M449" s="24">
        <f t="shared" ref="M449:O449" si="905">IF(M448="", "", 1 + MROUND(IFERROR(MINIFS(OFFSET(M448, -1, 0, -$B449, 1), OFFSET(M448, -1, 0, -$B449, 1), "&gt;0"), M448) + (LN(1 + $Z449) ^ V$2) * V$3, 1))</f>
        <v>6259</v>
      </c>
      <c r="N449" s="24" t="str">
        <f t="shared" si="905"/>
        <v/>
      </c>
      <c r="O449" s="24">
        <f t="shared" si="905"/>
        <v>2902</v>
      </c>
      <c r="P449" s="24">
        <f t="shared" ref="P449:S449" si="906">L449*$Y$2</f>
        <v>17190.75</v>
      </c>
      <c r="Q449" s="24">
        <f t="shared" si="906"/>
        <v>1564.75</v>
      </c>
      <c r="R449" s="24">
        <f t="shared" si="906"/>
        <v>0</v>
      </c>
      <c r="S449" s="24">
        <f t="shared" si="906"/>
        <v>725.5</v>
      </c>
      <c r="T449" s="24">
        <f t="shared" si="4"/>
        <v>16</v>
      </c>
      <c r="Z449" s="25">
        <f t="shared" si="12"/>
        <v>156.1199816</v>
      </c>
    </row>
    <row r="450">
      <c r="A450" s="16" t="s">
        <v>36</v>
      </c>
      <c r="B450" s="17">
        <v>149.0</v>
      </c>
      <c r="C450" s="24">
        <f t="shared" si="610"/>
        <v>410334.0125</v>
      </c>
      <c r="D450" s="25">
        <v>0.05</v>
      </c>
      <c r="E450" s="24">
        <f t="shared" si="611"/>
        <v>187.4240943</v>
      </c>
      <c r="F450" s="25">
        <v>0.02</v>
      </c>
      <c r="G450" s="24">
        <f t="shared" si="612"/>
        <v>61550.10188</v>
      </c>
      <c r="H450" s="25">
        <v>0.05</v>
      </c>
      <c r="I450" s="24">
        <f t="shared" si="613"/>
        <v>843.4084242</v>
      </c>
      <c r="J450" s="25">
        <v>0.02</v>
      </c>
      <c r="K450" s="25">
        <v>0.0</v>
      </c>
      <c r="L450" s="24">
        <f t="shared" si="810"/>
        <v>69545</v>
      </c>
      <c r="M450" s="24">
        <f t="shared" ref="M450:O450" si="907">IF(M449="", "", 1 + MROUND(IFERROR(MINIFS(OFFSET(M449, -1, 0, -$B450, 1), OFFSET(M449, -1, 0, -$B450, 1), "&gt;0"), M449) + (LN(1 + $Z450) ^ V$2) * V$3, 1))</f>
        <v>6322</v>
      </c>
      <c r="N450" s="24" t="str">
        <f t="shared" si="907"/>
        <v/>
      </c>
      <c r="O450" s="24">
        <f t="shared" si="907"/>
        <v>2934</v>
      </c>
      <c r="P450" s="24">
        <f t="shared" ref="P450:S450" si="908">L450*$Y$2</f>
        <v>17386.25</v>
      </c>
      <c r="Q450" s="24">
        <f t="shared" si="908"/>
        <v>1580.5</v>
      </c>
      <c r="R450" s="24">
        <f t="shared" si="908"/>
        <v>0</v>
      </c>
      <c r="S450" s="24">
        <f t="shared" si="908"/>
        <v>733.5</v>
      </c>
      <c r="T450" s="24">
        <f t="shared" si="4"/>
        <v>16</v>
      </c>
      <c r="Z450" s="25">
        <f t="shared" si="12"/>
        <v>161.6191809</v>
      </c>
    </row>
    <row r="451">
      <c r="A451" s="16" t="s">
        <v>36</v>
      </c>
      <c r="B451" s="17">
        <v>150.0</v>
      </c>
      <c r="C451" s="24">
        <f t="shared" si="610"/>
        <v>430850.7132</v>
      </c>
      <c r="D451" s="25">
        <v>0.05</v>
      </c>
      <c r="E451" s="24">
        <f t="shared" si="611"/>
        <v>191.1725761</v>
      </c>
      <c r="F451" s="25">
        <v>0.02</v>
      </c>
      <c r="G451" s="24">
        <f t="shared" si="612"/>
        <v>64627.60697</v>
      </c>
      <c r="H451" s="25">
        <v>0.05</v>
      </c>
      <c r="I451" s="24">
        <f t="shared" si="613"/>
        <v>860.2765927</v>
      </c>
      <c r="J451" s="25">
        <v>0.02</v>
      </c>
      <c r="K451" s="25">
        <v>0.0</v>
      </c>
      <c r="L451" s="24">
        <f t="shared" si="810"/>
        <v>70331</v>
      </c>
      <c r="M451" s="24">
        <f t="shared" ref="M451:O451" si="909">IF(M450="", "", 1 + MROUND(IFERROR(MINIFS(OFFSET(M450, -1, 0, -$B451, 1), OFFSET(M450, -1, 0, -$B451, 1), "&gt;0"), M450) + (LN(1 + $Z451) ^ V$2) * V$3, 1))</f>
        <v>6386</v>
      </c>
      <c r="N451" s="24" t="str">
        <f t="shared" si="909"/>
        <v/>
      </c>
      <c r="O451" s="24">
        <f t="shared" si="909"/>
        <v>2966</v>
      </c>
      <c r="P451" s="24">
        <f t="shared" ref="P451:S451" si="910">L451*$Y$2</f>
        <v>17582.75</v>
      </c>
      <c r="Q451" s="24">
        <f t="shared" si="910"/>
        <v>1596.5</v>
      </c>
      <c r="R451" s="24">
        <f t="shared" si="910"/>
        <v>0</v>
      </c>
      <c r="S451" s="24">
        <f t="shared" si="910"/>
        <v>741.5</v>
      </c>
      <c r="T451" s="24">
        <f t="shared" si="4"/>
        <v>16</v>
      </c>
      <c r="Z451" s="25">
        <f t="shared" si="12"/>
        <v>167.3108523</v>
      </c>
    </row>
    <row r="452">
      <c r="A452" s="16" t="s">
        <v>36</v>
      </c>
      <c r="B452" s="17">
        <v>151.0</v>
      </c>
      <c r="C452" s="24">
        <f t="shared" si="610"/>
        <v>452393.2488</v>
      </c>
      <c r="D452" s="25">
        <v>0.05</v>
      </c>
      <c r="E452" s="24">
        <f t="shared" si="611"/>
        <v>194.9960277</v>
      </c>
      <c r="F452" s="25">
        <v>0.02</v>
      </c>
      <c r="G452" s="24">
        <f t="shared" si="612"/>
        <v>67858.98732</v>
      </c>
      <c r="H452" s="25">
        <v>0.05</v>
      </c>
      <c r="I452" s="24">
        <f t="shared" si="613"/>
        <v>877.4821245</v>
      </c>
      <c r="J452" s="25">
        <v>0.02</v>
      </c>
      <c r="K452" s="25">
        <v>0.0</v>
      </c>
      <c r="L452" s="24">
        <f t="shared" si="810"/>
        <v>71121</v>
      </c>
      <c r="M452" s="24">
        <f t="shared" ref="M452:O452" si="911">IF(M451="", "", 1 + MROUND(IFERROR(MINIFS(OFFSET(M451, -1, 0, -$B452, 1), OFFSET(M451, -1, 0, -$B452, 1), "&gt;0"), M451) + (LN(1 + $Z452) ^ V$2) * V$3, 1))</f>
        <v>6450</v>
      </c>
      <c r="N452" s="24" t="str">
        <f t="shared" si="911"/>
        <v/>
      </c>
      <c r="O452" s="24">
        <f t="shared" si="911"/>
        <v>2999</v>
      </c>
      <c r="P452" s="24">
        <f t="shared" ref="P452:S452" si="912">L452*$Y$2</f>
        <v>17780.25</v>
      </c>
      <c r="Q452" s="24">
        <f t="shared" si="912"/>
        <v>1612.5</v>
      </c>
      <c r="R452" s="24">
        <f t="shared" si="912"/>
        <v>0</v>
      </c>
      <c r="S452" s="24">
        <f t="shared" si="912"/>
        <v>749.75</v>
      </c>
      <c r="T452" s="24">
        <f t="shared" si="4"/>
        <v>16</v>
      </c>
      <c r="Z452" s="25">
        <f t="shared" si="12"/>
        <v>173.2017321</v>
      </c>
    </row>
    <row r="453">
      <c r="A453" s="16" t="s">
        <v>36</v>
      </c>
      <c r="B453" s="17">
        <v>152.0</v>
      </c>
      <c r="C453" s="24">
        <f t="shared" si="610"/>
        <v>475012.9113</v>
      </c>
      <c r="D453" s="25">
        <v>0.05</v>
      </c>
      <c r="E453" s="24">
        <f t="shared" si="611"/>
        <v>198.8959482</v>
      </c>
      <c r="F453" s="25">
        <v>0.02</v>
      </c>
      <c r="G453" s="24">
        <f t="shared" si="612"/>
        <v>71251.93669</v>
      </c>
      <c r="H453" s="25">
        <v>0.05</v>
      </c>
      <c r="I453" s="24">
        <f t="shared" si="613"/>
        <v>895.031767</v>
      </c>
      <c r="J453" s="25">
        <v>0.02</v>
      </c>
      <c r="K453" s="25">
        <v>0.0</v>
      </c>
      <c r="L453" s="24">
        <f t="shared" si="810"/>
        <v>71914</v>
      </c>
      <c r="M453" s="24">
        <f t="shared" ref="M453:O453" si="913">IF(M452="", "", 1 + MROUND(IFERROR(MINIFS(OFFSET(M452, -1, 0, -$B453, 1), OFFSET(M452, -1, 0, -$B453, 1), "&gt;0"), M452) + (LN(1 + $Z453) ^ V$2) * V$3, 1))</f>
        <v>6514</v>
      </c>
      <c r="N453" s="24" t="str">
        <f t="shared" si="913"/>
        <v/>
      </c>
      <c r="O453" s="24">
        <f t="shared" si="913"/>
        <v>3032</v>
      </c>
      <c r="P453" s="24">
        <f t="shared" ref="P453:S453" si="914">L453*$Y$2</f>
        <v>17978.5</v>
      </c>
      <c r="Q453" s="24">
        <f t="shared" si="914"/>
        <v>1628.5</v>
      </c>
      <c r="R453" s="24">
        <f t="shared" si="914"/>
        <v>0</v>
      </c>
      <c r="S453" s="24">
        <f t="shared" si="914"/>
        <v>758</v>
      </c>
      <c r="T453" s="24">
        <f t="shared" si="4"/>
        <v>16</v>
      </c>
      <c r="Z453" s="25">
        <f t="shared" si="12"/>
        <v>179.2987927</v>
      </c>
    </row>
    <row r="454">
      <c r="A454" s="16" t="s">
        <v>36</v>
      </c>
      <c r="B454" s="17">
        <v>153.0</v>
      </c>
      <c r="C454" s="24">
        <f t="shared" si="610"/>
        <v>498763.5568</v>
      </c>
      <c r="D454" s="25">
        <v>0.05</v>
      </c>
      <c r="E454" s="24">
        <f t="shared" si="611"/>
        <v>202.8738672</v>
      </c>
      <c r="F454" s="25">
        <v>0.02</v>
      </c>
      <c r="G454" s="24">
        <f t="shared" si="612"/>
        <v>74814.53352</v>
      </c>
      <c r="H454" s="25">
        <v>0.05</v>
      </c>
      <c r="I454" s="24">
        <f t="shared" si="613"/>
        <v>912.9324023</v>
      </c>
      <c r="J454" s="25">
        <v>0.02</v>
      </c>
      <c r="K454" s="25">
        <v>0.0</v>
      </c>
      <c r="L454" s="24">
        <f t="shared" si="810"/>
        <v>72711</v>
      </c>
      <c r="M454" s="24">
        <f t="shared" ref="M454:O454" si="915">IF(M453="", "", 1 + MROUND(IFERROR(MINIFS(OFFSET(M453, -1, 0, -$B454, 1), OFFSET(M453, -1, 0, -$B454, 1), "&gt;0"), M453) + (LN(1 + $Z454) ^ V$2) * V$3, 1))</f>
        <v>6579</v>
      </c>
      <c r="N454" s="24" t="str">
        <f t="shared" si="915"/>
        <v/>
      </c>
      <c r="O454" s="24">
        <f t="shared" si="915"/>
        <v>3065</v>
      </c>
      <c r="P454" s="24">
        <f t="shared" ref="P454:S454" si="916">L454*$Y$2</f>
        <v>18177.75</v>
      </c>
      <c r="Q454" s="24">
        <f t="shared" si="916"/>
        <v>1644.75</v>
      </c>
      <c r="R454" s="24">
        <f t="shared" si="916"/>
        <v>0</v>
      </c>
      <c r="S454" s="24">
        <f t="shared" si="916"/>
        <v>766.25</v>
      </c>
      <c r="T454" s="24">
        <f t="shared" si="4"/>
        <v>16</v>
      </c>
      <c r="Z454" s="25">
        <f t="shared" si="12"/>
        <v>185.6092505</v>
      </c>
    </row>
    <row r="455">
      <c r="A455" s="16" t="s">
        <v>36</v>
      </c>
      <c r="B455" s="17">
        <v>154.0</v>
      </c>
      <c r="C455" s="24">
        <f t="shared" si="610"/>
        <v>523701.7347</v>
      </c>
      <c r="D455" s="25">
        <v>0.05</v>
      </c>
      <c r="E455" s="24">
        <f t="shared" si="611"/>
        <v>206.9313445</v>
      </c>
      <c r="F455" s="25">
        <v>0.02</v>
      </c>
      <c r="G455" s="24">
        <f t="shared" si="612"/>
        <v>78555.2602</v>
      </c>
      <c r="H455" s="25">
        <v>0.05</v>
      </c>
      <c r="I455" s="24">
        <f t="shared" si="613"/>
        <v>931.1910504</v>
      </c>
      <c r="J455" s="25">
        <v>0.02</v>
      </c>
      <c r="K455" s="25">
        <v>0.0</v>
      </c>
      <c r="L455" s="24">
        <f t="shared" si="810"/>
        <v>73512</v>
      </c>
      <c r="M455" s="24">
        <f t="shared" ref="M455:O455" si="917">IF(M454="", "", 1 + MROUND(IFERROR(MINIFS(OFFSET(M454, -1, 0, -$B455, 1), OFFSET(M454, -1, 0, -$B455, 1), "&gt;0"), M454) + (LN(1 + $Z455) ^ V$2) * V$3, 1))</f>
        <v>6644</v>
      </c>
      <c r="N455" s="24" t="str">
        <f t="shared" si="917"/>
        <v/>
      </c>
      <c r="O455" s="24">
        <f t="shared" si="917"/>
        <v>3098</v>
      </c>
      <c r="P455" s="24">
        <f t="shared" ref="P455:S455" si="918">L455*$Y$2</f>
        <v>18378</v>
      </c>
      <c r="Q455" s="24">
        <f t="shared" si="918"/>
        <v>1661</v>
      </c>
      <c r="R455" s="24">
        <f t="shared" si="918"/>
        <v>0</v>
      </c>
      <c r="S455" s="24">
        <f t="shared" si="918"/>
        <v>774.5</v>
      </c>
      <c r="T455" s="24">
        <f t="shared" si="4"/>
        <v>16</v>
      </c>
      <c r="Z455" s="25">
        <f t="shared" si="12"/>
        <v>192.1405742</v>
      </c>
    </row>
    <row r="456">
      <c r="A456" s="16" t="s">
        <v>36</v>
      </c>
      <c r="B456" s="17">
        <v>155.0</v>
      </c>
      <c r="C456" s="24">
        <f t="shared" si="610"/>
        <v>549886.8214</v>
      </c>
      <c r="D456" s="25">
        <v>0.05</v>
      </c>
      <c r="E456" s="24">
        <f t="shared" si="611"/>
        <v>211.0699714</v>
      </c>
      <c r="F456" s="25">
        <v>0.02</v>
      </c>
      <c r="G456" s="24">
        <f t="shared" si="612"/>
        <v>82483.02321</v>
      </c>
      <c r="H456" s="25">
        <v>0.05</v>
      </c>
      <c r="I456" s="24">
        <f t="shared" si="613"/>
        <v>949.8148714</v>
      </c>
      <c r="J456" s="25">
        <v>0.02</v>
      </c>
      <c r="K456" s="25">
        <v>0.0</v>
      </c>
      <c r="L456" s="24">
        <f t="shared" si="810"/>
        <v>74316</v>
      </c>
      <c r="M456" s="24">
        <f t="shared" ref="M456:O456" si="919">IF(M455="", "", 1 + MROUND(IFERROR(MINIFS(OFFSET(M455, -1, 0, -$B456, 1), OFFSET(M455, -1, 0, -$B456, 1), "&gt;0"), M455) + (LN(1 + $Z456) ^ V$2) * V$3, 1))</f>
        <v>6709</v>
      </c>
      <c r="N456" s="24" t="str">
        <f t="shared" si="919"/>
        <v/>
      </c>
      <c r="O456" s="24">
        <f t="shared" si="919"/>
        <v>3131</v>
      </c>
      <c r="P456" s="24">
        <f t="shared" ref="P456:S456" si="920">L456*$Y$2</f>
        <v>18579</v>
      </c>
      <c r="Q456" s="24">
        <f t="shared" si="920"/>
        <v>1677.25</v>
      </c>
      <c r="R456" s="24">
        <f t="shared" si="920"/>
        <v>0</v>
      </c>
      <c r="S456" s="24">
        <f t="shared" si="920"/>
        <v>782.75</v>
      </c>
      <c r="T456" s="24">
        <f t="shared" si="4"/>
        <v>17</v>
      </c>
      <c r="Z456" s="25">
        <f t="shared" si="12"/>
        <v>198.9004943</v>
      </c>
    </row>
    <row r="457">
      <c r="A457" s="16" t="s">
        <v>36</v>
      </c>
      <c r="B457" s="17">
        <v>156.0</v>
      </c>
      <c r="C457" s="24">
        <f t="shared" si="610"/>
        <v>577381.1625</v>
      </c>
      <c r="D457" s="25">
        <v>0.05</v>
      </c>
      <c r="E457" s="24">
        <f t="shared" si="611"/>
        <v>215.2913708</v>
      </c>
      <c r="F457" s="25">
        <v>0.02</v>
      </c>
      <c r="G457" s="24">
        <f t="shared" si="612"/>
        <v>86607.17437</v>
      </c>
      <c r="H457" s="25">
        <v>0.05</v>
      </c>
      <c r="I457" s="24">
        <f t="shared" si="613"/>
        <v>968.8111688</v>
      </c>
      <c r="J457" s="25">
        <v>0.02</v>
      </c>
      <c r="K457" s="25">
        <v>0.0</v>
      </c>
      <c r="L457" s="24">
        <f t="shared" si="810"/>
        <v>75124</v>
      </c>
      <c r="M457" s="24">
        <f t="shared" ref="M457:O457" si="921">IF(M456="", "", 1 + MROUND(IFERROR(MINIFS(OFFSET(M456, -1, 0, -$B457, 1), OFFSET(M456, -1, 0, -$B457, 1), "&gt;0"), M456) + (LN(1 + $Z457) ^ V$2) * V$3, 1))</f>
        <v>6775</v>
      </c>
      <c r="N457" s="24" t="str">
        <f t="shared" si="921"/>
        <v/>
      </c>
      <c r="O457" s="24">
        <f t="shared" si="921"/>
        <v>3164</v>
      </c>
      <c r="P457" s="24">
        <f t="shared" ref="P457:S457" si="922">L457*$Y$2</f>
        <v>18781</v>
      </c>
      <c r="Q457" s="24">
        <f t="shared" si="922"/>
        <v>1693.75</v>
      </c>
      <c r="R457" s="24">
        <f t="shared" si="922"/>
        <v>0</v>
      </c>
      <c r="S457" s="24">
        <f t="shared" si="922"/>
        <v>791</v>
      </c>
      <c r="T457" s="24">
        <f t="shared" si="4"/>
        <v>17</v>
      </c>
      <c r="Z457" s="25">
        <f t="shared" si="12"/>
        <v>205.8970116</v>
      </c>
    </row>
    <row r="458">
      <c r="A458" s="16" t="s">
        <v>36</v>
      </c>
      <c r="B458" s="17">
        <v>157.0</v>
      </c>
      <c r="C458" s="24">
        <f t="shared" si="610"/>
        <v>606250.2206</v>
      </c>
      <c r="D458" s="25">
        <v>0.05</v>
      </c>
      <c r="E458" s="24">
        <f t="shared" si="611"/>
        <v>219.5971983</v>
      </c>
      <c r="F458" s="25">
        <v>0.02</v>
      </c>
      <c r="G458" s="24">
        <f t="shared" si="612"/>
        <v>90937.53309</v>
      </c>
      <c r="H458" s="25">
        <v>0.05</v>
      </c>
      <c r="I458" s="24">
        <f t="shared" si="613"/>
        <v>988.1873922</v>
      </c>
      <c r="J458" s="25">
        <v>0.02</v>
      </c>
      <c r="K458" s="25">
        <v>0.0</v>
      </c>
      <c r="L458" s="24">
        <f t="shared" si="810"/>
        <v>75935</v>
      </c>
      <c r="M458" s="24">
        <f t="shared" ref="M458:O458" si="923">IF(M457="", "", 1 + MROUND(IFERROR(MINIFS(OFFSET(M457, -1, 0, -$B458, 1), OFFSET(M457, -1, 0, -$B458, 1), "&gt;0"), M457) + (LN(1 + $Z458) ^ V$2) * V$3, 1))</f>
        <v>6841</v>
      </c>
      <c r="N458" s="24" t="str">
        <f t="shared" si="923"/>
        <v/>
      </c>
      <c r="O458" s="24">
        <f t="shared" si="923"/>
        <v>3197</v>
      </c>
      <c r="P458" s="24">
        <f t="shared" ref="P458:S458" si="924">L458*$Y$2</f>
        <v>18983.75</v>
      </c>
      <c r="Q458" s="24">
        <f t="shared" si="924"/>
        <v>1710.25</v>
      </c>
      <c r="R458" s="24">
        <f t="shared" si="924"/>
        <v>0</v>
      </c>
      <c r="S458" s="24">
        <f t="shared" si="924"/>
        <v>799.25</v>
      </c>
      <c r="T458" s="24">
        <f t="shared" si="4"/>
        <v>17</v>
      </c>
      <c r="Z458" s="25">
        <f t="shared" si="12"/>
        <v>213.1384071</v>
      </c>
    </row>
    <row r="459">
      <c r="A459" s="16" t="s">
        <v>36</v>
      </c>
      <c r="B459" s="17">
        <v>158.0</v>
      </c>
      <c r="C459" s="24">
        <f t="shared" si="610"/>
        <v>636562.7316</v>
      </c>
      <c r="D459" s="25">
        <v>0.05</v>
      </c>
      <c r="E459" s="24">
        <f t="shared" si="611"/>
        <v>223.9891422</v>
      </c>
      <c r="F459" s="25">
        <v>0.02</v>
      </c>
      <c r="G459" s="24">
        <f t="shared" si="612"/>
        <v>95484.40974</v>
      </c>
      <c r="H459" s="25">
        <v>0.05</v>
      </c>
      <c r="I459" s="24">
        <f t="shared" si="613"/>
        <v>1007.95114</v>
      </c>
      <c r="J459" s="25">
        <v>0.02</v>
      </c>
      <c r="K459" s="25">
        <v>0.0</v>
      </c>
      <c r="L459" s="24">
        <f t="shared" si="810"/>
        <v>76750</v>
      </c>
      <c r="M459" s="24">
        <f t="shared" ref="M459:O459" si="925">IF(M458="", "", 1 + MROUND(IFERROR(MINIFS(OFFSET(M458, -1, 0, -$B459, 1), OFFSET(M458, -1, 0, -$B459, 1), "&gt;0"), M458) + (LN(1 + $Z459) ^ V$2) * V$3, 1))</f>
        <v>6907</v>
      </c>
      <c r="N459" s="24" t="str">
        <f t="shared" si="925"/>
        <v/>
      </c>
      <c r="O459" s="24">
        <f t="shared" si="925"/>
        <v>3231</v>
      </c>
      <c r="P459" s="24">
        <f t="shared" ref="P459:S459" si="926">L459*$Y$2</f>
        <v>19187.5</v>
      </c>
      <c r="Q459" s="24">
        <f t="shared" si="926"/>
        <v>1726.75</v>
      </c>
      <c r="R459" s="24">
        <f t="shared" si="926"/>
        <v>0</v>
      </c>
      <c r="S459" s="24">
        <f t="shared" si="926"/>
        <v>807.75</v>
      </c>
      <c r="T459" s="24">
        <f t="shared" si="4"/>
        <v>17</v>
      </c>
      <c r="Z459" s="25">
        <f t="shared" si="12"/>
        <v>220.6332513</v>
      </c>
    </row>
    <row r="460">
      <c r="A460" s="16" t="s">
        <v>36</v>
      </c>
      <c r="B460" s="17">
        <v>159.0</v>
      </c>
      <c r="C460" s="24">
        <f t="shared" si="610"/>
        <v>668390.8682</v>
      </c>
      <c r="D460" s="25">
        <v>0.05</v>
      </c>
      <c r="E460" s="24">
        <f t="shared" si="611"/>
        <v>228.4689251</v>
      </c>
      <c r="F460" s="25">
        <v>0.02</v>
      </c>
      <c r="G460" s="24">
        <f t="shared" si="612"/>
        <v>100258.6302</v>
      </c>
      <c r="H460" s="25">
        <v>0.05</v>
      </c>
      <c r="I460" s="24">
        <f t="shared" si="613"/>
        <v>1028.110163</v>
      </c>
      <c r="J460" s="25">
        <v>0.02</v>
      </c>
      <c r="K460" s="25">
        <v>0.0</v>
      </c>
      <c r="L460" s="24">
        <f t="shared" si="810"/>
        <v>77569</v>
      </c>
      <c r="M460" s="24">
        <f t="shared" ref="M460:O460" si="927">IF(M459="", "", 1 + MROUND(IFERROR(MINIFS(OFFSET(M459, -1, 0, -$B460, 1), OFFSET(M459, -1, 0, -$B460, 1), "&gt;0"), M459) + (LN(1 + $Z460) ^ V$2) * V$3, 1))</f>
        <v>6973</v>
      </c>
      <c r="N460" s="24" t="str">
        <f t="shared" si="927"/>
        <v/>
      </c>
      <c r="O460" s="24">
        <f t="shared" si="927"/>
        <v>3265</v>
      </c>
      <c r="P460" s="24">
        <f t="shared" ref="P460:S460" si="928">L460*$Y$2</f>
        <v>19392.25</v>
      </c>
      <c r="Q460" s="24">
        <f t="shared" si="928"/>
        <v>1743.25</v>
      </c>
      <c r="R460" s="24">
        <f t="shared" si="928"/>
        <v>0</v>
      </c>
      <c r="S460" s="24">
        <f t="shared" si="928"/>
        <v>816.25</v>
      </c>
      <c r="T460" s="24">
        <f t="shared" si="4"/>
        <v>17</v>
      </c>
      <c r="Z460" s="25">
        <f t="shared" si="12"/>
        <v>228.3904151</v>
      </c>
    </row>
    <row r="461">
      <c r="A461" s="16" t="s">
        <v>36</v>
      </c>
      <c r="B461" s="17">
        <v>160.0</v>
      </c>
      <c r="C461" s="24">
        <f t="shared" si="610"/>
        <v>701810.4116</v>
      </c>
      <c r="D461" s="25">
        <v>0.05</v>
      </c>
      <c r="E461" s="24">
        <f t="shared" si="611"/>
        <v>233.0383036</v>
      </c>
      <c r="F461" s="25">
        <v>0.02</v>
      </c>
      <c r="G461" s="24">
        <f t="shared" si="612"/>
        <v>105271.5617</v>
      </c>
      <c r="H461" s="25">
        <v>0.05</v>
      </c>
      <c r="I461" s="24">
        <f t="shared" si="613"/>
        <v>1048.672366</v>
      </c>
      <c r="J461" s="25">
        <v>0.02</v>
      </c>
      <c r="K461" s="25">
        <v>0.0</v>
      </c>
      <c r="L461" s="24">
        <f t="shared" si="810"/>
        <v>78391</v>
      </c>
      <c r="M461" s="24">
        <f t="shared" ref="M461:O461" si="929">IF(M460="", "", 1 + MROUND(IFERROR(MINIFS(OFFSET(M460, -1, 0, -$B461, 1), OFFSET(M460, -1, 0, -$B461, 1), "&gt;0"), M460) + (LN(1 + $Z461) ^ V$2) * V$3, 1))</f>
        <v>7040</v>
      </c>
      <c r="N461" s="24" t="str">
        <f t="shared" si="929"/>
        <v/>
      </c>
      <c r="O461" s="24">
        <f t="shared" si="929"/>
        <v>3299</v>
      </c>
      <c r="P461" s="24">
        <f t="shared" ref="P461:S461" si="930">L461*$Y$2</f>
        <v>19597.75</v>
      </c>
      <c r="Q461" s="24">
        <f t="shared" si="930"/>
        <v>1760</v>
      </c>
      <c r="R461" s="24">
        <f t="shared" si="930"/>
        <v>0</v>
      </c>
      <c r="S461" s="24">
        <f t="shared" si="930"/>
        <v>824.75</v>
      </c>
      <c r="T461" s="24">
        <f t="shared" si="4"/>
        <v>17</v>
      </c>
      <c r="Z461" s="25">
        <f t="shared" si="12"/>
        <v>236.4190796</v>
      </c>
    </row>
    <row r="462">
      <c r="A462" s="16" t="s">
        <v>36</v>
      </c>
      <c r="B462" s="17">
        <v>161.0</v>
      </c>
      <c r="C462" s="24">
        <f t="shared" si="610"/>
        <v>736900.9322</v>
      </c>
      <c r="D462" s="25">
        <v>0.05</v>
      </c>
      <c r="E462" s="24">
        <f t="shared" si="611"/>
        <v>237.6990696</v>
      </c>
      <c r="F462" s="25">
        <v>0.02</v>
      </c>
      <c r="G462" s="24">
        <f t="shared" si="612"/>
        <v>110535.1398</v>
      </c>
      <c r="H462" s="25">
        <v>0.05</v>
      </c>
      <c r="I462" s="24">
        <f t="shared" si="613"/>
        <v>1069.645813</v>
      </c>
      <c r="J462" s="25">
        <v>0.02</v>
      </c>
      <c r="K462" s="25">
        <v>0.0</v>
      </c>
      <c r="L462" s="24">
        <f t="shared" si="810"/>
        <v>79217</v>
      </c>
      <c r="M462" s="24">
        <f t="shared" ref="M462:O462" si="931">IF(M461="", "", 1 + MROUND(IFERROR(MINIFS(OFFSET(M461, -1, 0, -$B462, 1), OFFSET(M461, -1, 0, -$B462, 1), "&gt;0"), M461) + (LN(1 + $Z462) ^ V$2) * V$3, 1))</f>
        <v>7107</v>
      </c>
      <c r="N462" s="24" t="str">
        <f t="shared" si="931"/>
        <v/>
      </c>
      <c r="O462" s="24">
        <f t="shared" si="931"/>
        <v>3333</v>
      </c>
      <c r="P462" s="24">
        <f t="shared" ref="P462:S462" si="932">L462*$Y$2</f>
        <v>19804.25</v>
      </c>
      <c r="Q462" s="24">
        <f t="shared" si="932"/>
        <v>1776.75</v>
      </c>
      <c r="R462" s="24">
        <f t="shared" si="932"/>
        <v>0</v>
      </c>
      <c r="S462" s="24">
        <f t="shared" si="932"/>
        <v>833.25</v>
      </c>
      <c r="T462" s="24">
        <f t="shared" si="4"/>
        <v>17</v>
      </c>
      <c r="Z462" s="25">
        <f t="shared" si="12"/>
        <v>244.7287474</v>
      </c>
    </row>
    <row r="463">
      <c r="A463" s="16" t="s">
        <v>36</v>
      </c>
      <c r="B463" s="17">
        <v>162.0</v>
      </c>
      <c r="C463" s="24">
        <f t="shared" si="610"/>
        <v>773745.9788</v>
      </c>
      <c r="D463" s="25">
        <v>0.05</v>
      </c>
      <c r="E463" s="24">
        <f t="shared" si="611"/>
        <v>242.453051</v>
      </c>
      <c r="F463" s="25">
        <v>0.02</v>
      </c>
      <c r="G463" s="24">
        <f t="shared" si="612"/>
        <v>116061.8968</v>
      </c>
      <c r="H463" s="25">
        <v>0.05</v>
      </c>
      <c r="I463" s="24">
        <f t="shared" si="613"/>
        <v>1091.03873</v>
      </c>
      <c r="J463" s="25">
        <v>0.02</v>
      </c>
      <c r="K463" s="25">
        <v>0.0</v>
      </c>
      <c r="L463" s="24">
        <f t="shared" si="810"/>
        <v>80047</v>
      </c>
      <c r="M463" s="24">
        <f t="shared" ref="M463:O463" si="933">IF(M462="", "", 1 + MROUND(IFERROR(MINIFS(OFFSET(M462, -1, 0, -$B463, 1), OFFSET(M462, -1, 0, -$B463, 1), "&gt;0"), M462) + (LN(1 + $Z463) ^ V$2) * V$3, 1))</f>
        <v>7174</v>
      </c>
      <c r="N463" s="24" t="str">
        <f t="shared" si="933"/>
        <v/>
      </c>
      <c r="O463" s="24">
        <f t="shared" si="933"/>
        <v>3367</v>
      </c>
      <c r="P463" s="24">
        <f t="shared" ref="P463:S463" si="934">L463*$Y$2</f>
        <v>20011.75</v>
      </c>
      <c r="Q463" s="24">
        <f t="shared" si="934"/>
        <v>1793.5</v>
      </c>
      <c r="R463" s="24">
        <f t="shared" si="934"/>
        <v>0</v>
      </c>
      <c r="S463" s="24">
        <f t="shared" si="934"/>
        <v>841.75</v>
      </c>
      <c r="T463" s="24">
        <f t="shared" si="4"/>
        <v>17</v>
      </c>
      <c r="Z463" s="25">
        <f t="shared" si="12"/>
        <v>253.3292536</v>
      </c>
    </row>
    <row r="464">
      <c r="A464" s="16" t="s">
        <v>36</v>
      </c>
      <c r="B464" s="17">
        <v>163.0</v>
      </c>
      <c r="C464" s="24">
        <f t="shared" si="610"/>
        <v>812433.2777</v>
      </c>
      <c r="D464" s="25">
        <v>0.05</v>
      </c>
      <c r="E464" s="24">
        <f t="shared" si="611"/>
        <v>247.3021121</v>
      </c>
      <c r="F464" s="25">
        <v>0.02</v>
      </c>
      <c r="G464" s="24">
        <f t="shared" si="612"/>
        <v>121864.9917</v>
      </c>
      <c r="H464" s="25">
        <v>0.05</v>
      </c>
      <c r="I464" s="24">
        <f t="shared" si="613"/>
        <v>1112.859504</v>
      </c>
      <c r="J464" s="25">
        <v>0.02</v>
      </c>
      <c r="K464" s="25">
        <v>0.0</v>
      </c>
      <c r="L464" s="24">
        <f t="shared" si="810"/>
        <v>80880</v>
      </c>
      <c r="M464" s="24">
        <f t="shared" ref="M464:O464" si="935">IF(M463="", "", 1 + MROUND(IFERROR(MINIFS(OFFSET(M463, -1, 0, -$B464, 1), OFFSET(M463, -1, 0, -$B464, 1), "&gt;0"), M463) + (LN(1 + $Z464) ^ V$2) * V$3, 1))</f>
        <v>7242</v>
      </c>
      <c r="N464" s="24" t="str">
        <f t="shared" si="935"/>
        <v/>
      </c>
      <c r="O464" s="24">
        <f t="shared" si="935"/>
        <v>3401</v>
      </c>
      <c r="P464" s="24">
        <f t="shared" ref="P464:S464" si="936">L464*$Y$2</f>
        <v>20220</v>
      </c>
      <c r="Q464" s="24">
        <f t="shared" si="936"/>
        <v>1810.5</v>
      </c>
      <c r="R464" s="24">
        <f t="shared" si="936"/>
        <v>0</v>
      </c>
      <c r="S464" s="24">
        <f t="shared" si="936"/>
        <v>850.25</v>
      </c>
      <c r="T464" s="24">
        <f t="shared" si="4"/>
        <v>17</v>
      </c>
      <c r="Z464" s="25">
        <f t="shared" si="12"/>
        <v>262.2307774</v>
      </c>
    </row>
    <row r="465">
      <c r="A465" s="16" t="s">
        <v>36</v>
      </c>
      <c r="B465" s="17">
        <v>164.0</v>
      </c>
      <c r="C465" s="24">
        <f t="shared" si="610"/>
        <v>853054.9416</v>
      </c>
      <c r="D465" s="25">
        <v>0.05</v>
      </c>
      <c r="E465" s="24">
        <f t="shared" si="611"/>
        <v>252.2481543</v>
      </c>
      <c r="F465" s="25">
        <v>0.02</v>
      </c>
      <c r="G465" s="24">
        <f t="shared" si="612"/>
        <v>127958.2412</v>
      </c>
      <c r="H465" s="25">
        <v>0.05</v>
      </c>
      <c r="I465" s="24">
        <f t="shared" si="613"/>
        <v>1135.116694</v>
      </c>
      <c r="J465" s="25">
        <v>0.02</v>
      </c>
      <c r="K465" s="25">
        <v>0.0</v>
      </c>
      <c r="L465" s="24">
        <f t="shared" si="810"/>
        <v>81717</v>
      </c>
      <c r="M465" s="24">
        <f t="shared" ref="M465:O465" si="937">IF(M464="", "", 1 + MROUND(IFERROR(MINIFS(OFFSET(M464, -1, 0, -$B465, 1), OFFSET(M464, -1, 0, -$B465, 1), "&gt;0"), M464) + (LN(1 + $Z465) ^ V$2) * V$3, 1))</f>
        <v>7310</v>
      </c>
      <c r="N465" s="24" t="str">
        <f t="shared" si="937"/>
        <v/>
      </c>
      <c r="O465" s="24">
        <f t="shared" si="937"/>
        <v>3435</v>
      </c>
      <c r="P465" s="24">
        <f t="shared" ref="P465:S465" si="938">L465*$Y$2</f>
        <v>20429.25</v>
      </c>
      <c r="Q465" s="24">
        <f t="shared" si="938"/>
        <v>1827.5</v>
      </c>
      <c r="R465" s="24">
        <f t="shared" si="938"/>
        <v>0</v>
      </c>
      <c r="S465" s="24">
        <f t="shared" si="938"/>
        <v>858.75</v>
      </c>
      <c r="T465" s="24">
        <f t="shared" si="4"/>
        <v>17</v>
      </c>
      <c r="Z465" s="25">
        <f t="shared" si="12"/>
        <v>271.4438547</v>
      </c>
    </row>
    <row r="466">
      <c r="A466" s="16" t="s">
        <v>36</v>
      </c>
      <c r="B466" s="17">
        <v>165.0</v>
      </c>
      <c r="C466" s="24">
        <f t="shared" si="610"/>
        <v>895707.6887</v>
      </c>
      <c r="D466" s="25">
        <v>0.05</v>
      </c>
      <c r="E466" s="24">
        <f t="shared" si="611"/>
        <v>257.2931174</v>
      </c>
      <c r="F466" s="25">
        <v>0.02</v>
      </c>
      <c r="G466" s="24">
        <f t="shared" si="612"/>
        <v>134356.1533</v>
      </c>
      <c r="H466" s="25">
        <v>0.05</v>
      </c>
      <c r="I466" s="24">
        <f t="shared" si="613"/>
        <v>1157.819028</v>
      </c>
      <c r="J466" s="25">
        <v>0.02</v>
      </c>
      <c r="K466" s="25">
        <v>0.0</v>
      </c>
      <c r="L466" s="24">
        <f t="shared" si="810"/>
        <v>82557</v>
      </c>
      <c r="M466" s="24">
        <f t="shared" ref="M466:O466" si="939">IF(M465="", "", 1 + MROUND(IFERROR(MINIFS(OFFSET(M465, -1, 0, -$B466, 1), OFFSET(M465, -1, 0, -$B466, 1), "&gt;0"), M465) + (LN(1 + $Z466) ^ V$2) * V$3, 1))</f>
        <v>7378</v>
      </c>
      <c r="N466" s="24" t="str">
        <f t="shared" si="939"/>
        <v/>
      </c>
      <c r="O466" s="24">
        <f t="shared" si="939"/>
        <v>3470</v>
      </c>
      <c r="P466" s="24">
        <f t="shared" ref="P466:S466" si="940">L466*$Y$2</f>
        <v>20639.25</v>
      </c>
      <c r="Q466" s="24">
        <f t="shared" si="940"/>
        <v>1844.5</v>
      </c>
      <c r="R466" s="24">
        <f t="shared" si="940"/>
        <v>0</v>
      </c>
      <c r="S466" s="24">
        <f t="shared" si="940"/>
        <v>867.5</v>
      </c>
      <c r="T466" s="24">
        <f t="shared" si="4"/>
        <v>18</v>
      </c>
      <c r="Z466" s="25">
        <f t="shared" si="12"/>
        <v>280.9793896</v>
      </c>
    </row>
    <row r="467">
      <c r="A467" s="16" t="s">
        <v>36</v>
      </c>
      <c r="B467" s="17">
        <v>166.0</v>
      </c>
      <c r="C467" s="24">
        <f t="shared" si="610"/>
        <v>940493.0731</v>
      </c>
      <c r="D467" s="25">
        <v>0.05</v>
      </c>
      <c r="E467" s="24">
        <f t="shared" si="611"/>
        <v>262.4389797</v>
      </c>
      <c r="F467" s="25">
        <v>0.02</v>
      </c>
      <c r="G467" s="24">
        <f t="shared" si="612"/>
        <v>141073.961</v>
      </c>
      <c r="H467" s="25">
        <v>0.05</v>
      </c>
      <c r="I467" s="24">
        <f t="shared" si="613"/>
        <v>1180.975409</v>
      </c>
      <c r="J467" s="25">
        <v>0.02</v>
      </c>
      <c r="K467" s="25">
        <v>0.0</v>
      </c>
      <c r="L467" s="24">
        <f t="shared" si="810"/>
        <v>83401</v>
      </c>
      <c r="M467" s="24">
        <f t="shared" ref="M467:O467" si="941">IF(M466="", "", 1 + MROUND(IFERROR(MINIFS(OFFSET(M466, -1, 0, -$B467, 1), OFFSET(M466, -1, 0, -$B467, 1), "&gt;0"), M466) + (LN(1 + $Z467) ^ V$2) * V$3, 1))</f>
        <v>7446</v>
      </c>
      <c r="N467" s="24" t="str">
        <f t="shared" si="941"/>
        <v/>
      </c>
      <c r="O467" s="24">
        <f t="shared" si="941"/>
        <v>3505</v>
      </c>
      <c r="P467" s="24">
        <f t="shared" ref="P467:S467" si="942">L467*$Y$2</f>
        <v>20850.25</v>
      </c>
      <c r="Q467" s="24">
        <f t="shared" si="942"/>
        <v>1861.5</v>
      </c>
      <c r="R467" s="24">
        <f t="shared" si="942"/>
        <v>0</v>
      </c>
      <c r="S467" s="24">
        <f t="shared" si="942"/>
        <v>876.25</v>
      </c>
      <c r="T467" s="24">
        <f t="shared" si="4"/>
        <v>18</v>
      </c>
      <c r="Z467" s="25">
        <f t="shared" si="12"/>
        <v>290.8486682</v>
      </c>
    </row>
    <row r="468">
      <c r="A468" s="16" t="s">
        <v>36</v>
      </c>
      <c r="B468" s="17">
        <v>167.0</v>
      </c>
      <c r="C468" s="24">
        <f t="shared" si="610"/>
        <v>987517.7268</v>
      </c>
      <c r="D468" s="25">
        <v>0.05</v>
      </c>
      <c r="E468" s="24">
        <f t="shared" si="611"/>
        <v>267.6877593</v>
      </c>
      <c r="F468" s="25">
        <v>0.02</v>
      </c>
      <c r="G468" s="24">
        <f t="shared" si="612"/>
        <v>148127.659</v>
      </c>
      <c r="H468" s="25">
        <v>0.05</v>
      </c>
      <c r="I468" s="24">
        <f t="shared" si="613"/>
        <v>1204.594917</v>
      </c>
      <c r="J468" s="25">
        <v>0.02</v>
      </c>
      <c r="K468" s="25">
        <v>0.0</v>
      </c>
      <c r="L468" s="24">
        <f t="shared" si="810"/>
        <v>84248</v>
      </c>
      <c r="M468" s="24">
        <f t="shared" ref="M468:O468" si="943">IF(M467="", "", 1 + MROUND(IFERROR(MINIFS(OFFSET(M467, -1, 0, -$B468, 1), OFFSET(M467, -1, 0, -$B468, 1), "&gt;0"), M467) + (LN(1 + $Z468) ^ V$2) * V$3, 1))</f>
        <v>7515</v>
      </c>
      <c r="N468" s="24" t="str">
        <f t="shared" si="943"/>
        <v/>
      </c>
      <c r="O468" s="24">
        <f t="shared" si="943"/>
        <v>3540</v>
      </c>
      <c r="P468" s="24">
        <f t="shared" ref="P468:S468" si="944">L468*$Y$2</f>
        <v>21062</v>
      </c>
      <c r="Q468" s="24">
        <f t="shared" si="944"/>
        <v>1878.75</v>
      </c>
      <c r="R468" s="24">
        <f t="shared" si="944"/>
        <v>0</v>
      </c>
      <c r="S468" s="24">
        <f t="shared" si="944"/>
        <v>885</v>
      </c>
      <c r="T468" s="24">
        <f t="shared" si="4"/>
        <v>18</v>
      </c>
      <c r="Z468" s="25">
        <f t="shared" si="12"/>
        <v>301.0633716</v>
      </c>
    </row>
    <row r="469">
      <c r="A469" s="16" t="s">
        <v>36</v>
      </c>
      <c r="B469" s="17">
        <v>168.0</v>
      </c>
      <c r="C469" s="24">
        <f t="shared" si="610"/>
        <v>1036893.613</v>
      </c>
      <c r="D469" s="25">
        <v>0.05</v>
      </c>
      <c r="E469" s="24">
        <f t="shared" si="611"/>
        <v>273.0415145</v>
      </c>
      <c r="F469" s="25">
        <v>0.02</v>
      </c>
      <c r="G469" s="24">
        <f t="shared" si="612"/>
        <v>155534.042</v>
      </c>
      <c r="H469" s="25">
        <v>0.05</v>
      </c>
      <c r="I469" s="24">
        <f t="shared" si="613"/>
        <v>1228.686815</v>
      </c>
      <c r="J469" s="25">
        <v>0.02</v>
      </c>
      <c r="K469" s="25">
        <v>0.0</v>
      </c>
      <c r="L469" s="24">
        <f t="shared" si="810"/>
        <v>85099</v>
      </c>
      <c r="M469" s="24">
        <f t="shared" ref="M469:O469" si="945">IF(M468="", "", 1 + MROUND(IFERROR(MINIFS(OFFSET(M468, -1, 0, -$B469, 1), OFFSET(M468, -1, 0, -$B469, 1), "&gt;0"), M468) + (LN(1 + $Z469) ^ V$2) * V$3, 1))</f>
        <v>7584</v>
      </c>
      <c r="N469" s="24" t="str">
        <f t="shared" si="945"/>
        <v/>
      </c>
      <c r="O469" s="24">
        <f t="shared" si="945"/>
        <v>3575</v>
      </c>
      <c r="P469" s="24">
        <f t="shared" ref="P469:S469" si="946">L469*$Y$2</f>
        <v>21274.75</v>
      </c>
      <c r="Q469" s="24">
        <f t="shared" si="946"/>
        <v>1896</v>
      </c>
      <c r="R469" s="24">
        <f t="shared" si="946"/>
        <v>0</v>
      </c>
      <c r="S469" s="24">
        <f t="shared" si="946"/>
        <v>893.75</v>
      </c>
      <c r="T469" s="24">
        <f t="shared" si="4"/>
        <v>18</v>
      </c>
      <c r="Z469" s="25">
        <f t="shared" si="12"/>
        <v>311.6355896</v>
      </c>
    </row>
    <row r="470">
      <c r="A470" s="16" t="s">
        <v>36</v>
      </c>
      <c r="B470" s="17">
        <v>169.0</v>
      </c>
      <c r="C470" s="24">
        <f t="shared" si="610"/>
        <v>1088738.294</v>
      </c>
      <c r="D470" s="25">
        <v>0.05</v>
      </c>
      <c r="E470" s="24">
        <f t="shared" si="611"/>
        <v>278.5023448</v>
      </c>
      <c r="F470" s="25">
        <v>0.02</v>
      </c>
      <c r="G470" s="24">
        <f t="shared" si="612"/>
        <v>163310.7441</v>
      </c>
      <c r="H470" s="25">
        <v>0.05</v>
      </c>
      <c r="I470" s="24">
        <f t="shared" si="613"/>
        <v>1253.260552</v>
      </c>
      <c r="J470" s="25">
        <v>0.02</v>
      </c>
      <c r="K470" s="25">
        <v>0.0</v>
      </c>
      <c r="L470" s="24">
        <f t="shared" si="810"/>
        <v>85954</v>
      </c>
      <c r="M470" s="24">
        <f t="shared" ref="M470:O470" si="947">IF(M469="", "", 1 + MROUND(IFERROR(MINIFS(OFFSET(M469, -1, 0, -$B470, 1), OFFSET(M469, -1, 0, -$B470, 1), "&gt;0"), M469) + (LN(1 + $Z470) ^ V$2) * V$3, 1))</f>
        <v>7653</v>
      </c>
      <c r="N470" s="24" t="str">
        <f t="shared" si="947"/>
        <v/>
      </c>
      <c r="O470" s="24">
        <f t="shared" si="947"/>
        <v>3610</v>
      </c>
      <c r="P470" s="24">
        <f t="shared" ref="P470:S470" si="948">L470*$Y$2</f>
        <v>21488.5</v>
      </c>
      <c r="Q470" s="24">
        <f t="shared" si="948"/>
        <v>1913.25</v>
      </c>
      <c r="R470" s="24">
        <f t="shared" si="948"/>
        <v>0</v>
      </c>
      <c r="S470" s="24">
        <f t="shared" si="948"/>
        <v>902.5</v>
      </c>
      <c r="T470" s="24">
        <f t="shared" si="4"/>
        <v>18</v>
      </c>
      <c r="Z470" s="25">
        <f t="shared" si="12"/>
        <v>322.5778352</v>
      </c>
    </row>
    <row r="471">
      <c r="A471" s="16" t="s">
        <v>36</v>
      </c>
      <c r="B471" s="17">
        <v>170.0</v>
      </c>
      <c r="C471" s="24">
        <f t="shared" si="610"/>
        <v>1143175.208</v>
      </c>
      <c r="D471" s="25">
        <v>0.05</v>
      </c>
      <c r="E471" s="24">
        <f t="shared" si="611"/>
        <v>284.0723917</v>
      </c>
      <c r="F471" s="25">
        <v>0.02</v>
      </c>
      <c r="G471" s="24">
        <f t="shared" si="612"/>
        <v>171476.2813</v>
      </c>
      <c r="H471" s="25">
        <v>0.05</v>
      </c>
      <c r="I471" s="24">
        <f t="shared" si="613"/>
        <v>1278.325763</v>
      </c>
      <c r="J471" s="25">
        <v>0.02</v>
      </c>
      <c r="K471" s="25">
        <v>0.0</v>
      </c>
      <c r="L471" s="24">
        <f t="shared" si="810"/>
        <v>86812</v>
      </c>
      <c r="M471" s="24">
        <f t="shared" ref="M471:O471" si="949">IF(M470="", "", 1 + MROUND(IFERROR(MINIFS(OFFSET(M470, -1, 0, -$B471, 1), OFFSET(M470, -1, 0, -$B471, 1), "&gt;0"), M470) + (LN(1 + $Z471) ^ V$2) * V$3, 1))</f>
        <v>7723</v>
      </c>
      <c r="N471" s="24" t="str">
        <f t="shared" si="949"/>
        <v/>
      </c>
      <c r="O471" s="24">
        <f t="shared" si="949"/>
        <v>3645</v>
      </c>
      <c r="P471" s="24">
        <f t="shared" ref="P471:S471" si="950">L471*$Y$2</f>
        <v>21703</v>
      </c>
      <c r="Q471" s="24">
        <f t="shared" si="950"/>
        <v>1930.75</v>
      </c>
      <c r="R471" s="24">
        <f t="shared" si="950"/>
        <v>0</v>
      </c>
      <c r="S471" s="24">
        <f t="shared" si="950"/>
        <v>911.25</v>
      </c>
      <c r="T471" s="24">
        <f t="shared" si="4"/>
        <v>18</v>
      </c>
      <c r="Z471" s="25">
        <f t="shared" si="12"/>
        <v>333.9030595</v>
      </c>
    </row>
    <row r="472">
      <c r="A472" s="16" t="s">
        <v>36</v>
      </c>
      <c r="B472" s="17">
        <v>171.0</v>
      </c>
      <c r="C472" s="24">
        <f t="shared" si="610"/>
        <v>1200333.969</v>
      </c>
      <c r="D472" s="25">
        <v>0.05</v>
      </c>
      <c r="E472" s="24">
        <f t="shared" si="611"/>
        <v>289.7538395</v>
      </c>
      <c r="F472" s="25">
        <v>0.02</v>
      </c>
      <c r="G472" s="24">
        <f t="shared" si="612"/>
        <v>180050.0953</v>
      </c>
      <c r="H472" s="25">
        <v>0.05</v>
      </c>
      <c r="I472" s="24">
        <f t="shared" si="613"/>
        <v>1303.892278</v>
      </c>
      <c r="J472" s="25">
        <v>0.02</v>
      </c>
      <c r="K472" s="25">
        <v>0.0</v>
      </c>
      <c r="L472" s="24">
        <f t="shared" si="810"/>
        <v>87674</v>
      </c>
      <c r="M472" s="24">
        <f t="shared" ref="M472:O472" si="951">IF(M471="", "", 1 + MROUND(IFERROR(MINIFS(OFFSET(M471, -1, 0, -$B472, 1), OFFSET(M471, -1, 0, -$B472, 1), "&gt;0"), M471) + (LN(1 + $Z472) ^ V$2) * V$3, 1))</f>
        <v>7793</v>
      </c>
      <c r="N472" s="24" t="str">
        <f t="shared" si="951"/>
        <v/>
      </c>
      <c r="O472" s="24">
        <f t="shared" si="951"/>
        <v>3680</v>
      </c>
      <c r="P472" s="24">
        <f t="shared" ref="P472:S472" si="952">L472*$Y$2</f>
        <v>21918.5</v>
      </c>
      <c r="Q472" s="24">
        <f t="shared" si="952"/>
        <v>1948.25</v>
      </c>
      <c r="R472" s="24">
        <f t="shared" si="952"/>
        <v>0</v>
      </c>
      <c r="S472" s="24">
        <f t="shared" si="952"/>
        <v>920</v>
      </c>
      <c r="T472" s="24">
        <f t="shared" si="4"/>
        <v>18</v>
      </c>
      <c r="Z472" s="25">
        <f t="shared" si="12"/>
        <v>345.6246666</v>
      </c>
    </row>
    <row r="473">
      <c r="A473" s="16" t="s">
        <v>36</v>
      </c>
      <c r="B473" s="17">
        <v>172.0</v>
      </c>
      <c r="C473" s="24">
        <f t="shared" si="610"/>
        <v>1260350.667</v>
      </c>
      <c r="D473" s="25">
        <v>0.05</v>
      </c>
      <c r="E473" s="24">
        <f t="shared" si="611"/>
        <v>295.5489163</v>
      </c>
      <c r="F473" s="25">
        <v>0.02</v>
      </c>
      <c r="G473" s="24">
        <f t="shared" si="612"/>
        <v>189052.6001</v>
      </c>
      <c r="H473" s="25">
        <v>0.05</v>
      </c>
      <c r="I473" s="24">
        <f t="shared" si="613"/>
        <v>1329.970123</v>
      </c>
      <c r="J473" s="25">
        <v>0.02</v>
      </c>
      <c r="K473" s="25">
        <v>0.0</v>
      </c>
      <c r="L473" s="24">
        <f t="shared" si="810"/>
        <v>88539</v>
      </c>
      <c r="M473" s="24">
        <f t="shared" ref="M473:O473" si="953">IF(M472="", "", 1 + MROUND(IFERROR(MINIFS(OFFSET(M472, -1, 0, -$B473, 1), OFFSET(M472, -1, 0, -$B473, 1), "&gt;0"), M472) + (LN(1 + $Z473) ^ V$2) * V$3, 1))</f>
        <v>7863</v>
      </c>
      <c r="N473" s="24" t="str">
        <f t="shared" si="953"/>
        <v/>
      </c>
      <c r="O473" s="24">
        <f t="shared" si="953"/>
        <v>3716</v>
      </c>
      <c r="P473" s="24">
        <f t="shared" ref="P473:S473" si="954">L473*$Y$2</f>
        <v>22134.75</v>
      </c>
      <c r="Q473" s="24">
        <f t="shared" si="954"/>
        <v>1965.75</v>
      </c>
      <c r="R473" s="24">
        <f t="shared" si="954"/>
        <v>0</v>
      </c>
      <c r="S473" s="24">
        <f t="shared" si="954"/>
        <v>929</v>
      </c>
      <c r="T473" s="24">
        <f t="shared" si="4"/>
        <v>18</v>
      </c>
      <c r="Z473" s="25">
        <f t="shared" si="12"/>
        <v>357.7565299</v>
      </c>
    </row>
    <row r="474">
      <c r="A474" s="16" t="s">
        <v>36</v>
      </c>
      <c r="B474" s="17">
        <v>173.0</v>
      </c>
      <c r="C474" s="24">
        <f t="shared" si="610"/>
        <v>1323368.201</v>
      </c>
      <c r="D474" s="25">
        <v>0.05</v>
      </c>
      <c r="E474" s="24">
        <f t="shared" si="611"/>
        <v>301.4598947</v>
      </c>
      <c r="F474" s="25">
        <v>0.02</v>
      </c>
      <c r="G474" s="24">
        <f t="shared" si="612"/>
        <v>198505.2301</v>
      </c>
      <c r="H474" s="25">
        <v>0.05</v>
      </c>
      <c r="I474" s="24">
        <f t="shared" si="613"/>
        <v>1356.569526</v>
      </c>
      <c r="J474" s="25">
        <v>0.02</v>
      </c>
      <c r="K474" s="25">
        <v>0.0</v>
      </c>
      <c r="L474" s="24">
        <f t="shared" si="810"/>
        <v>89408</v>
      </c>
      <c r="M474" s="24">
        <f t="shared" ref="M474:O474" si="955">IF(M473="", "", 1 + MROUND(IFERROR(MINIFS(OFFSET(M473, -1, 0, -$B474, 1), OFFSET(M473, -1, 0, -$B474, 1), "&gt;0"), M473) + (LN(1 + $Z474) ^ V$2) * V$3, 1))</f>
        <v>7933</v>
      </c>
      <c r="N474" s="24" t="str">
        <f t="shared" si="955"/>
        <v/>
      </c>
      <c r="O474" s="24">
        <f t="shared" si="955"/>
        <v>3752</v>
      </c>
      <c r="P474" s="24">
        <f t="shared" ref="P474:S474" si="956">L474*$Y$2</f>
        <v>22352</v>
      </c>
      <c r="Q474" s="24">
        <f t="shared" si="956"/>
        <v>1983.25</v>
      </c>
      <c r="R474" s="24">
        <f t="shared" si="956"/>
        <v>0</v>
      </c>
      <c r="S474" s="24">
        <f t="shared" si="956"/>
        <v>938</v>
      </c>
      <c r="T474" s="24">
        <f t="shared" si="4"/>
        <v>18</v>
      </c>
      <c r="Z474" s="25">
        <f t="shared" si="12"/>
        <v>370.3130084</v>
      </c>
    </row>
    <row r="475">
      <c r="A475" s="16" t="s">
        <v>36</v>
      </c>
      <c r="B475" s="17">
        <v>174.0</v>
      </c>
      <c r="C475" s="24">
        <f t="shared" si="610"/>
        <v>1389536.611</v>
      </c>
      <c r="D475" s="25">
        <v>0.05</v>
      </c>
      <c r="E475" s="24">
        <f t="shared" si="611"/>
        <v>307.4890925</v>
      </c>
      <c r="F475" s="25">
        <v>0.02</v>
      </c>
      <c r="G475" s="24">
        <f t="shared" si="612"/>
        <v>208430.4916</v>
      </c>
      <c r="H475" s="25">
        <v>0.05</v>
      </c>
      <c r="I475" s="24">
        <f t="shared" si="613"/>
        <v>1383.700916</v>
      </c>
      <c r="J475" s="25">
        <v>0.02</v>
      </c>
      <c r="K475" s="25">
        <v>0.0</v>
      </c>
      <c r="L475" s="24">
        <f t="shared" si="810"/>
        <v>90280</v>
      </c>
      <c r="M475" s="24">
        <f t="shared" ref="M475:O475" si="957">IF(M474="", "", 1 + MROUND(IFERROR(MINIFS(OFFSET(M474, -1, 0, -$B475, 1), OFFSET(M474, -1, 0, -$B475, 1), "&gt;0"), M474) + (LN(1 + $Z475) ^ V$2) * V$3, 1))</f>
        <v>8004</v>
      </c>
      <c r="N475" s="24" t="str">
        <f t="shared" si="957"/>
        <v/>
      </c>
      <c r="O475" s="24">
        <f t="shared" si="957"/>
        <v>3788</v>
      </c>
      <c r="P475" s="24">
        <f t="shared" ref="P475:S475" si="958">L475*$Y$2</f>
        <v>22570</v>
      </c>
      <c r="Q475" s="24">
        <f t="shared" si="958"/>
        <v>2001</v>
      </c>
      <c r="R475" s="24">
        <f t="shared" si="958"/>
        <v>0</v>
      </c>
      <c r="S475" s="24">
        <f t="shared" si="958"/>
        <v>947</v>
      </c>
      <c r="T475" s="24">
        <f t="shared" si="4"/>
        <v>18</v>
      </c>
      <c r="Z475" s="25">
        <f t="shared" si="12"/>
        <v>383.3089637</v>
      </c>
    </row>
    <row r="476">
      <c r="A476" s="16" t="s">
        <v>36</v>
      </c>
      <c r="B476" s="17">
        <v>175.0</v>
      </c>
      <c r="C476" s="24">
        <f t="shared" si="610"/>
        <v>1459013.441</v>
      </c>
      <c r="D476" s="25">
        <v>0.05</v>
      </c>
      <c r="E476" s="24">
        <f t="shared" si="611"/>
        <v>313.6388744</v>
      </c>
      <c r="F476" s="25">
        <v>0.02</v>
      </c>
      <c r="G476" s="24">
        <f t="shared" si="612"/>
        <v>218852.0162</v>
      </c>
      <c r="H476" s="25">
        <v>0.05</v>
      </c>
      <c r="I476" s="24">
        <f t="shared" si="613"/>
        <v>1411.374935</v>
      </c>
      <c r="J476" s="25">
        <v>0.02</v>
      </c>
      <c r="K476" s="25">
        <v>0.0</v>
      </c>
      <c r="L476" s="24">
        <f t="shared" si="810"/>
        <v>91156</v>
      </c>
      <c r="M476" s="24">
        <f t="shared" ref="M476:O476" si="959">IF(M475="", "", 1 + MROUND(IFERROR(MINIFS(OFFSET(M475, -1, 0, -$B476, 1), OFFSET(M475, -1, 0, -$B476, 1), "&gt;0"), M475) + (LN(1 + $Z476) ^ V$2) * V$3, 1))</f>
        <v>8075</v>
      </c>
      <c r="N476" s="24" t="str">
        <f t="shared" si="959"/>
        <v/>
      </c>
      <c r="O476" s="24">
        <f t="shared" si="959"/>
        <v>3824</v>
      </c>
      <c r="P476" s="24">
        <f t="shared" ref="P476:S476" si="960">L476*$Y$2</f>
        <v>22789</v>
      </c>
      <c r="Q476" s="24">
        <f t="shared" si="960"/>
        <v>2018.75</v>
      </c>
      <c r="R476" s="24">
        <f t="shared" si="960"/>
        <v>0</v>
      </c>
      <c r="S476" s="24">
        <f t="shared" si="960"/>
        <v>956</v>
      </c>
      <c r="T476" s="24">
        <f t="shared" si="4"/>
        <v>19</v>
      </c>
      <c r="Z476" s="25">
        <f t="shared" si="12"/>
        <v>396.7597775</v>
      </c>
    </row>
    <row r="477">
      <c r="A477" s="16" t="s">
        <v>36</v>
      </c>
      <c r="B477" s="17">
        <v>176.0</v>
      </c>
      <c r="C477" s="24">
        <f t="shared" si="610"/>
        <v>1531964.113</v>
      </c>
      <c r="D477" s="25">
        <v>0.05</v>
      </c>
      <c r="E477" s="24">
        <f t="shared" si="611"/>
        <v>319.9116519</v>
      </c>
      <c r="F477" s="25">
        <v>0.02</v>
      </c>
      <c r="G477" s="24">
        <f t="shared" si="612"/>
        <v>229794.617</v>
      </c>
      <c r="H477" s="25">
        <v>0.05</v>
      </c>
      <c r="I477" s="24">
        <f t="shared" si="613"/>
        <v>1439.602433</v>
      </c>
      <c r="J477" s="25">
        <v>0.02</v>
      </c>
      <c r="K477" s="25">
        <v>0.0</v>
      </c>
      <c r="L477" s="24">
        <f t="shared" si="810"/>
        <v>92035</v>
      </c>
      <c r="M477" s="24">
        <f t="shared" ref="M477:O477" si="961">IF(M476="", "", 1 + MROUND(IFERROR(MINIFS(OFFSET(M476, -1, 0, -$B477, 1), OFFSET(M476, -1, 0, -$B477, 1), "&gt;0"), M476) + (LN(1 + $Z477) ^ V$2) * V$3, 1))</f>
        <v>8146</v>
      </c>
      <c r="N477" s="24" t="str">
        <f t="shared" si="961"/>
        <v/>
      </c>
      <c r="O477" s="24">
        <f t="shared" si="961"/>
        <v>3860</v>
      </c>
      <c r="P477" s="24">
        <f t="shared" ref="P477:S477" si="962">L477*$Y$2</f>
        <v>23008.75</v>
      </c>
      <c r="Q477" s="24">
        <f t="shared" si="962"/>
        <v>2036.5</v>
      </c>
      <c r="R477" s="24">
        <f t="shared" si="962"/>
        <v>0</v>
      </c>
      <c r="S477" s="24">
        <f t="shared" si="962"/>
        <v>965</v>
      </c>
      <c r="T477" s="24">
        <f t="shared" si="4"/>
        <v>19</v>
      </c>
      <c r="Z477" s="25">
        <f t="shared" si="12"/>
        <v>410.6813697</v>
      </c>
    </row>
    <row r="478">
      <c r="A478" s="16" t="s">
        <v>36</v>
      </c>
      <c r="B478" s="17">
        <v>177.0</v>
      </c>
      <c r="C478" s="24">
        <f t="shared" si="610"/>
        <v>1608562.319</v>
      </c>
      <c r="D478" s="25">
        <v>0.05</v>
      </c>
      <c r="E478" s="24">
        <f t="shared" si="611"/>
        <v>326.3098849</v>
      </c>
      <c r="F478" s="25">
        <v>0.02</v>
      </c>
      <c r="G478" s="24">
        <f t="shared" si="612"/>
        <v>241284.3479</v>
      </c>
      <c r="H478" s="25">
        <v>0.05</v>
      </c>
      <c r="I478" s="24">
        <f t="shared" si="613"/>
        <v>1468.394482</v>
      </c>
      <c r="J478" s="25">
        <v>0.02</v>
      </c>
      <c r="K478" s="25">
        <v>0.0</v>
      </c>
      <c r="L478" s="24">
        <f t="shared" si="810"/>
        <v>92918</v>
      </c>
      <c r="M478" s="24">
        <f t="shared" ref="M478:O478" si="963">IF(M477="", "", 1 + MROUND(IFERROR(MINIFS(OFFSET(M477, -1, 0, -$B478, 1), OFFSET(M477, -1, 0, -$B478, 1), "&gt;0"), M477) + (LN(1 + $Z478) ^ V$2) * V$3, 1))</f>
        <v>8218</v>
      </c>
      <c r="N478" s="24" t="str">
        <f t="shared" si="963"/>
        <v/>
      </c>
      <c r="O478" s="24">
        <f t="shared" si="963"/>
        <v>3896</v>
      </c>
      <c r="P478" s="24">
        <f t="shared" ref="P478:S478" si="964">L478*$Y$2</f>
        <v>23229.5</v>
      </c>
      <c r="Q478" s="24">
        <f t="shared" si="964"/>
        <v>2054.5</v>
      </c>
      <c r="R478" s="24">
        <f t="shared" si="964"/>
        <v>0</v>
      </c>
      <c r="S478" s="24">
        <f t="shared" si="964"/>
        <v>974</v>
      </c>
      <c r="T478" s="24">
        <f t="shared" si="4"/>
        <v>19</v>
      </c>
      <c r="Z478" s="25">
        <f t="shared" si="12"/>
        <v>425.0902176</v>
      </c>
    </row>
    <row r="479">
      <c r="A479" s="16" t="s">
        <v>36</v>
      </c>
      <c r="B479" s="17">
        <v>178.0</v>
      </c>
      <c r="C479" s="24">
        <f t="shared" si="610"/>
        <v>1688990.435</v>
      </c>
      <c r="D479" s="25">
        <v>0.05</v>
      </c>
      <c r="E479" s="24">
        <f t="shared" si="611"/>
        <v>332.8360826</v>
      </c>
      <c r="F479" s="25">
        <v>0.02</v>
      </c>
      <c r="G479" s="24">
        <f t="shared" si="612"/>
        <v>253348.5652</v>
      </c>
      <c r="H479" s="25">
        <v>0.05</v>
      </c>
      <c r="I479" s="24">
        <f t="shared" si="613"/>
        <v>1497.762372</v>
      </c>
      <c r="J479" s="25">
        <v>0.02</v>
      </c>
      <c r="K479" s="25">
        <v>0.0</v>
      </c>
      <c r="L479" s="24">
        <f t="shared" si="810"/>
        <v>93804</v>
      </c>
      <c r="M479" s="24">
        <f t="shared" ref="M479:O479" si="965">IF(M478="", "", 1 + MROUND(IFERROR(MINIFS(OFFSET(M478, -1, 0, -$B479, 1), OFFSET(M478, -1, 0, -$B479, 1), "&gt;0"), M478) + (LN(1 + $Z479) ^ V$2) * V$3, 1))</f>
        <v>8290</v>
      </c>
      <c r="N479" s="24" t="str">
        <f t="shared" si="965"/>
        <v/>
      </c>
      <c r="O479" s="24">
        <f t="shared" si="965"/>
        <v>3932</v>
      </c>
      <c r="P479" s="24">
        <f t="shared" ref="P479:S479" si="966">L479*$Y$2</f>
        <v>23451</v>
      </c>
      <c r="Q479" s="24">
        <f t="shared" si="966"/>
        <v>2072.5</v>
      </c>
      <c r="R479" s="24">
        <f t="shared" si="966"/>
        <v>0</v>
      </c>
      <c r="S479" s="24">
        <f t="shared" si="966"/>
        <v>983</v>
      </c>
      <c r="T479" s="24">
        <f t="shared" si="4"/>
        <v>19</v>
      </c>
      <c r="Z479" s="25">
        <f t="shared" si="12"/>
        <v>440.0033752</v>
      </c>
    </row>
    <row r="480">
      <c r="A480" s="16" t="s">
        <v>36</v>
      </c>
      <c r="B480" s="17">
        <v>179.0</v>
      </c>
      <c r="C480" s="24">
        <f t="shared" si="610"/>
        <v>1773439.957</v>
      </c>
      <c r="D480" s="25">
        <v>0.05</v>
      </c>
      <c r="E480" s="24">
        <f t="shared" si="611"/>
        <v>339.4928043</v>
      </c>
      <c r="F480" s="25">
        <v>0.02</v>
      </c>
      <c r="G480" s="24">
        <f t="shared" si="612"/>
        <v>266015.9935</v>
      </c>
      <c r="H480" s="25">
        <v>0.05</v>
      </c>
      <c r="I480" s="24">
        <f t="shared" si="613"/>
        <v>1527.717619</v>
      </c>
      <c r="J480" s="25">
        <v>0.02</v>
      </c>
      <c r="K480" s="25">
        <v>0.0</v>
      </c>
      <c r="L480" s="24">
        <f t="shared" si="810"/>
        <v>94694</v>
      </c>
      <c r="M480" s="24">
        <f t="shared" ref="M480:O480" si="967">IF(M479="", "", 1 + MROUND(IFERROR(MINIFS(OFFSET(M479, -1, 0, -$B480, 1), OFFSET(M479, -1, 0, -$B480, 1), "&gt;0"), M479) + (LN(1 + $Z480) ^ V$2) * V$3, 1))</f>
        <v>8362</v>
      </c>
      <c r="N480" s="24" t="str">
        <f t="shared" si="967"/>
        <v/>
      </c>
      <c r="O480" s="24">
        <f t="shared" si="967"/>
        <v>3969</v>
      </c>
      <c r="P480" s="24">
        <f t="shared" ref="P480:S480" si="968">L480*$Y$2</f>
        <v>23673.5</v>
      </c>
      <c r="Q480" s="24">
        <f t="shared" si="968"/>
        <v>2090.5</v>
      </c>
      <c r="R480" s="24">
        <f t="shared" si="968"/>
        <v>0</v>
      </c>
      <c r="S480" s="24">
        <f t="shared" si="968"/>
        <v>992.25</v>
      </c>
      <c r="T480" s="24">
        <f t="shared" si="4"/>
        <v>19</v>
      </c>
      <c r="Z480" s="25">
        <f t="shared" si="12"/>
        <v>455.4384933</v>
      </c>
    </row>
    <row r="481">
      <c r="A481" s="16" t="s">
        <v>36</v>
      </c>
      <c r="B481" s="17">
        <v>180.0</v>
      </c>
      <c r="C481" s="24">
        <f t="shared" si="610"/>
        <v>1862111.955</v>
      </c>
      <c r="D481" s="25">
        <v>0.05</v>
      </c>
      <c r="E481" s="24">
        <f t="shared" si="611"/>
        <v>346.2826604</v>
      </c>
      <c r="F481" s="25">
        <v>0.02</v>
      </c>
      <c r="G481" s="24">
        <f t="shared" si="612"/>
        <v>279316.7932</v>
      </c>
      <c r="H481" s="25">
        <v>0.05</v>
      </c>
      <c r="I481" s="24">
        <f t="shared" si="613"/>
        <v>1558.271972</v>
      </c>
      <c r="J481" s="25">
        <v>0.02</v>
      </c>
      <c r="K481" s="25">
        <v>0.0</v>
      </c>
      <c r="L481" s="24">
        <f t="shared" si="810"/>
        <v>95587</v>
      </c>
      <c r="M481" s="24">
        <f t="shared" ref="M481:O481" si="969">IF(M480="", "", 1 + MROUND(IFERROR(MINIFS(OFFSET(M480, -1, 0, -$B481, 1), OFFSET(M480, -1, 0, -$B481, 1), "&gt;0"), M480) + (LN(1 + $Z481) ^ V$2) * V$3, 1))</f>
        <v>8434</v>
      </c>
      <c r="N481" s="24" t="str">
        <f t="shared" si="969"/>
        <v/>
      </c>
      <c r="O481" s="24">
        <f t="shared" si="969"/>
        <v>4006</v>
      </c>
      <c r="P481" s="24">
        <f t="shared" ref="P481:S481" si="970">L481*$Y$2</f>
        <v>23896.75</v>
      </c>
      <c r="Q481" s="24">
        <f t="shared" si="970"/>
        <v>2108.5</v>
      </c>
      <c r="R481" s="24">
        <f t="shared" si="970"/>
        <v>0</v>
      </c>
      <c r="S481" s="24">
        <f t="shared" si="970"/>
        <v>1001.5</v>
      </c>
      <c r="T481" s="24">
        <f t="shared" si="4"/>
        <v>19</v>
      </c>
      <c r="Z481" s="25">
        <f t="shared" si="12"/>
        <v>471.4138406</v>
      </c>
    </row>
    <row r="482">
      <c r="A482" s="16" t="s">
        <v>36</v>
      </c>
      <c r="B482" s="17">
        <v>181.0</v>
      </c>
      <c r="C482" s="24">
        <f t="shared" si="610"/>
        <v>1955217.552</v>
      </c>
      <c r="D482" s="25">
        <v>0.05</v>
      </c>
      <c r="E482" s="24">
        <f t="shared" si="611"/>
        <v>353.2083136</v>
      </c>
      <c r="F482" s="25">
        <v>0.02</v>
      </c>
      <c r="G482" s="24">
        <f t="shared" si="612"/>
        <v>293282.6328</v>
      </c>
      <c r="H482" s="25">
        <v>0.05</v>
      </c>
      <c r="I482" s="24">
        <f t="shared" si="613"/>
        <v>1589.437411</v>
      </c>
      <c r="J482" s="25">
        <v>0.02</v>
      </c>
      <c r="K482" s="25">
        <v>0.0</v>
      </c>
      <c r="L482" s="24">
        <f t="shared" si="810"/>
        <v>96484</v>
      </c>
      <c r="M482" s="24">
        <f t="shared" ref="M482:O482" si="971">IF(M481="", "", 1 + MROUND(IFERROR(MINIFS(OFFSET(M481, -1, 0, -$B482, 1), OFFSET(M481, -1, 0, -$B482, 1), "&gt;0"), M481) + (LN(1 + $Z482) ^ V$2) * V$3, 1))</f>
        <v>8507</v>
      </c>
      <c r="N482" s="24" t="str">
        <f t="shared" si="971"/>
        <v/>
      </c>
      <c r="O482" s="24">
        <f t="shared" si="971"/>
        <v>4043</v>
      </c>
      <c r="P482" s="24">
        <f t="shared" ref="P482:S482" si="972">L482*$Y$2</f>
        <v>24121</v>
      </c>
      <c r="Q482" s="24">
        <f t="shared" si="972"/>
        <v>2126.75</v>
      </c>
      <c r="R482" s="24">
        <f t="shared" si="972"/>
        <v>0</v>
      </c>
      <c r="S482" s="24">
        <f t="shared" si="972"/>
        <v>1010.75</v>
      </c>
      <c r="T482" s="24">
        <f t="shared" si="4"/>
        <v>19</v>
      </c>
      <c r="Z482" s="25">
        <f t="shared" si="12"/>
        <v>487.948325</v>
      </c>
    </row>
    <row r="483">
      <c r="A483" s="16" t="s">
        <v>36</v>
      </c>
      <c r="B483" s="17">
        <v>182.0</v>
      </c>
      <c r="C483" s="24">
        <f t="shared" si="610"/>
        <v>2052978.43</v>
      </c>
      <c r="D483" s="25">
        <v>0.05</v>
      </c>
      <c r="E483" s="24">
        <f t="shared" si="611"/>
        <v>360.2724798</v>
      </c>
      <c r="F483" s="25">
        <v>0.02</v>
      </c>
      <c r="G483" s="24">
        <f t="shared" si="612"/>
        <v>307946.7645</v>
      </c>
      <c r="H483" s="25">
        <v>0.05</v>
      </c>
      <c r="I483" s="24">
        <f t="shared" si="613"/>
        <v>1621.226159</v>
      </c>
      <c r="J483" s="25">
        <v>0.02</v>
      </c>
      <c r="K483" s="25">
        <v>0.0</v>
      </c>
      <c r="L483" s="24">
        <f t="shared" si="810"/>
        <v>97384</v>
      </c>
      <c r="M483" s="24">
        <f t="shared" ref="M483:O483" si="973">IF(M482="", "", 1 + MROUND(IFERROR(MINIFS(OFFSET(M482, -1, 0, -$B483, 1), OFFSET(M482, -1, 0, -$B483, 1), "&gt;0"), M482) + (LN(1 + $Z483) ^ V$2) * V$3, 1))</f>
        <v>8580</v>
      </c>
      <c r="N483" s="24" t="str">
        <f t="shared" si="973"/>
        <v/>
      </c>
      <c r="O483" s="24">
        <f t="shared" si="973"/>
        <v>4080</v>
      </c>
      <c r="P483" s="24">
        <f t="shared" ref="P483:S483" si="974">L483*$Y$2</f>
        <v>24346</v>
      </c>
      <c r="Q483" s="24">
        <f t="shared" si="974"/>
        <v>2145</v>
      </c>
      <c r="R483" s="24">
        <f t="shared" si="974"/>
        <v>0</v>
      </c>
      <c r="S483" s="24">
        <f t="shared" si="974"/>
        <v>1020</v>
      </c>
      <c r="T483" s="24">
        <f t="shared" si="4"/>
        <v>19</v>
      </c>
      <c r="Z483" s="25">
        <f t="shared" si="12"/>
        <v>505.0615164</v>
      </c>
    </row>
    <row r="484">
      <c r="A484" s="16" t="s">
        <v>36</v>
      </c>
      <c r="B484" s="17">
        <v>183.0</v>
      </c>
      <c r="C484" s="24">
        <f t="shared" si="610"/>
        <v>2155627.351</v>
      </c>
      <c r="D484" s="25">
        <v>0.05</v>
      </c>
      <c r="E484" s="24">
        <f t="shared" si="611"/>
        <v>367.4779294</v>
      </c>
      <c r="F484" s="25">
        <v>0.02</v>
      </c>
      <c r="G484" s="24">
        <f t="shared" si="612"/>
        <v>323344.1027</v>
      </c>
      <c r="H484" s="25">
        <v>0.05</v>
      </c>
      <c r="I484" s="24">
        <f t="shared" si="613"/>
        <v>1653.650682</v>
      </c>
      <c r="J484" s="25">
        <v>0.02</v>
      </c>
      <c r="K484" s="25">
        <v>0.0</v>
      </c>
      <c r="L484" s="24">
        <f t="shared" si="810"/>
        <v>98288</v>
      </c>
      <c r="M484" s="24">
        <f t="shared" ref="M484:O484" si="975">IF(M483="", "", 1 + MROUND(IFERROR(MINIFS(OFFSET(M483, -1, 0, -$B484, 1), OFFSET(M483, -1, 0, -$B484, 1), "&gt;0"), M483) + (LN(1 + $Z484) ^ V$2) * V$3, 1))</f>
        <v>8653</v>
      </c>
      <c r="N484" s="24" t="str">
        <f t="shared" si="975"/>
        <v/>
      </c>
      <c r="O484" s="24">
        <f t="shared" si="975"/>
        <v>4117</v>
      </c>
      <c r="P484" s="24">
        <f t="shared" ref="P484:S484" si="976">L484*$Y$2</f>
        <v>24572</v>
      </c>
      <c r="Q484" s="24">
        <f t="shared" si="976"/>
        <v>2163.25</v>
      </c>
      <c r="R484" s="24">
        <f t="shared" si="976"/>
        <v>0</v>
      </c>
      <c r="S484" s="24">
        <f t="shared" si="976"/>
        <v>1029.25</v>
      </c>
      <c r="T484" s="24">
        <f t="shared" si="4"/>
        <v>19</v>
      </c>
      <c r="Z484" s="25">
        <f t="shared" si="12"/>
        <v>522.7736695</v>
      </c>
    </row>
    <row r="485">
      <c r="A485" s="16" t="s">
        <v>36</v>
      </c>
      <c r="B485" s="17">
        <v>184.0</v>
      </c>
      <c r="C485" s="24">
        <f t="shared" si="610"/>
        <v>2263408.719</v>
      </c>
      <c r="D485" s="25">
        <v>0.05</v>
      </c>
      <c r="E485" s="24">
        <f t="shared" si="611"/>
        <v>374.827488</v>
      </c>
      <c r="F485" s="25">
        <v>0.02</v>
      </c>
      <c r="G485" s="24">
        <f t="shared" si="612"/>
        <v>339511.3078</v>
      </c>
      <c r="H485" s="25">
        <v>0.05</v>
      </c>
      <c r="I485" s="24">
        <f t="shared" si="613"/>
        <v>1686.723696</v>
      </c>
      <c r="J485" s="25">
        <v>0.02</v>
      </c>
      <c r="K485" s="25">
        <v>0.0</v>
      </c>
      <c r="L485" s="24">
        <f t="shared" si="810"/>
        <v>99195</v>
      </c>
      <c r="M485" s="24">
        <f t="shared" ref="M485:O485" si="977">IF(M484="", "", 1 + MROUND(IFERROR(MINIFS(OFFSET(M484, -1, 0, -$B485, 1), OFFSET(M484, -1, 0, -$B485, 1), "&gt;0"), M484) + (LN(1 + $Z485) ^ V$2) * V$3, 1))</f>
        <v>8727</v>
      </c>
      <c r="N485" s="24" t="str">
        <f t="shared" si="977"/>
        <v/>
      </c>
      <c r="O485" s="24">
        <f t="shared" si="977"/>
        <v>4154</v>
      </c>
      <c r="P485" s="24">
        <f t="shared" ref="P485:S485" si="978">L485*$Y$2</f>
        <v>24798.75</v>
      </c>
      <c r="Q485" s="24">
        <f t="shared" si="978"/>
        <v>2181.75</v>
      </c>
      <c r="R485" s="24">
        <f t="shared" si="978"/>
        <v>0</v>
      </c>
      <c r="S485" s="24">
        <f t="shared" si="978"/>
        <v>1038.5</v>
      </c>
      <c r="T485" s="24">
        <f t="shared" si="4"/>
        <v>19</v>
      </c>
      <c r="Z485" s="25">
        <f t="shared" si="12"/>
        <v>541.1057479</v>
      </c>
    </row>
    <row r="486">
      <c r="A486" s="16" t="s">
        <v>36</v>
      </c>
      <c r="B486" s="17">
        <v>185.0</v>
      </c>
      <c r="C486" s="24">
        <f t="shared" si="610"/>
        <v>2376579.155</v>
      </c>
      <c r="D486" s="25">
        <v>0.05</v>
      </c>
      <c r="E486" s="24">
        <f t="shared" si="611"/>
        <v>382.3240378</v>
      </c>
      <c r="F486" s="25">
        <v>0.02</v>
      </c>
      <c r="G486" s="24">
        <f t="shared" si="612"/>
        <v>356486.8732</v>
      </c>
      <c r="H486" s="25">
        <v>0.05</v>
      </c>
      <c r="I486" s="24">
        <f t="shared" si="613"/>
        <v>1720.45817</v>
      </c>
      <c r="J486" s="25">
        <v>0.02</v>
      </c>
      <c r="K486" s="25">
        <v>0.0</v>
      </c>
      <c r="L486" s="24">
        <f t="shared" si="810"/>
        <v>100106</v>
      </c>
      <c r="M486" s="24">
        <f t="shared" ref="M486:O486" si="979">IF(M485="", "", 1 + MROUND(IFERROR(MINIFS(OFFSET(M485, -1, 0, -$B486, 1), OFFSET(M485, -1, 0, -$B486, 1), "&gt;0"), M485) + (LN(1 + $Z486) ^ V$2) * V$3, 1))</f>
        <v>8801</v>
      </c>
      <c r="N486" s="24" t="str">
        <f t="shared" si="979"/>
        <v/>
      </c>
      <c r="O486" s="24">
        <f t="shared" si="979"/>
        <v>4191</v>
      </c>
      <c r="P486" s="24">
        <f t="shared" ref="P486:S486" si="980">L486*$Y$2</f>
        <v>25026.5</v>
      </c>
      <c r="Q486" s="24">
        <f t="shared" si="980"/>
        <v>2200.25</v>
      </c>
      <c r="R486" s="24">
        <f t="shared" si="980"/>
        <v>0</v>
      </c>
      <c r="S486" s="24">
        <f t="shared" si="980"/>
        <v>1047.75</v>
      </c>
      <c r="T486" s="24">
        <f t="shared" si="4"/>
        <v>20</v>
      </c>
      <c r="Z486" s="25">
        <f t="shared" si="12"/>
        <v>560.0794491</v>
      </c>
    </row>
    <row r="487">
      <c r="A487" s="16" t="s">
        <v>36</v>
      </c>
      <c r="B487" s="17">
        <v>186.0</v>
      </c>
      <c r="C487" s="24">
        <f t="shared" si="610"/>
        <v>2495408.113</v>
      </c>
      <c r="D487" s="25">
        <v>0.05</v>
      </c>
      <c r="E487" s="24">
        <f t="shared" si="611"/>
        <v>389.9705185</v>
      </c>
      <c r="F487" s="25">
        <v>0.02</v>
      </c>
      <c r="G487" s="24">
        <f t="shared" si="612"/>
        <v>374311.2169</v>
      </c>
      <c r="H487" s="25">
        <v>0.05</v>
      </c>
      <c r="I487" s="24">
        <f t="shared" si="613"/>
        <v>1754.867333</v>
      </c>
      <c r="J487" s="25">
        <v>0.02</v>
      </c>
      <c r="K487" s="25">
        <v>0.0</v>
      </c>
      <c r="L487" s="24">
        <f t="shared" si="810"/>
        <v>101020</v>
      </c>
      <c r="M487" s="24">
        <f t="shared" ref="M487:O487" si="981">IF(M486="", "", 1 + MROUND(IFERROR(MINIFS(OFFSET(M486, -1, 0, -$B487, 1), OFFSET(M486, -1, 0, -$B487, 1), "&gt;0"), M486) + (LN(1 + $Z487) ^ V$2) * V$3, 1))</f>
        <v>8875</v>
      </c>
      <c r="N487" s="24" t="str">
        <f t="shared" si="981"/>
        <v/>
      </c>
      <c r="O487" s="24">
        <f t="shared" si="981"/>
        <v>4229</v>
      </c>
      <c r="P487" s="24">
        <f t="shared" ref="P487:S487" si="982">L487*$Y$2</f>
        <v>25255</v>
      </c>
      <c r="Q487" s="24">
        <f t="shared" si="982"/>
        <v>2218.75</v>
      </c>
      <c r="R487" s="24">
        <f t="shared" si="982"/>
        <v>0</v>
      </c>
      <c r="S487" s="24">
        <f t="shared" si="982"/>
        <v>1057.25</v>
      </c>
      <c r="T487" s="24">
        <f t="shared" si="4"/>
        <v>20</v>
      </c>
      <c r="Z487" s="25">
        <f t="shared" si="12"/>
        <v>579.7172298</v>
      </c>
    </row>
    <row r="488">
      <c r="A488" s="16" t="s">
        <v>36</v>
      </c>
      <c r="B488" s="17">
        <v>187.0</v>
      </c>
      <c r="C488" s="24">
        <f t="shared" si="610"/>
        <v>2620178.518</v>
      </c>
      <c r="D488" s="25">
        <v>0.05</v>
      </c>
      <c r="E488" s="24">
        <f t="shared" si="611"/>
        <v>397.7699289</v>
      </c>
      <c r="F488" s="25">
        <v>0.02</v>
      </c>
      <c r="G488" s="24">
        <f t="shared" si="612"/>
        <v>393026.7777</v>
      </c>
      <c r="H488" s="25">
        <v>0.05</v>
      </c>
      <c r="I488" s="24">
        <f t="shared" si="613"/>
        <v>1789.96468</v>
      </c>
      <c r="J488" s="25">
        <v>0.02</v>
      </c>
      <c r="K488" s="25">
        <v>0.0</v>
      </c>
      <c r="L488" s="24">
        <f t="shared" si="810"/>
        <v>101938</v>
      </c>
      <c r="M488" s="24">
        <f t="shared" ref="M488:O488" si="983">IF(M487="", "", 1 + MROUND(IFERROR(MINIFS(OFFSET(M487, -1, 0, -$B488, 1), OFFSET(M487, -1, 0, -$B488, 1), "&gt;0"), M487) + (LN(1 + $Z488) ^ V$2) * V$3, 1))</f>
        <v>8949</v>
      </c>
      <c r="N488" s="24" t="str">
        <f t="shared" si="983"/>
        <v/>
      </c>
      <c r="O488" s="24">
        <f t="shared" si="983"/>
        <v>4267</v>
      </c>
      <c r="P488" s="24">
        <f t="shared" ref="P488:S488" si="984">L488*$Y$2</f>
        <v>25484.5</v>
      </c>
      <c r="Q488" s="24">
        <f t="shared" si="984"/>
        <v>2237.25</v>
      </c>
      <c r="R488" s="24">
        <f t="shared" si="984"/>
        <v>0</v>
      </c>
      <c r="S488" s="24">
        <f t="shared" si="984"/>
        <v>1066.75</v>
      </c>
      <c r="T488" s="24">
        <f t="shared" si="4"/>
        <v>20</v>
      </c>
      <c r="Z488" s="25">
        <f t="shared" si="12"/>
        <v>600.0423329</v>
      </c>
    </row>
    <row r="489">
      <c r="A489" s="16" t="s">
        <v>36</v>
      </c>
      <c r="B489" s="17">
        <v>188.0</v>
      </c>
      <c r="C489" s="24">
        <f t="shared" si="610"/>
        <v>2751187.444</v>
      </c>
      <c r="D489" s="25">
        <v>0.05</v>
      </c>
      <c r="E489" s="24">
        <f t="shared" si="611"/>
        <v>405.7253275</v>
      </c>
      <c r="F489" s="25">
        <v>0.02</v>
      </c>
      <c r="G489" s="24">
        <f t="shared" si="612"/>
        <v>412678.1166</v>
      </c>
      <c r="H489" s="25">
        <v>0.05</v>
      </c>
      <c r="I489" s="24">
        <f t="shared" si="613"/>
        <v>1825.763974</v>
      </c>
      <c r="J489" s="25">
        <v>0.02</v>
      </c>
      <c r="K489" s="25">
        <v>0.0</v>
      </c>
      <c r="L489" s="24">
        <f t="shared" si="810"/>
        <v>102859</v>
      </c>
      <c r="M489" s="24">
        <f t="shared" ref="M489:O489" si="985">IF(M488="", "", 1 + MROUND(IFERROR(MINIFS(OFFSET(M488, -1, 0, -$B489, 1), OFFSET(M488, -1, 0, -$B489, 1), "&gt;0"), M488) + (LN(1 + $Z489) ^ V$2) * V$3, 1))</f>
        <v>9024</v>
      </c>
      <c r="N489" s="24" t="str">
        <f t="shared" si="985"/>
        <v/>
      </c>
      <c r="O489" s="24">
        <f t="shared" si="985"/>
        <v>4305</v>
      </c>
      <c r="P489" s="24">
        <f t="shared" ref="P489:S489" si="986">L489*$Y$2</f>
        <v>25714.75</v>
      </c>
      <c r="Q489" s="24">
        <f t="shared" si="986"/>
        <v>2256</v>
      </c>
      <c r="R489" s="24">
        <f t="shared" si="986"/>
        <v>0</v>
      </c>
      <c r="S489" s="24">
        <f t="shared" si="986"/>
        <v>1076.25</v>
      </c>
      <c r="T489" s="24">
        <f t="shared" si="4"/>
        <v>20</v>
      </c>
      <c r="Z489" s="25">
        <f t="shared" si="12"/>
        <v>621.0788145</v>
      </c>
    </row>
    <row r="490">
      <c r="A490" s="16" t="s">
        <v>36</v>
      </c>
      <c r="B490" s="17">
        <v>189.0</v>
      </c>
      <c r="C490" s="24">
        <f t="shared" si="610"/>
        <v>2888746.816</v>
      </c>
      <c r="D490" s="25">
        <v>0.05</v>
      </c>
      <c r="E490" s="24">
        <f t="shared" si="611"/>
        <v>413.839834</v>
      </c>
      <c r="F490" s="25">
        <v>0.02</v>
      </c>
      <c r="G490" s="24">
        <f t="shared" si="612"/>
        <v>433312.0225</v>
      </c>
      <c r="H490" s="25">
        <v>0.05</v>
      </c>
      <c r="I490" s="24">
        <f t="shared" si="613"/>
        <v>1862.279253</v>
      </c>
      <c r="J490" s="25">
        <v>0.02</v>
      </c>
      <c r="K490" s="25">
        <v>0.0</v>
      </c>
      <c r="L490" s="24">
        <f t="shared" si="810"/>
        <v>103784</v>
      </c>
      <c r="M490" s="24">
        <f t="shared" ref="M490:O490" si="987">IF(M489="", "", 1 + MROUND(IFERROR(MINIFS(OFFSET(M489, -1, 0, -$B490, 1), OFFSET(M489, -1, 0, -$B490, 1), "&gt;0"), M489) + (LN(1 + $Z490) ^ V$2) * V$3, 1))</f>
        <v>9099</v>
      </c>
      <c r="N490" s="24" t="str">
        <f t="shared" si="987"/>
        <v/>
      </c>
      <c r="O490" s="24">
        <f t="shared" si="987"/>
        <v>4343</v>
      </c>
      <c r="P490" s="24">
        <f t="shared" ref="P490:S490" si="988">L490*$Y$2</f>
        <v>25946</v>
      </c>
      <c r="Q490" s="24">
        <f t="shared" si="988"/>
        <v>2274.75</v>
      </c>
      <c r="R490" s="24">
        <f t="shared" si="988"/>
        <v>0</v>
      </c>
      <c r="S490" s="24">
        <f t="shared" si="988"/>
        <v>1085.75</v>
      </c>
      <c r="T490" s="24">
        <f t="shared" si="4"/>
        <v>20</v>
      </c>
      <c r="Z490" s="25">
        <f t="shared" si="12"/>
        <v>642.851573</v>
      </c>
    </row>
    <row r="491">
      <c r="A491" s="16" t="s">
        <v>36</v>
      </c>
      <c r="B491" s="17">
        <v>190.0</v>
      </c>
      <c r="C491" s="24">
        <f t="shared" si="610"/>
        <v>3033184.157</v>
      </c>
      <c r="D491" s="25">
        <v>0.05</v>
      </c>
      <c r="E491" s="24">
        <f t="shared" si="611"/>
        <v>422.1166307</v>
      </c>
      <c r="F491" s="25">
        <v>0.02</v>
      </c>
      <c r="G491" s="24">
        <f t="shared" si="612"/>
        <v>454977.6236</v>
      </c>
      <c r="H491" s="25">
        <v>0.05</v>
      </c>
      <c r="I491" s="24">
        <f t="shared" si="613"/>
        <v>1899.524838</v>
      </c>
      <c r="J491" s="25">
        <v>0.02</v>
      </c>
      <c r="K491" s="25">
        <v>0.0</v>
      </c>
      <c r="L491" s="24">
        <f t="shared" si="810"/>
        <v>104712</v>
      </c>
      <c r="M491" s="24">
        <f t="shared" ref="M491:O491" si="989">IF(M490="", "", 1 + MROUND(IFERROR(MINIFS(OFFSET(M490, -1, 0, -$B491, 1), OFFSET(M490, -1, 0, -$B491, 1), "&gt;0"), M490) + (LN(1 + $Z491) ^ V$2) * V$3, 1))</f>
        <v>9174</v>
      </c>
      <c r="N491" s="24" t="str">
        <f t="shared" si="989"/>
        <v/>
      </c>
      <c r="O491" s="24">
        <f t="shared" si="989"/>
        <v>4381</v>
      </c>
      <c r="P491" s="24">
        <f t="shared" ref="P491:S491" si="990">L491*$Y$2</f>
        <v>26178</v>
      </c>
      <c r="Q491" s="24">
        <f t="shared" si="990"/>
        <v>2293.5</v>
      </c>
      <c r="R491" s="24">
        <f t="shared" si="990"/>
        <v>0</v>
      </c>
      <c r="S491" s="24">
        <f t="shared" si="990"/>
        <v>1095.25</v>
      </c>
      <c r="T491" s="24">
        <f t="shared" si="4"/>
        <v>20</v>
      </c>
      <c r="Z491" s="25">
        <f t="shared" si="12"/>
        <v>665.3863781</v>
      </c>
    </row>
    <row r="492">
      <c r="A492" s="16" t="s">
        <v>36</v>
      </c>
      <c r="B492" s="17">
        <v>191.0</v>
      </c>
      <c r="C492" s="24">
        <f t="shared" si="610"/>
        <v>3184843.365</v>
      </c>
      <c r="D492" s="25">
        <v>0.05</v>
      </c>
      <c r="E492" s="24">
        <f t="shared" si="611"/>
        <v>430.5589633</v>
      </c>
      <c r="F492" s="25">
        <v>0.02</v>
      </c>
      <c r="G492" s="24">
        <f t="shared" si="612"/>
        <v>477726.5048</v>
      </c>
      <c r="H492" s="25">
        <v>0.05</v>
      </c>
      <c r="I492" s="24">
        <f t="shared" si="613"/>
        <v>1937.515335</v>
      </c>
      <c r="J492" s="25">
        <v>0.02</v>
      </c>
      <c r="K492" s="25">
        <v>0.0</v>
      </c>
      <c r="L492" s="24">
        <f t="shared" si="810"/>
        <v>105643</v>
      </c>
      <c r="M492" s="24">
        <f t="shared" ref="M492:O492" si="991">IF(M491="", "", 1 + MROUND(IFERROR(MINIFS(OFFSET(M491, -1, 0, -$B492, 1), OFFSET(M491, -1, 0, -$B492, 1), "&gt;0"), M491) + (LN(1 + $Z492) ^ V$2) * V$3, 1))</f>
        <v>9249</v>
      </c>
      <c r="N492" s="24" t="str">
        <f t="shared" si="991"/>
        <v/>
      </c>
      <c r="O492" s="24">
        <f t="shared" si="991"/>
        <v>4419</v>
      </c>
      <c r="P492" s="24">
        <f t="shared" ref="P492:S492" si="992">L492*$Y$2</f>
        <v>26410.75</v>
      </c>
      <c r="Q492" s="24">
        <f t="shared" si="992"/>
        <v>2312.25</v>
      </c>
      <c r="R492" s="24">
        <f t="shared" si="992"/>
        <v>0</v>
      </c>
      <c r="S492" s="24">
        <f t="shared" si="992"/>
        <v>1104.75</v>
      </c>
      <c r="T492" s="24">
        <f t="shared" si="4"/>
        <v>20</v>
      </c>
      <c r="Z492" s="25">
        <f t="shared" si="12"/>
        <v>688.7099013</v>
      </c>
    </row>
    <row r="493">
      <c r="A493" s="16" t="s">
        <v>36</v>
      </c>
      <c r="B493" s="17">
        <v>192.0</v>
      </c>
      <c r="C493" s="24">
        <f t="shared" si="610"/>
        <v>3344085.533</v>
      </c>
      <c r="D493" s="25">
        <v>0.05</v>
      </c>
      <c r="E493" s="24">
        <f t="shared" si="611"/>
        <v>439.1701426</v>
      </c>
      <c r="F493" s="25">
        <v>0.02</v>
      </c>
      <c r="G493" s="24">
        <f t="shared" si="612"/>
        <v>501612.83</v>
      </c>
      <c r="H493" s="25">
        <v>0.05</v>
      </c>
      <c r="I493" s="24">
        <f t="shared" si="613"/>
        <v>1976.265642</v>
      </c>
      <c r="J493" s="25">
        <v>0.02</v>
      </c>
      <c r="K493" s="25">
        <v>0.0</v>
      </c>
      <c r="L493" s="24">
        <f t="shared" si="810"/>
        <v>106578</v>
      </c>
      <c r="M493" s="24">
        <f t="shared" ref="M493:O493" si="993">IF(M492="", "", 1 + MROUND(IFERROR(MINIFS(OFFSET(M492, -1, 0, -$B493, 1), OFFSET(M492, -1, 0, -$B493, 1), "&gt;0"), M492) + (LN(1 + $Z493) ^ V$2) * V$3, 1))</f>
        <v>9325</v>
      </c>
      <c r="N493" s="24" t="str">
        <f t="shared" si="993"/>
        <v/>
      </c>
      <c r="O493" s="24">
        <f t="shared" si="993"/>
        <v>4457</v>
      </c>
      <c r="P493" s="24">
        <f t="shared" ref="P493:S493" si="994">L493*$Y$2</f>
        <v>26644.5</v>
      </c>
      <c r="Q493" s="24">
        <f t="shared" si="994"/>
        <v>2331.25</v>
      </c>
      <c r="R493" s="24">
        <f t="shared" si="994"/>
        <v>0</v>
      </c>
      <c r="S493" s="24">
        <f t="shared" si="994"/>
        <v>1114.25</v>
      </c>
      <c r="T493" s="24">
        <f t="shared" si="4"/>
        <v>20</v>
      </c>
      <c r="Z493" s="25">
        <f t="shared" si="12"/>
        <v>712.8497479</v>
      </c>
    </row>
    <row r="494">
      <c r="A494" s="16" t="s">
        <v>36</v>
      </c>
      <c r="B494" s="17">
        <v>193.0</v>
      </c>
      <c r="C494" s="24">
        <f t="shared" si="610"/>
        <v>3511289.81</v>
      </c>
      <c r="D494" s="25">
        <v>0.05</v>
      </c>
      <c r="E494" s="24">
        <f t="shared" si="611"/>
        <v>447.9535455</v>
      </c>
      <c r="F494" s="25">
        <v>0.02</v>
      </c>
      <c r="G494" s="24">
        <f t="shared" si="612"/>
        <v>526693.4715</v>
      </c>
      <c r="H494" s="25">
        <v>0.05</v>
      </c>
      <c r="I494" s="24">
        <f t="shared" si="613"/>
        <v>2015.790955</v>
      </c>
      <c r="J494" s="25">
        <v>0.02</v>
      </c>
      <c r="K494" s="25">
        <v>0.0</v>
      </c>
      <c r="L494" s="24">
        <f t="shared" si="810"/>
        <v>107516</v>
      </c>
      <c r="M494" s="24">
        <f t="shared" ref="M494:O494" si="995">IF(M493="", "", 1 + MROUND(IFERROR(MINIFS(OFFSET(M493, -1, 0, -$B494, 1), OFFSET(M493, -1, 0, -$B494, 1), "&gt;0"), M493) + (LN(1 + $Z494) ^ V$2) * V$3, 1))</f>
        <v>9401</v>
      </c>
      <c r="N494" s="24" t="str">
        <f t="shared" si="995"/>
        <v/>
      </c>
      <c r="O494" s="24">
        <f t="shared" si="995"/>
        <v>4495</v>
      </c>
      <c r="P494" s="24">
        <f t="shared" ref="P494:S494" si="996">L494*$Y$2</f>
        <v>26879</v>
      </c>
      <c r="Q494" s="24">
        <f t="shared" si="996"/>
        <v>2350.25</v>
      </c>
      <c r="R494" s="24">
        <f t="shared" si="996"/>
        <v>0</v>
      </c>
      <c r="S494" s="24">
        <f t="shared" si="996"/>
        <v>1123.75</v>
      </c>
      <c r="T494" s="24">
        <f t="shared" si="4"/>
        <v>20</v>
      </c>
      <c r="Z494" s="25">
        <f t="shared" si="12"/>
        <v>737.834489</v>
      </c>
    </row>
    <row r="495">
      <c r="A495" s="16" t="s">
        <v>36</v>
      </c>
      <c r="B495" s="17">
        <v>194.0</v>
      </c>
      <c r="C495" s="24">
        <f t="shared" si="610"/>
        <v>3686854.301</v>
      </c>
      <c r="D495" s="25">
        <v>0.05</v>
      </c>
      <c r="E495" s="24">
        <f t="shared" si="611"/>
        <v>456.9126164</v>
      </c>
      <c r="F495" s="25">
        <v>0.02</v>
      </c>
      <c r="G495" s="24">
        <f t="shared" si="612"/>
        <v>553028.1451</v>
      </c>
      <c r="H495" s="25">
        <v>0.05</v>
      </c>
      <c r="I495" s="24">
        <f t="shared" si="613"/>
        <v>2056.106774</v>
      </c>
      <c r="J495" s="25">
        <v>0.02</v>
      </c>
      <c r="K495" s="25">
        <v>0.0</v>
      </c>
      <c r="L495" s="24">
        <f t="shared" si="810"/>
        <v>108458</v>
      </c>
      <c r="M495" s="24">
        <f t="shared" ref="M495:O495" si="997">IF(M494="", "", 1 + MROUND(IFERROR(MINIFS(OFFSET(M494, -1, 0, -$B495, 1), OFFSET(M494, -1, 0, -$B495, 1), "&gt;0"), M494) + (LN(1 + $Z495) ^ V$2) * V$3, 1))</f>
        <v>9477</v>
      </c>
      <c r="N495" s="24" t="str">
        <f t="shared" si="997"/>
        <v/>
      </c>
      <c r="O495" s="24">
        <f t="shared" si="997"/>
        <v>4534</v>
      </c>
      <c r="P495" s="24">
        <f t="shared" ref="P495:S495" si="998">L495*$Y$2</f>
        <v>27114.5</v>
      </c>
      <c r="Q495" s="24">
        <f t="shared" si="998"/>
        <v>2369.25</v>
      </c>
      <c r="R495" s="24">
        <f t="shared" si="998"/>
        <v>0</v>
      </c>
      <c r="S495" s="24">
        <f t="shared" si="998"/>
        <v>1133.5</v>
      </c>
      <c r="T495" s="24">
        <f t="shared" si="4"/>
        <v>20</v>
      </c>
      <c r="Z495" s="25">
        <f t="shared" si="12"/>
        <v>763.6936961</v>
      </c>
    </row>
    <row r="496">
      <c r="A496" s="16" t="s">
        <v>36</v>
      </c>
      <c r="B496" s="17">
        <v>195.0</v>
      </c>
      <c r="C496" s="24">
        <f t="shared" si="610"/>
        <v>3871197.016</v>
      </c>
      <c r="D496" s="25">
        <v>0.05</v>
      </c>
      <c r="E496" s="24">
        <f t="shared" si="611"/>
        <v>466.0508687</v>
      </c>
      <c r="F496" s="25">
        <v>0.02</v>
      </c>
      <c r="G496" s="24">
        <f t="shared" si="612"/>
        <v>580679.5523</v>
      </c>
      <c r="H496" s="25">
        <v>0.05</v>
      </c>
      <c r="I496" s="24">
        <f t="shared" si="613"/>
        <v>2097.228909</v>
      </c>
      <c r="J496" s="25">
        <v>0.02</v>
      </c>
      <c r="K496" s="25">
        <v>0.0</v>
      </c>
      <c r="L496" s="24">
        <f t="shared" si="810"/>
        <v>109403</v>
      </c>
      <c r="M496" s="24">
        <f t="shared" ref="M496:O496" si="999">IF(M495="", "", 1 + MROUND(IFERROR(MINIFS(OFFSET(M495, -1, 0, -$B496, 1), OFFSET(M495, -1, 0, -$B496, 1), "&gt;0"), M495) + (LN(1 + $Z496) ^ V$2) * V$3, 1))</f>
        <v>9554</v>
      </c>
      <c r="N496" s="24" t="str">
        <f t="shared" si="999"/>
        <v/>
      </c>
      <c r="O496" s="24">
        <f t="shared" si="999"/>
        <v>4573</v>
      </c>
      <c r="P496" s="24">
        <f t="shared" ref="P496:S496" si="1000">L496*$Y$2</f>
        <v>27350.75</v>
      </c>
      <c r="Q496" s="24">
        <f t="shared" si="1000"/>
        <v>2388.5</v>
      </c>
      <c r="R496" s="24">
        <f t="shared" si="1000"/>
        <v>0</v>
      </c>
      <c r="S496" s="24">
        <f t="shared" si="1000"/>
        <v>1143.25</v>
      </c>
      <c r="T496" s="24">
        <f t="shared" si="4"/>
        <v>21</v>
      </c>
      <c r="Z496" s="25">
        <f t="shared" si="12"/>
        <v>790.4579755</v>
      </c>
    </row>
    <row r="497">
      <c r="A497" s="16" t="s">
        <v>36</v>
      </c>
      <c r="B497" s="17">
        <v>196.0</v>
      </c>
      <c r="C497" s="24">
        <f t="shared" si="610"/>
        <v>4064756.866</v>
      </c>
      <c r="D497" s="25">
        <v>0.05</v>
      </c>
      <c r="E497" s="24">
        <f t="shared" si="611"/>
        <v>475.3718861</v>
      </c>
      <c r="F497" s="25">
        <v>0.02</v>
      </c>
      <c r="G497" s="24">
        <f t="shared" si="612"/>
        <v>609713.53</v>
      </c>
      <c r="H497" s="25">
        <v>0.05</v>
      </c>
      <c r="I497" s="24">
        <f t="shared" si="613"/>
        <v>2139.173487</v>
      </c>
      <c r="J497" s="25">
        <v>0.02</v>
      </c>
      <c r="K497" s="25">
        <v>0.0</v>
      </c>
      <c r="L497" s="24">
        <f t="shared" si="810"/>
        <v>110351</v>
      </c>
      <c r="M497" s="24">
        <f t="shared" ref="M497:O497" si="1001">IF(M496="", "", 1 + MROUND(IFERROR(MINIFS(OFFSET(M496, -1, 0, -$B497, 1), OFFSET(M496, -1, 0, -$B497, 1), "&gt;0"), M496) + (LN(1 + $Z497) ^ V$2) * V$3, 1))</f>
        <v>9631</v>
      </c>
      <c r="N497" s="24" t="str">
        <f t="shared" si="1001"/>
        <v/>
      </c>
      <c r="O497" s="24">
        <f t="shared" si="1001"/>
        <v>4612</v>
      </c>
      <c r="P497" s="24">
        <f t="shared" ref="P497:S497" si="1002">L497*$Y$2</f>
        <v>27587.75</v>
      </c>
      <c r="Q497" s="24">
        <f t="shared" si="1002"/>
        <v>2407.75</v>
      </c>
      <c r="R497" s="24">
        <f t="shared" si="1002"/>
        <v>0</v>
      </c>
      <c r="S497" s="24">
        <f t="shared" si="1002"/>
        <v>1153</v>
      </c>
      <c r="T497" s="24">
        <f t="shared" si="4"/>
        <v>21</v>
      </c>
      <c r="Z497" s="25">
        <f t="shared" si="12"/>
        <v>818.1590046</v>
      </c>
    </row>
    <row r="498">
      <c r="A498" s="16" t="s">
        <v>36</v>
      </c>
      <c r="B498" s="17">
        <v>197.0</v>
      </c>
      <c r="C498" s="24">
        <f t="shared" si="610"/>
        <v>4267994.71</v>
      </c>
      <c r="D498" s="25">
        <v>0.05</v>
      </c>
      <c r="E498" s="24">
        <f t="shared" si="611"/>
        <v>484.8793238</v>
      </c>
      <c r="F498" s="25">
        <v>0.02</v>
      </c>
      <c r="G498" s="24">
        <f t="shared" si="612"/>
        <v>640199.2064</v>
      </c>
      <c r="H498" s="25">
        <v>0.05</v>
      </c>
      <c r="I498" s="24">
        <f t="shared" si="613"/>
        <v>2181.956957</v>
      </c>
      <c r="J498" s="25">
        <v>0.02</v>
      </c>
      <c r="K498" s="25">
        <v>0.0</v>
      </c>
      <c r="L498" s="24">
        <f t="shared" si="810"/>
        <v>111303</v>
      </c>
      <c r="M498" s="24">
        <f t="shared" ref="M498:O498" si="1003">IF(M497="", "", 1 + MROUND(IFERROR(MINIFS(OFFSET(M497, -1, 0, -$B498, 1), OFFSET(M497, -1, 0, -$B498, 1), "&gt;0"), M497) + (LN(1 + $Z498) ^ V$2) * V$3, 1))</f>
        <v>9708</v>
      </c>
      <c r="N498" s="24" t="str">
        <f t="shared" si="1003"/>
        <v/>
      </c>
      <c r="O498" s="24">
        <f t="shared" si="1003"/>
        <v>4651</v>
      </c>
      <c r="P498" s="24">
        <f t="shared" ref="P498:S498" si="1004">L498*$Y$2</f>
        <v>27825.75</v>
      </c>
      <c r="Q498" s="24">
        <f t="shared" si="1004"/>
        <v>2427</v>
      </c>
      <c r="R498" s="24">
        <f t="shared" si="1004"/>
        <v>0</v>
      </c>
      <c r="S498" s="24">
        <f t="shared" si="1004"/>
        <v>1162.75</v>
      </c>
      <c r="T498" s="24">
        <f t="shared" si="4"/>
        <v>21</v>
      </c>
      <c r="Z498" s="25">
        <f t="shared" si="12"/>
        <v>846.8295698</v>
      </c>
    </row>
    <row r="499">
      <c r="A499" s="16" t="s">
        <v>36</v>
      </c>
      <c r="B499" s="17">
        <v>198.0</v>
      </c>
      <c r="C499" s="24">
        <f t="shared" si="610"/>
        <v>4481394.445</v>
      </c>
      <c r="D499" s="25">
        <v>0.05</v>
      </c>
      <c r="E499" s="24">
        <f t="shared" si="611"/>
        <v>494.5769103</v>
      </c>
      <c r="F499" s="25">
        <v>0.02</v>
      </c>
      <c r="G499" s="24">
        <f t="shared" si="612"/>
        <v>672209.1668</v>
      </c>
      <c r="H499" s="25">
        <v>0.05</v>
      </c>
      <c r="I499" s="24">
        <f t="shared" si="613"/>
        <v>2225.596096</v>
      </c>
      <c r="J499" s="25">
        <v>0.02</v>
      </c>
      <c r="K499" s="25">
        <v>0.0</v>
      </c>
      <c r="L499" s="24">
        <f t="shared" si="810"/>
        <v>112258</v>
      </c>
      <c r="M499" s="24">
        <f t="shared" ref="M499:O499" si="1005">IF(M498="", "", 1 + MROUND(IFERROR(MINIFS(OFFSET(M498, -1, 0, -$B499, 1), OFFSET(M498, -1, 0, -$B499, 1), "&gt;0"), M498) + (LN(1 + $Z499) ^ V$2) * V$3, 1))</f>
        <v>9785</v>
      </c>
      <c r="N499" s="24" t="str">
        <f t="shared" si="1005"/>
        <v/>
      </c>
      <c r="O499" s="24">
        <f t="shared" si="1005"/>
        <v>4690</v>
      </c>
      <c r="P499" s="24">
        <f t="shared" ref="P499:S499" si="1006">L499*$Y$2</f>
        <v>28064.5</v>
      </c>
      <c r="Q499" s="24">
        <f t="shared" si="1006"/>
        <v>2446.25</v>
      </c>
      <c r="R499" s="24">
        <f t="shared" si="1006"/>
        <v>0</v>
      </c>
      <c r="S499" s="24">
        <f t="shared" si="1006"/>
        <v>1172.5</v>
      </c>
      <c r="T499" s="24">
        <f t="shared" si="4"/>
        <v>21</v>
      </c>
      <c r="Z499" s="25">
        <f t="shared" si="12"/>
        <v>876.5036048</v>
      </c>
    </row>
    <row r="500">
      <c r="A500" s="16" t="s">
        <v>36</v>
      </c>
      <c r="B500" s="17">
        <v>199.0</v>
      </c>
      <c r="C500" s="24">
        <f t="shared" si="610"/>
        <v>4705464.167</v>
      </c>
      <c r="D500" s="25">
        <v>0.05</v>
      </c>
      <c r="E500" s="24">
        <f t="shared" si="611"/>
        <v>504.4684485</v>
      </c>
      <c r="F500" s="25">
        <v>0.02</v>
      </c>
      <c r="G500" s="24">
        <f t="shared" si="612"/>
        <v>705819.6251</v>
      </c>
      <c r="H500" s="25">
        <v>0.05</v>
      </c>
      <c r="I500" s="24">
        <f t="shared" si="613"/>
        <v>2270.108018</v>
      </c>
      <c r="J500" s="25">
        <v>0.02</v>
      </c>
      <c r="K500" s="25">
        <v>0.0</v>
      </c>
      <c r="L500" s="24">
        <f t="shared" si="810"/>
        <v>113217</v>
      </c>
      <c r="M500" s="24">
        <f t="shared" ref="M500:O500" si="1007">IF(M499="", "", 1 + MROUND(IFERROR(MINIFS(OFFSET(M499, -1, 0, -$B500, 1), OFFSET(M499, -1, 0, -$B500, 1), "&gt;0"), M499) + (LN(1 + $Z500) ^ V$2) * V$3, 1))</f>
        <v>9863</v>
      </c>
      <c r="N500" s="24" t="str">
        <f t="shared" si="1007"/>
        <v/>
      </c>
      <c r="O500" s="24">
        <f t="shared" si="1007"/>
        <v>4729</v>
      </c>
      <c r="P500" s="24">
        <f t="shared" ref="P500:S500" si="1008">L500*$Y$2</f>
        <v>28304.25</v>
      </c>
      <c r="Q500" s="24">
        <f t="shared" si="1008"/>
        <v>2465.75</v>
      </c>
      <c r="R500" s="24">
        <f t="shared" si="1008"/>
        <v>0</v>
      </c>
      <c r="S500" s="24">
        <f t="shared" si="1008"/>
        <v>1182.25</v>
      </c>
      <c r="T500" s="24">
        <f t="shared" si="4"/>
        <v>21</v>
      </c>
      <c r="Z500" s="25">
        <f t="shared" si="12"/>
        <v>907.2162309</v>
      </c>
    </row>
    <row r="501">
      <c r="A501" s="16" t="s">
        <v>36</v>
      </c>
      <c r="B501" s="17">
        <v>200.0</v>
      </c>
      <c r="C501" s="24">
        <f t="shared" si="610"/>
        <v>4940737.376</v>
      </c>
      <c r="D501" s="25">
        <v>0.05</v>
      </c>
      <c r="E501" s="24">
        <f t="shared" si="611"/>
        <v>514.5578174</v>
      </c>
      <c r="F501" s="25">
        <v>0.02</v>
      </c>
      <c r="G501" s="24">
        <f t="shared" si="612"/>
        <v>741110.6064</v>
      </c>
      <c r="H501" s="25">
        <v>0.05</v>
      </c>
      <c r="I501" s="24">
        <f t="shared" si="613"/>
        <v>2315.510178</v>
      </c>
      <c r="J501" s="25">
        <v>0.02</v>
      </c>
      <c r="K501" s="25">
        <v>0.0</v>
      </c>
      <c r="L501" s="24">
        <f t="shared" si="810"/>
        <v>114179</v>
      </c>
      <c r="M501" s="24">
        <f t="shared" ref="M501:M601" si="1010">IF(M500="", "", 1 + MROUND(IFERROR(MINIFS(OFFSET(M500, -1, 0, -$B501, 1), OFFSET(M500, -1, 0, -$B501, 1), "&gt;0"), M500) + (LN(1 + $Z501) ^ V$2) * V$3, 1))</f>
        <v>9941</v>
      </c>
      <c r="N501" s="24">
        <f>M501/10</f>
        <v>994.1</v>
      </c>
      <c r="O501" s="24">
        <f>IF(O500="", "", 1 + MROUND(IFERROR(MINIFS(OFFSET(O500, -1, 0, -$B501, 1), OFFSET(O500, -1, 0, -$B501, 1), "&gt;0"), O500) + (LN(1 + $Z501) ^ X$2) * X$3, 1))</f>
        <v>4768</v>
      </c>
      <c r="P501" s="24">
        <f t="shared" ref="P501:S501" si="1009">L501*$Y$2</f>
        <v>28544.75</v>
      </c>
      <c r="Q501" s="24">
        <f t="shared" si="1009"/>
        <v>2485.25</v>
      </c>
      <c r="R501" s="24">
        <f t="shared" si="1009"/>
        <v>248.525</v>
      </c>
      <c r="S501" s="24">
        <f t="shared" si="1009"/>
        <v>1192</v>
      </c>
      <c r="T501" s="24">
        <f t="shared" si="4"/>
        <v>21</v>
      </c>
      <c r="Z501" s="25">
        <f t="shared" si="12"/>
        <v>939.003799</v>
      </c>
    </row>
    <row r="502">
      <c r="A502" s="16" t="s">
        <v>36</v>
      </c>
      <c r="B502" s="17">
        <v>201.0</v>
      </c>
      <c r="C502" s="24">
        <f t="shared" si="610"/>
        <v>5187774.245</v>
      </c>
      <c r="D502" s="25">
        <v>0.05</v>
      </c>
      <c r="E502" s="24">
        <f t="shared" si="611"/>
        <v>524.8489738</v>
      </c>
      <c r="F502" s="25">
        <v>0.02</v>
      </c>
      <c r="G502" s="24">
        <f t="shared" si="612"/>
        <v>778166.1367</v>
      </c>
      <c r="H502" s="25">
        <v>0.05</v>
      </c>
      <c r="I502" s="24">
        <f t="shared" si="613"/>
        <v>2361.820382</v>
      </c>
      <c r="J502" s="25">
        <v>0.02</v>
      </c>
      <c r="K502" s="25">
        <v>0.0</v>
      </c>
      <c r="L502" s="24">
        <f t="shared" si="810"/>
        <v>115144</v>
      </c>
      <c r="M502" s="24">
        <f t="shared" si="1010"/>
        <v>10019</v>
      </c>
      <c r="N502" s="24">
        <f t="shared" ref="N502:O502" si="1011">IF(N501="", "", 1 + MROUND(IFERROR(MINIFS(OFFSET(N501, -1, 0, -$B502, 1), OFFSET(N501, -1, 0, -$B502, 1), "&gt;0"), N501) + (LN(1 + $Z502) ^ W$2) * W$3, 1))</f>
        <v>1034</v>
      </c>
      <c r="O502" s="24">
        <f t="shared" si="1011"/>
        <v>4808</v>
      </c>
      <c r="P502" s="24">
        <f t="shared" ref="P502:S502" si="1012">L502*$Y$2</f>
        <v>28786</v>
      </c>
      <c r="Q502" s="24">
        <f t="shared" si="1012"/>
        <v>2504.75</v>
      </c>
      <c r="R502" s="24">
        <f t="shared" si="1012"/>
        <v>258.5</v>
      </c>
      <c r="S502" s="24">
        <f t="shared" si="1012"/>
        <v>1202</v>
      </c>
      <c r="T502" s="24">
        <f t="shared" si="4"/>
        <v>21</v>
      </c>
      <c r="Z502" s="25">
        <f t="shared" si="12"/>
        <v>971.903932</v>
      </c>
    </row>
    <row r="503">
      <c r="A503" s="16" t="s">
        <v>36</v>
      </c>
      <c r="B503" s="17">
        <v>202.0</v>
      </c>
      <c r="C503" s="24">
        <f t="shared" si="610"/>
        <v>5447162.957</v>
      </c>
      <c r="D503" s="25">
        <v>0.05</v>
      </c>
      <c r="E503" s="24">
        <f t="shared" si="611"/>
        <v>535.3459533</v>
      </c>
      <c r="F503" s="25">
        <v>0.02</v>
      </c>
      <c r="G503" s="24">
        <f t="shared" si="612"/>
        <v>817074.4435</v>
      </c>
      <c r="H503" s="25">
        <v>0.05</v>
      </c>
      <c r="I503" s="24">
        <f t="shared" si="613"/>
        <v>2409.05679</v>
      </c>
      <c r="J503" s="25">
        <v>0.02</v>
      </c>
      <c r="K503" s="25">
        <v>0.0</v>
      </c>
      <c r="L503" s="24">
        <f t="shared" si="810"/>
        <v>116113</v>
      </c>
      <c r="M503" s="24">
        <f t="shared" si="1010"/>
        <v>10097</v>
      </c>
      <c r="N503" s="24">
        <f t="shared" ref="N503:O503" si="1013">IF(N502="", "", 1 + MROUND(IFERROR(MINIFS(OFFSET(N502, -1, 0, -$B503, 1), OFFSET(N502, -1, 0, -$B503, 1), "&gt;0"), N502) + (LN(1 + $Z503) ^ W$2) * W$3, 1))</f>
        <v>1074</v>
      </c>
      <c r="O503" s="24">
        <f t="shared" si="1013"/>
        <v>4848</v>
      </c>
      <c r="P503" s="24">
        <f t="shared" ref="P503:S503" si="1014">L503*$Y$2</f>
        <v>29028.25</v>
      </c>
      <c r="Q503" s="24">
        <f t="shared" si="1014"/>
        <v>2524.25</v>
      </c>
      <c r="R503" s="24">
        <f t="shared" si="1014"/>
        <v>268.5</v>
      </c>
      <c r="S503" s="24">
        <f t="shared" si="1014"/>
        <v>1212</v>
      </c>
      <c r="T503" s="24">
        <f t="shared" si="4"/>
        <v>21</v>
      </c>
      <c r="Z503" s="25">
        <f t="shared" si="12"/>
        <v>1005.95557</v>
      </c>
    </row>
    <row r="504">
      <c r="A504" s="16" t="s">
        <v>36</v>
      </c>
      <c r="B504" s="17">
        <v>203.0</v>
      </c>
      <c r="C504" s="24">
        <f t="shared" si="610"/>
        <v>5719521.105</v>
      </c>
      <c r="D504" s="25">
        <v>0.05</v>
      </c>
      <c r="E504" s="24">
        <f t="shared" si="611"/>
        <v>546.0528723</v>
      </c>
      <c r="F504" s="25">
        <v>0.02</v>
      </c>
      <c r="G504" s="24">
        <f t="shared" si="612"/>
        <v>857928.1657</v>
      </c>
      <c r="H504" s="25">
        <v>0.05</v>
      </c>
      <c r="I504" s="24">
        <f t="shared" si="613"/>
        <v>2457.237925</v>
      </c>
      <c r="J504" s="25">
        <v>0.02</v>
      </c>
      <c r="K504" s="25">
        <v>0.0</v>
      </c>
      <c r="L504" s="24">
        <f t="shared" si="810"/>
        <v>117085</v>
      </c>
      <c r="M504" s="24">
        <f t="shared" si="1010"/>
        <v>10176</v>
      </c>
      <c r="N504" s="24">
        <f t="shared" ref="N504:O504" si="1015">IF(N503="", "", 1 + MROUND(IFERROR(MINIFS(OFFSET(N503, -1, 0, -$B504, 1), OFFSET(N503, -1, 0, -$B504, 1), "&gt;0"), N503) + (LN(1 + $Z504) ^ W$2) * W$3, 1))</f>
        <v>1114</v>
      </c>
      <c r="O504" s="24">
        <f t="shared" si="1015"/>
        <v>4888</v>
      </c>
      <c r="P504" s="24">
        <f t="shared" ref="P504:S504" si="1016">L504*$Y$2</f>
        <v>29271.25</v>
      </c>
      <c r="Q504" s="24">
        <f t="shared" si="1016"/>
        <v>2544</v>
      </c>
      <c r="R504" s="24">
        <f t="shared" si="1016"/>
        <v>278.5</v>
      </c>
      <c r="S504" s="24">
        <f t="shared" si="1016"/>
        <v>1222</v>
      </c>
      <c r="T504" s="24">
        <f t="shared" si="4"/>
        <v>21</v>
      </c>
      <c r="Z504" s="25">
        <f t="shared" si="12"/>
        <v>1041.199015</v>
      </c>
    </row>
    <row r="505">
      <c r="A505" s="16" t="s">
        <v>36</v>
      </c>
      <c r="B505" s="17">
        <v>204.0</v>
      </c>
      <c r="C505" s="24">
        <f t="shared" si="610"/>
        <v>6005497.16</v>
      </c>
      <c r="D505" s="25">
        <v>0.05</v>
      </c>
      <c r="E505" s="24">
        <f t="shared" si="611"/>
        <v>556.9739298</v>
      </c>
      <c r="F505" s="25">
        <v>0.02</v>
      </c>
      <c r="G505" s="24">
        <f t="shared" si="612"/>
        <v>900824.574</v>
      </c>
      <c r="H505" s="25">
        <v>0.05</v>
      </c>
      <c r="I505" s="24">
        <f t="shared" si="613"/>
        <v>2506.382684</v>
      </c>
      <c r="J505" s="25">
        <v>0.02</v>
      </c>
      <c r="K505" s="25">
        <v>0.0</v>
      </c>
      <c r="L505" s="24">
        <f t="shared" si="810"/>
        <v>118061</v>
      </c>
      <c r="M505" s="24">
        <f t="shared" si="1010"/>
        <v>10255</v>
      </c>
      <c r="N505" s="24">
        <f t="shared" ref="N505:O505" si="1017">IF(N504="", "", 1 + MROUND(IFERROR(MINIFS(OFFSET(N504, -1, 0, -$B505, 1), OFFSET(N504, -1, 0, -$B505, 1), "&gt;0"), N504) + (LN(1 + $Z505) ^ W$2) * W$3, 1))</f>
        <v>1154</v>
      </c>
      <c r="O505" s="24">
        <f t="shared" si="1017"/>
        <v>4928</v>
      </c>
      <c r="P505" s="24">
        <f t="shared" ref="P505:S505" si="1018">L505*$Y$2</f>
        <v>29515.25</v>
      </c>
      <c r="Q505" s="24">
        <f t="shared" si="1018"/>
        <v>2563.75</v>
      </c>
      <c r="R505" s="24">
        <f t="shared" si="1018"/>
        <v>288.5</v>
      </c>
      <c r="S505" s="24">
        <f t="shared" si="1018"/>
        <v>1232</v>
      </c>
      <c r="T505" s="24">
        <f t="shared" si="4"/>
        <v>21</v>
      </c>
      <c r="Z505" s="25">
        <f t="shared" si="12"/>
        <v>1077.67598</v>
      </c>
    </row>
    <row r="506">
      <c r="A506" s="16" t="s">
        <v>36</v>
      </c>
      <c r="B506" s="17">
        <v>205.0</v>
      </c>
      <c r="C506" s="24">
        <f t="shared" si="610"/>
        <v>6305772.018</v>
      </c>
      <c r="D506" s="25">
        <v>0.05</v>
      </c>
      <c r="E506" s="24">
        <f t="shared" si="611"/>
        <v>568.1134084</v>
      </c>
      <c r="F506" s="25">
        <v>0.02</v>
      </c>
      <c r="G506" s="24">
        <f t="shared" si="612"/>
        <v>945865.8027</v>
      </c>
      <c r="H506" s="25">
        <v>0.05</v>
      </c>
      <c r="I506" s="24">
        <f t="shared" si="613"/>
        <v>2556.510338</v>
      </c>
      <c r="J506" s="25">
        <v>0.02</v>
      </c>
      <c r="K506" s="25">
        <v>0.0</v>
      </c>
      <c r="L506" s="24">
        <f t="shared" si="810"/>
        <v>119040</v>
      </c>
      <c r="M506" s="24">
        <f t="shared" si="1010"/>
        <v>10334</v>
      </c>
      <c r="N506" s="24">
        <f t="shared" ref="N506:O506" si="1019">IF(N505="", "", 1 + MROUND(IFERROR(MINIFS(OFFSET(N505, -1, 0, -$B506, 1), OFFSET(N505, -1, 0, -$B506, 1), "&gt;0"), N505) + (LN(1 + $Z506) ^ W$2) * W$3, 1))</f>
        <v>1194</v>
      </c>
      <c r="O506" s="24">
        <f t="shared" si="1019"/>
        <v>4968</v>
      </c>
      <c r="P506" s="24">
        <f t="shared" ref="P506:S506" si="1020">L506*$Y$2</f>
        <v>29760</v>
      </c>
      <c r="Q506" s="24">
        <f t="shared" si="1020"/>
        <v>2583.5</v>
      </c>
      <c r="R506" s="24">
        <f t="shared" si="1020"/>
        <v>298.5</v>
      </c>
      <c r="S506" s="24">
        <f t="shared" si="1020"/>
        <v>1242</v>
      </c>
      <c r="T506" s="24">
        <f t="shared" si="4"/>
        <v>22</v>
      </c>
      <c r="Z506" s="25">
        <f t="shared" si="12"/>
        <v>1115.429639</v>
      </c>
    </row>
    <row r="507">
      <c r="A507" s="16" t="s">
        <v>36</v>
      </c>
      <c r="B507" s="17">
        <v>206.0</v>
      </c>
      <c r="C507" s="24">
        <f t="shared" si="610"/>
        <v>6621060.619</v>
      </c>
      <c r="D507" s="25">
        <v>0.05</v>
      </c>
      <c r="E507" s="24">
        <f t="shared" si="611"/>
        <v>579.4756765</v>
      </c>
      <c r="F507" s="25">
        <v>0.02</v>
      </c>
      <c r="G507" s="24">
        <f t="shared" si="612"/>
        <v>993159.0928</v>
      </c>
      <c r="H507" s="25">
        <v>0.05</v>
      </c>
      <c r="I507" s="24">
        <f t="shared" si="613"/>
        <v>2607.640544</v>
      </c>
      <c r="J507" s="25">
        <v>0.02</v>
      </c>
      <c r="K507" s="25">
        <v>0.0</v>
      </c>
      <c r="L507" s="24">
        <f t="shared" si="810"/>
        <v>120022</v>
      </c>
      <c r="M507" s="24">
        <f t="shared" si="1010"/>
        <v>10413</v>
      </c>
      <c r="N507" s="24">
        <f t="shared" ref="N507:O507" si="1021">IF(N506="", "", 1 + MROUND(IFERROR(MINIFS(OFFSET(N506, -1, 0, -$B507, 1), OFFSET(N506, -1, 0, -$B507, 1), "&gt;0"), N506) + (LN(1 + $Z507) ^ W$2) * W$3, 1))</f>
        <v>1234</v>
      </c>
      <c r="O507" s="24">
        <f t="shared" si="1021"/>
        <v>5008</v>
      </c>
      <c r="P507" s="24">
        <f t="shared" ref="P507:S507" si="1022">L507*$Y$2</f>
        <v>30005.5</v>
      </c>
      <c r="Q507" s="24">
        <f t="shared" si="1022"/>
        <v>2603.25</v>
      </c>
      <c r="R507" s="24">
        <f t="shared" si="1022"/>
        <v>308.5</v>
      </c>
      <c r="S507" s="24">
        <f t="shared" si="1022"/>
        <v>1252</v>
      </c>
      <c r="T507" s="24">
        <f t="shared" si="4"/>
        <v>22</v>
      </c>
      <c r="Z507" s="25">
        <f t="shared" si="12"/>
        <v>1154.504677</v>
      </c>
    </row>
    <row r="508">
      <c r="A508" s="16" t="s">
        <v>36</v>
      </c>
      <c r="B508" s="17">
        <v>207.0</v>
      </c>
      <c r="C508" s="24">
        <f t="shared" si="610"/>
        <v>6952113.65</v>
      </c>
      <c r="D508" s="25">
        <v>0.05</v>
      </c>
      <c r="E508" s="24">
        <f t="shared" si="611"/>
        <v>591.0651901</v>
      </c>
      <c r="F508" s="25">
        <v>0.02</v>
      </c>
      <c r="G508" s="24">
        <f t="shared" si="612"/>
        <v>1042817.047</v>
      </c>
      <c r="H508" s="25">
        <v>0.05</v>
      </c>
      <c r="I508" s="24">
        <f t="shared" si="613"/>
        <v>2659.793355</v>
      </c>
      <c r="J508" s="25">
        <v>0.02</v>
      </c>
      <c r="K508" s="25">
        <v>0.0</v>
      </c>
      <c r="L508" s="24">
        <f t="shared" si="810"/>
        <v>121008</v>
      </c>
      <c r="M508" s="24">
        <f t="shared" si="1010"/>
        <v>10493</v>
      </c>
      <c r="N508" s="24">
        <f t="shared" ref="N508:O508" si="1023">IF(N507="", "", 1 + MROUND(IFERROR(MINIFS(OFFSET(N507, -1, 0, -$B508, 1), OFFSET(N507, -1, 0, -$B508, 1), "&gt;0"), N507) + (LN(1 + $Z508) ^ W$2) * W$3, 1))</f>
        <v>1274</v>
      </c>
      <c r="O508" s="24">
        <f t="shared" si="1023"/>
        <v>5048</v>
      </c>
      <c r="P508" s="24">
        <f t="shared" ref="P508:S508" si="1024">L508*$Y$2</f>
        <v>30252</v>
      </c>
      <c r="Q508" s="24">
        <f t="shared" si="1024"/>
        <v>2623.25</v>
      </c>
      <c r="R508" s="24">
        <f t="shared" si="1024"/>
        <v>318.5</v>
      </c>
      <c r="S508" s="24">
        <f t="shared" si="1024"/>
        <v>1262</v>
      </c>
      <c r="T508" s="24">
        <f t="shared" si="4"/>
        <v>22</v>
      </c>
      <c r="Z508" s="25">
        <f t="shared" si="12"/>
        <v>1194.94734</v>
      </c>
    </row>
    <row r="509">
      <c r="A509" s="16" t="s">
        <v>36</v>
      </c>
      <c r="B509" s="17">
        <v>208.0</v>
      </c>
      <c r="C509" s="24">
        <f t="shared" si="610"/>
        <v>7299719.332</v>
      </c>
      <c r="D509" s="25">
        <v>0.05</v>
      </c>
      <c r="E509" s="24">
        <f t="shared" si="611"/>
        <v>602.8864939</v>
      </c>
      <c r="F509" s="25">
        <v>0.02</v>
      </c>
      <c r="G509" s="24">
        <f t="shared" si="612"/>
        <v>1094957.9</v>
      </c>
      <c r="H509" s="25">
        <v>0.05</v>
      </c>
      <c r="I509" s="24">
        <f t="shared" si="613"/>
        <v>2712.989222</v>
      </c>
      <c r="J509" s="25">
        <v>0.02</v>
      </c>
      <c r="K509" s="25">
        <v>0.0</v>
      </c>
      <c r="L509" s="24">
        <f t="shared" si="810"/>
        <v>121997</v>
      </c>
      <c r="M509" s="24">
        <f t="shared" si="1010"/>
        <v>10573</v>
      </c>
      <c r="N509" s="24">
        <f t="shared" ref="N509:O509" si="1025">IF(N508="", "", 1 + MROUND(IFERROR(MINIFS(OFFSET(N508, -1, 0, -$B509, 1), OFFSET(N508, -1, 0, -$B509, 1), "&gt;0"), N508) + (LN(1 + $Z509) ^ W$2) * W$3, 1))</f>
        <v>1315</v>
      </c>
      <c r="O509" s="24">
        <f t="shared" si="1025"/>
        <v>5089</v>
      </c>
      <c r="P509" s="24">
        <f t="shared" ref="P509:S509" si="1026">L509*$Y$2</f>
        <v>30499.25</v>
      </c>
      <c r="Q509" s="24">
        <f t="shared" si="1026"/>
        <v>2643.25</v>
      </c>
      <c r="R509" s="24">
        <f t="shared" si="1026"/>
        <v>328.75</v>
      </c>
      <c r="S509" s="24">
        <f t="shared" si="1026"/>
        <v>1272.25</v>
      </c>
      <c r="T509" s="24">
        <f t="shared" si="4"/>
        <v>22</v>
      </c>
      <c r="Z509" s="25">
        <f t="shared" si="12"/>
        <v>1236.805497</v>
      </c>
    </row>
    <row r="510">
      <c r="A510" s="16" t="s">
        <v>36</v>
      </c>
      <c r="B510" s="17">
        <v>209.0</v>
      </c>
      <c r="C510" s="24">
        <f t="shared" si="610"/>
        <v>7664705.299</v>
      </c>
      <c r="D510" s="25">
        <v>0.05</v>
      </c>
      <c r="E510" s="24">
        <f t="shared" si="611"/>
        <v>614.9442237</v>
      </c>
      <c r="F510" s="25">
        <v>0.02</v>
      </c>
      <c r="G510" s="24">
        <f t="shared" si="612"/>
        <v>1149705.795</v>
      </c>
      <c r="H510" s="25">
        <v>0.05</v>
      </c>
      <c r="I510" s="24">
        <f t="shared" si="613"/>
        <v>2767.249007</v>
      </c>
      <c r="J510" s="25">
        <v>0.02</v>
      </c>
      <c r="K510" s="25">
        <v>0.0</v>
      </c>
      <c r="L510" s="24">
        <f t="shared" si="810"/>
        <v>122989</v>
      </c>
      <c r="M510" s="24">
        <f t="shared" si="1010"/>
        <v>10653</v>
      </c>
      <c r="N510" s="24">
        <f t="shared" ref="N510:O510" si="1027">IF(N509="", "", 1 + MROUND(IFERROR(MINIFS(OFFSET(N509, -1, 0, -$B510, 1), OFFSET(N509, -1, 0, -$B510, 1), "&gt;0"), N509) + (LN(1 + $Z510) ^ W$2) * W$3, 1))</f>
        <v>1356</v>
      </c>
      <c r="O510" s="24">
        <f t="shared" si="1027"/>
        <v>5130</v>
      </c>
      <c r="P510" s="24">
        <f t="shared" ref="P510:S510" si="1028">L510*$Y$2</f>
        <v>30747.25</v>
      </c>
      <c r="Q510" s="24">
        <f t="shared" si="1028"/>
        <v>2663.25</v>
      </c>
      <c r="R510" s="24">
        <f t="shared" si="1028"/>
        <v>339</v>
      </c>
      <c r="S510" s="24">
        <f t="shared" si="1028"/>
        <v>1282.5</v>
      </c>
      <c r="T510" s="24">
        <f t="shared" si="4"/>
        <v>22</v>
      </c>
      <c r="Z510" s="25">
        <f t="shared" si="12"/>
        <v>1280.12869</v>
      </c>
    </row>
    <row r="511">
      <c r="A511" s="16" t="s">
        <v>36</v>
      </c>
      <c r="B511" s="17">
        <v>210.0</v>
      </c>
      <c r="C511" s="24">
        <f t="shared" si="610"/>
        <v>8047940.564</v>
      </c>
      <c r="D511" s="25">
        <v>0.05</v>
      </c>
      <c r="E511" s="24">
        <f t="shared" si="611"/>
        <v>627.2431082</v>
      </c>
      <c r="F511" s="25">
        <v>0.02</v>
      </c>
      <c r="G511" s="24">
        <f t="shared" si="612"/>
        <v>1207191.085</v>
      </c>
      <c r="H511" s="25">
        <v>0.05</v>
      </c>
      <c r="I511" s="24">
        <f t="shared" si="613"/>
        <v>2822.593987</v>
      </c>
      <c r="J511" s="25">
        <v>0.02</v>
      </c>
      <c r="K511" s="25">
        <v>0.0</v>
      </c>
      <c r="L511" s="24">
        <f t="shared" si="810"/>
        <v>123985</v>
      </c>
      <c r="M511" s="24">
        <f t="shared" si="1010"/>
        <v>10734</v>
      </c>
      <c r="N511" s="24">
        <f t="shared" ref="N511:O511" si="1029">IF(N510="", "", 1 + MROUND(IFERROR(MINIFS(OFFSET(N510, -1, 0, -$B511, 1), OFFSET(N510, -1, 0, -$B511, 1), "&gt;0"), N510) + (LN(1 + $Z511) ^ W$2) * W$3, 1))</f>
        <v>1397</v>
      </c>
      <c r="O511" s="24">
        <f t="shared" si="1029"/>
        <v>5171</v>
      </c>
      <c r="P511" s="24">
        <f t="shared" ref="P511:S511" si="1030">L511*$Y$2</f>
        <v>30996.25</v>
      </c>
      <c r="Q511" s="24">
        <f t="shared" si="1030"/>
        <v>2683.5</v>
      </c>
      <c r="R511" s="24">
        <f t="shared" si="1030"/>
        <v>349.25</v>
      </c>
      <c r="S511" s="24">
        <f t="shared" si="1030"/>
        <v>1292.75</v>
      </c>
      <c r="T511" s="24">
        <f t="shared" si="4"/>
        <v>22</v>
      </c>
      <c r="Z511" s="25">
        <f t="shared" si="12"/>
        <v>1324.968194</v>
      </c>
    </row>
    <row r="512">
      <c r="A512" s="16" t="s">
        <v>36</v>
      </c>
      <c r="B512" s="17">
        <v>211.0</v>
      </c>
      <c r="C512" s="24">
        <f t="shared" si="610"/>
        <v>8450337.592</v>
      </c>
      <c r="D512" s="25">
        <v>0.05</v>
      </c>
      <c r="E512" s="24">
        <f t="shared" si="611"/>
        <v>639.7879704</v>
      </c>
      <c r="F512" s="25">
        <v>0.02</v>
      </c>
      <c r="G512" s="24">
        <f t="shared" si="612"/>
        <v>1267550.639</v>
      </c>
      <c r="H512" s="25">
        <v>0.05</v>
      </c>
      <c r="I512" s="24">
        <f t="shared" si="613"/>
        <v>2879.045867</v>
      </c>
      <c r="J512" s="25">
        <v>0.02</v>
      </c>
      <c r="K512" s="25">
        <v>0.0</v>
      </c>
      <c r="L512" s="24">
        <f t="shared" si="810"/>
        <v>124984</v>
      </c>
      <c r="M512" s="24">
        <f t="shared" si="1010"/>
        <v>10815</v>
      </c>
      <c r="N512" s="24">
        <f t="shared" ref="N512:O512" si="1031">IF(N511="", "", 1 + MROUND(IFERROR(MINIFS(OFFSET(N511, -1, 0, -$B512, 1), OFFSET(N511, -1, 0, -$B512, 1), "&gt;0"), N511) + (LN(1 + $Z512) ^ W$2) * W$3, 1))</f>
        <v>1438</v>
      </c>
      <c r="O512" s="24">
        <f t="shared" si="1031"/>
        <v>5212</v>
      </c>
      <c r="P512" s="24">
        <f t="shared" ref="P512:S512" si="1032">L512*$Y$2</f>
        <v>31246</v>
      </c>
      <c r="Q512" s="24">
        <f t="shared" si="1032"/>
        <v>2703.75</v>
      </c>
      <c r="R512" s="24">
        <f t="shared" si="1032"/>
        <v>359.5</v>
      </c>
      <c r="S512" s="24">
        <f t="shared" si="1032"/>
        <v>1303</v>
      </c>
      <c r="T512" s="24">
        <f t="shared" si="4"/>
        <v>22</v>
      </c>
      <c r="Z512" s="25">
        <f t="shared" si="12"/>
        <v>1371.377081</v>
      </c>
    </row>
    <row r="513">
      <c r="A513" s="16" t="s">
        <v>36</v>
      </c>
      <c r="B513" s="17">
        <v>212.0</v>
      </c>
      <c r="C513" s="24">
        <f t="shared" si="610"/>
        <v>8872854.471</v>
      </c>
      <c r="D513" s="25">
        <v>0.05</v>
      </c>
      <c r="E513" s="24">
        <f t="shared" si="611"/>
        <v>652.5837298</v>
      </c>
      <c r="F513" s="25">
        <v>0.02</v>
      </c>
      <c r="G513" s="24">
        <f t="shared" si="612"/>
        <v>1330928.171</v>
      </c>
      <c r="H513" s="25">
        <v>0.05</v>
      </c>
      <c r="I513" s="24">
        <f t="shared" si="613"/>
        <v>2936.626784</v>
      </c>
      <c r="J513" s="25">
        <v>0.02</v>
      </c>
      <c r="K513" s="25">
        <v>0.0</v>
      </c>
      <c r="L513" s="24">
        <f t="shared" si="810"/>
        <v>125986</v>
      </c>
      <c r="M513" s="24">
        <f t="shared" si="1010"/>
        <v>10896</v>
      </c>
      <c r="N513" s="24">
        <f t="shared" ref="N513:O513" si="1033">IF(N512="", "", 1 + MROUND(IFERROR(MINIFS(OFFSET(N512, -1, 0, -$B513, 1), OFFSET(N512, -1, 0, -$B513, 1), "&gt;0"), N512) + (LN(1 + $Z513) ^ W$2) * W$3, 1))</f>
        <v>1479</v>
      </c>
      <c r="O513" s="24">
        <f t="shared" si="1033"/>
        <v>5253</v>
      </c>
      <c r="P513" s="24">
        <f t="shared" ref="P513:S513" si="1034">L513*$Y$2</f>
        <v>31496.5</v>
      </c>
      <c r="Q513" s="24">
        <f t="shared" si="1034"/>
        <v>2724</v>
      </c>
      <c r="R513" s="24">
        <f t="shared" si="1034"/>
        <v>369.75</v>
      </c>
      <c r="S513" s="24">
        <f t="shared" si="1034"/>
        <v>1313.25</v>
      </c>
      <c r="T513" s="24">
        <f t="shared" si="4"/>
        <v>22</v>
      </c>
      <c r="Z513" s="25">
        <f t="shared" si="12"/>
        <v>1419.410278</v>
      </c>
    </row>
    <row r="514">
      <c r="A514" s="16" t="s">
        <v>36</v>
      </c>
      <c r="B514" s="17">
        <v>213.0</v>
      </c>
      <c r="C514" s="24">
        <f t="shared" si="610"/>
        <v>9316497.195</v>
      </c>
      <c r="D514" s="25">
        <v>0.05</v>
      </c>
      <c r="E514" s="24">
        <f t="shared" si="611"/>
        <v>665.6354044</v>
      </c>
      <c r="F514" s="25">
        <v>0.02</v>
      </c>
      <c r="G514" s="24">
        <f t="shared" si="612"/>
        <v>1397474.579</v>
      </c>
      <c r="H514" s="25">
        <v>0.05</v>
      </c>
      <c r="I514" s="24">
        <f t="shared" si="613"/>
        <v>2995.35932</v>
      </c>
      <c r="J514" s="25">
        <v>0.02</v>
      </c>
      <c r="K514" s="25">
        <v>0.0</v>
      </c>
      <c r="L514" s="24">
        <f t="shared" si="810"/>
        <v>126992</v>
      </c>
      <c r="M514" s="24">
        <f t="shared" si="1010"/>
        <v>10977</v>
      </c>
      <c r="N514" s="24">
        <f t="shared" ref="N514:O514" si="1035">IF(N513="", "", 1 + MROUND(IFERROR(MINIFS(OFFSET(N513, -1, 0, -$B514, 1), OFFSET(N513, -1, 0, -$B514, 1), "&gt;0"), N513) + (LN(1 + $Z514) ^ W$2) * W$3, 1))</f>
        <v>1520</v>
      </c>
      <c r="O514" s="24">
        <f t="shared" si="1035"/>
        <v>5294</v>
      </c>
      <c r="P514" s="24">
        <f t="shared" ref="P514:S514" si="1036">L514*$Y$2</f>
        <v>31748</v>
      </c>
      <c r="Q514" s="24">
        <f t="shared" si="1036"/>
        <v>2744.25</v>
      </c>
      <c r="R514" s="24">
        <f t="shared" si="1036"/>
        <v>380</v>
      </c>
      <c r="S514" s="24">
        <f t="shared" si="1036"/>
        <v>1323.5</v>
      </c>
      <c r="T514" s="24">
        <f t="shared" si="4"/>
        <v>22</v>
      </c>
      <c r="Z514" s="25">
        <f t="shared" si="12"/>
        <v>1469.124638</v>
      </c>
    </row>
    <row r="515">
      <c r="A515" s="16" t="s">
        <v>36</v>
      </c>
      <c r="B515" s="17">
        <v>214.0</v>
      </c>
      <c r="C515" s="24">
        <f t="shared" si="610"/>
        <v>9782322.055</v>
      </c>
      <c r="D515" s="25">
        <v>0.05</v>
      </c>
      <c r="E515" s="24">
        <f t="shared" si="611"/>
        <v>678.9481125</v>
      </c>
      <c r="F515" s="25">
        <v>0.02</v>
      </c>
      <c r="G515" s="24">
        <f t="shared" si="612"/>
        <v>1467348.308</v>
      </c>
      <c r="H515" s="25">
        <v>0.05</v>
      </c>
      <c r="I515" s="24">
        <f t="shared" si="613"/>
        <v>3055.266506</v>
      </c>
      <c r="J515" s="25">
        <v>0.02</v>
      </c>
      <c r="K515" s="25">
        <v>0.0</v>
      </c>
      <c r="L515" s="24">
        <f t="shared" si="810"/>
        <v>128001</v>
      </c>
      <c r="M515" s="24">
        <f t="shared" si="1010"/>
        <v>11059</v>
      </c>
      <c r="N515" s="24">
        <f t="shared" ref="N515:O515" si="1037">IF(N514="", "", 1 + MROUND(IFERROR(MINIFS(OFFSET(N514, -1, 0, -$B515, 1), OFFSET(N514, -1, 0, -$B515, 1), "&gt;0"), N514) + (LN(1 + $Z515) ^ W$2) * W$3, 1))</f>
        <v>1561</v>
      </c>
      <c r="O515" s="24">
        <f t="shared" si="1037"/>
        <v>5335</v>
      </c>
      <c r="P515" s="24">
        <f t="shared" ref="P515:S515" si="1038">L515*$Y$2</f>
        <v>32000.25</v>
      </c>
      <c r="Q515" s="24">
        <f t="shared" si="1038"/>
        <v>2764.75</v>
      </c>
      <c r="R515" s="24">
        <f t="shared" si="1038"/>
        <v>390.25</v>
      </c>
      <c r="S515" s="24">
        <f t="shared" si="1038"/>
        <v>1333.75</v>
      </c>
      <c r="T515" s="24">
        <f t="shared" si="4"/>
        <v>22</v>
      </c>
      <c r="Z515" s="25">
        <f t="shared" si="12"/>
        <v>1520.579001</v>
      </c>
    </row>
    <row r="516">
      <c r="A516" s="16" t="s">
        <v>36</v>
      </c>
      <c r="B516" s="17">
        <v>215.0</v>
      </c>
      <c r="C516" s="24">
        <f t="shared" si="610"/>
        <v>10271438.16</v>
      </c>
      <c r="D516" s="25">
        <v>0.05</v>
      </c>
      <c r="E516" s="24">
        <f t="shared" si="611"/>
        <v>692.5270747</v>
      </c>
      <c r="F516" s="25">
        <v>0.02</v>
      </c>
      <c r="G516" s="24">
        <f t="shared" si="612"/>
        <v>1540715.724</v>
      </c>
      <c r="H516" s="25">
        <v>0.05</v>
      </c>
      <c r="I516" s="24">
        <f t="shared" si="613"/>
        <v>3116.371836</v>
      </c>
      <c r="J516" s="25">
        <v>0.02</v>
      </c>
      <c r="K516" s="25">
        <v>0.0</v>
      </c>
      <c r="L516" s="24">
        <f t="shared" si="810"/>
        <v>129013</v>
      </c>
      <c r="M516" s="24">
        <f t="shared" si="1010"/>
        <v>11141</v>
      </c>
      <c r="N516" s="24">
        <f t="shared" ref="N516:O516" si="1039">IF(N515="", "", 1 + MROUND(IFERROR(MINIFS(OFFSET(N515, -1, 0, -$B516, 1), OFFSET(N515, -1, 0, -$B516, 1), "&gt;0"), N515) + (LN(1 + $Z516) ^ W$2) * W$3, 1))</f>
        <v>1602</v>
      </c>
      <c r="O516" s="24">
        <f t="shared" si="1039"/>
        <v>5376</v>
      </c>
      <c r="P516" s="24">
        <f t="shared" ref="P516:S516" si="1040">L516*$Y$2</f>
        <v>32253.25</v>
      </c>
      <c r="Q516" s="24">
        <f t="shared" si="1040"/>
        <v>2785.25</v>
      </c>
      <c r="R516" s="24">
        <f t="shared" si="1040"/>
        <v>400.5</v>
      </c>
      <c r="S516" s="24">
        <f t="shared" si="1040"/>
        <v>1344</v>
      </c>
      <c r="T516" s="24">
        <f t="shared" si="4"/>
        <v>23</v>
      </c>
      <c r="Z516" s="25">
        <f t="shared" si="12"/>
        <v>1573.834266</v>
      </c>
    </row>
    <row r="517">
      <c r="A517" s="16" t="s">
        <v>36</v>
      </c>
      <c r="B517" s="17">
        <v>216.0</v>
      </c>
      <c r="C517" s="24">
        <f t="shared" si="610"/>
        <v>10785010.07</v>
      </c>
      <c r="D517" s="25">
        <v>0.05</v>
      </c>
      <c r="E517" s="24">
        <f t="shared" si="611"/>
        <v>706.3776162</v>
      </c>
      <c r="F517" s="25">
        <v>0.02</v>
      </c>
      <c r="G517" s="24">
        <f t="shared" si="612"/>
        <v>1617751.51</v>
      </c>
      <c r="H517" s="25">
        <v>0.05</v>
      </c>
      <c r="I517" s="24">
        <f t="shared" si="613"/>
        <v>3178.699273</v>
      </c>
      <c r="J517" s="25">
        <v>0.02</v>
      </c>
      <c r="K517" s="25">
        <v>0.0</v>
      </c>
      <c r="L517" s="24">
        <f t="shared" si="810"/>
        <v>130028</v>
      </c>
      <c r="M517" s="24">
        <f t="shared" si="1010"/>
        <v>11223</v>
      </c>
      <c r="N517" s="24">
        <f t="shared" ref="N517:O517" si="1041">IF(N516="", "", 1 + MROUND(IFERROR(MINIFS(OFFSET(N516, -1, 0, -$B517, 1), OFFSET(N516, -1, 0, -$B517, 1), "&gt;0"), N516) + (LN(1 + $Z517) ^ W$2) * W$3, 1))</f>
        <v>1644</v>
      </c>
      <c r="O517" s="24">
        <f t="shared" si="1041"/>
        <v>5418</v>
      </c>
      <c r="P517" s="24">
        <f t="shared" ref="P517:S517" si="1042">L517*$Y$2</f>
        <v>32507</v>
      </c>
      <c r="Q517" s="24">
        <f t="shared" si="1042"/>
        <v>2805.75</v>
      </c>
      <c r="R517" s="24">
        <f t="shared" si="1042"/>
        <v>411</v>
      </c>
      <c r="S517" s="24">
        <f t="shared" si="1042"/>
        <v>1354.5</v>
      </c>
      <c r="T517" s="24">
        <f t="shared" si="4"/>
        <v>23</v>
      </c>
      <c r="Z517" s="25">
        <f t="shared" si="12"/>
        <v>1628.953465</v>
      </c>
    </row>
    <row r="518">
      <c r="A518" s="16" t="s">
        <v>36</v>
      </c>
      <c r="B518" s="17">
        <v>217.0</v>
      </c>
      <c r="C518" s="24">
        <f t="shared" si="610"/>
        <v>11324260.57</v>
      </c>
      <c r="D518" s="25">
        <v>0.05</v>
      </c>
      <c r="E518" s="24">
        <f t="shared" si="611"/>
        <v>720.5051685</v>
      </c>
      <c r="F518" s="25">
        <v>0.02</v>
      </c>
      <c r="G518" s="24">
        <f t="shared" si="612"/>
        <v>1698639.085</v>
      </c>
      <c r="H518" s="25">
        <v>0.05</v>
      </c>
      <c r="I518" s="24">
        <f t="shared" si="613"/>
        <v>3242.273258</v>
      </c>
      <c r="J518" s="25">
        <v>0.02</v>
      </c>
      <c r="K518" s="25">
        <v>0.0</v>
      </c>
      <c r="L518" s="24">
        <f t="shared" si="810"/>
        <v>131047</v>
      </c>
      <c r="M518" s="24">
        <f t="shared" si="1010"/>
        <v>11305</v>
      </c>
      <c r="N518" s="24">
        <f t="shared" ref="N518:O518" si="1043">IF(N517="", "", 1 + MROUND(IFERROR(MINIFS(OFFSET(N517, -1, 0, -$B518, 1), OFFSET(N517, -1, 0, -$B518, 1), "&gt;0"), N517) + (LN(1 + $Z518) ^ W$2) * W$3, 1))</f>
        <v>1686</v>
      </c>
      <c r="O518" s="24">
        <f t="shared" si="1043"/>
        <v>5460</v>
      </c>
      <c r="P518" s="24">
        <f t="shared" ref="P518:S518" si="1044">L518*$Y$2</f>
        <v>32761.75</v>
      </c>
      <c r="Q518" s="24">
        <f t="shared" si="1044"/>
        <v>2826.25</v>
      </c>
      <c r="R518" s="24">
        <f t="shared" si="1044"/>
        <v>421.5</v>
      </c>
      <c r="S518" s="24">
        <f t="shared" si="1044"/>
        <v>1365</v>
      </c>
      <c r="T518" s="24">
        <f t="shared" si="4"/>
        <v>23</v>
      </c>
      <c r="Z518" s="25">
        <f t="shared" si="12"/>
        <v>1686.001836</v>
      </c>
    </row>
    <row r="519">
      <c r="A519" s="16" t="s">
        <v>36</v>
      </c>
      <c r="B519" s="17">
        <v>218.0</v>
      </c>
      <c r="C519" s="24">
        <f t="shared" si="610"/>
        <v>11890473.6</v>
      </c>
      <c r="D519" s="25">
        <v>0.05</v>
      </c>
      <c r="E519" s="24">
        <f t="shared" si="611"/>
        <v>734.9152719</v>
      </c>
      <c r="F519" s="25">
        <v>0.02</v>
      </c>
      <c r="G519" s="24">
        <f t="shared" si="612"/>
        <v>1783571.04</v>
      </c>
      <c r="H519" s="25">
        <v>0.05</v>
      </c>
      <c r="I519" s="24">
        <f t="shared" si="613"/>
        <v>3307.118724</v>
      </c>
      <c r="J519" s="25">
        <v>0.02</v>
      </c>
      <c r="K519" s="25">
        <v>0.0</v>
      </c>
      <c r="L519" s="24">
        <f t="shared" si="810"/>
        <v>132069</v>
      </c>
      <c r="M519" s="24">
        <f t="shared" si="1010"/>
        <v>11388</v>
      </c>
      <c r="N519" s="24">
        <f t="shared" ref="N519:O519" si="1045">IF(N518="", "", 1 + MROUND(IFERROR(MINIFS(OFFSET(N518, -1, 0, -$B519, 1), OFFSET(N518, -1, 0, -$B519, 1), "&gt;0"), N518) + (LN(1 + $Z519) ^ W$2) * W$3, 1))</f>
        <v>1728</v>
      </c>
      <c r="O519" s="24">
        <f t="shared" si="1045"/>
        <v>5502</v>
      </c>
      <c r="P519" s="24">
        <f t="shared" ref="P519:S519" si="1046">L519*$Y$2</f>
        <v>33017.25</v>
      </c>
      <c r="Q519" s="24">
        <f t="shared" si="1046"/>
        <v>2847</v>
      </c>
      <c r="R519" s="24">
        <f t="shared" si="1046"/>
        <v>432</v>
      </c>
      <c r="S519" s="24">
        <f t="shared" si="1046"/>
        <v>1375.5</v>
      </c>
      <c r="T519" s="24">
        <f t="shared" si="4"/>
        <v>23</v>
      </c>
      <c r="Z519" s="25">
        <f t="shared" si="12"/>
        <v>1745.0469</v>
      </c>
    </row>
    <row r="520">
      <c r="A520" s="16" t="s">
        <v>36</v>
      </c>
      <c r="B520" s="17">
        <v>219.0</v>
      </c>
      <c r="C520" s="24">
        <f t="shared" si="610"/>
        <v>12484997.28</v>
      </c>
      <c r="D520" s="25">
        <v>0.05</v>
      </c>
      <c r="E520" s="24">
        <f t="shared" si="611"/>
        <v>749.6135774</v>
      </c>
      <c r="F520" s="25">
        <v>0.02</v>
      </c>
      <c r="G520" s="24">
        <f t="shared" si="612"/>
        <v>1872749.592</v>
      </c>
      <c r="H520" s="25">
        <v>0.05</v>
      </c>
      <c r="I520" s="24">
        <f t="shared" si="613"/>
        <v>3373.261098</v>
      </c>
      <c r="J520" s="25">
        <v>0.02</v>
      </c>
      <c r="K520" s="25">
        <v>0.0</v>
      </c>
      <c r="L520" s="24">
        <f t="shared" si="810"/>
        <v>133094</v>
      </c>
      <c r="M520" s="24">
        <f t="shared" si="1010"/>
        <v>11471</v>
      </c>
      <c r="N520" s="24">
        <f t="shared" ref="N520:O520" si="1047">IF(N519="", "", 1 + MROUND(IFERROR(MINIFS(OFFSET(N519, -1, 0, -$B520, 1), OFFSET(N519, -1, 0, -$B520, 1), "&gt;0"), N519) + (LN(1 + $Z520) ^ W$2) * W$3, 1))</f>
        <v>1770</v>
      </c>
      <c r="O520" s="24">
        <f t="shared" si="1047"/>
        <v>5544</v>
      </c>
      <c r="P520" s="24">
        <f t="shared" ref="P520:S520" si="1048">L520*$Y$2</f>
        <v>33273.5</v>
      </c>
      <c r="Q520" s="24">
        <f t="shared" si="1048"/>
        <v>2867.75</v>
      </c>
      <c r="R520" s="24">
        <f t="shared" si="1048"/>
        <v>442.5</v>
      </c>
      <c r="S520" s="24">
        <f t="shared" si="1048"/>
        <v>1386</v>
      </c>
      <c r="T520" s="24">
        <f t="shared" si="4"/>
        <v>23</v>
      </c>
      <c r="Z520" s="25">
        <f t="shared" si="12"/>
        <v>1806.158542</v>
      </c>
    </row>
    <row r="521">
      <c r="A521" s="16" t="s">
        <v>36</v>
      </c>
      <c r="B521" s="17">
        <v>220.0</v>
      </c>
      <c r="C521" s="24">
        <f t="shared" si="610"/>
        <v>13109247.14</v>
      </c>
      <c r="D521" s="25">
        <v>0.05</v>
      </c>
      <c r="E521" s="24">
        <f t="shared" si="611"/>
        <v>764.6058489</v>
      </c>
      <c r="F521" s="25">
        <v>0.02</v>
      </c>
      <c r="G521" s="24">
        <f t="shared" si="612"/>
        <v>1966387.071</v>
      </c>
      <c r="H521" s="25">
        <v>0.05</v>
      </c>
      <c r="I521" s="24">
        <f t="shared" si="613"/>
        <v>3440.72632</v>
      </c>
      <c r="J521" s="25">
        <v>0.02</v>
      </c>
      <c r="K521" s="25">
        <v>0.0</v>
      </c>
      <c r="L521" s="24">
        <f t="shared" si="810"/>
        <v>134123</v>
      </c>
      <c r="M521" s="24">
        <f t="shared" si="1010"/>
        <v>11554</v>
      </c>
      <c r="N521" s="24">
        <f t="shared" ref="N521:O521" si="1049">IF(N520="", "", 1 + MROUND(IFERROR(MINIFS(OFFSET(N520, -1, 0, -$B521, 1), OFFSET(N520, -1, 0, -$B521, 1), "&gt;0"), N520) + (LN(1 + $Z521) ^ W$2) * W$3, 1))</f>
        <v>1812</v>
      </c>
      <c r="O521" s="24">
        <f t="shared" si="1049"/>
        <v>5586</v>
      </c>
      <c r="P521" s="24">
        <f t="shared" ref="P521:S521" si="1050">L521*$Y$2</f>
        <v>33530.75</v>
      </c>
      <c r="Q521" s="24">
        <f t="shared" si="1050"/>
        <v>2888.5</v>
      </c>
      <c r="R521" s="24">
        <f t="shared" si="1050"/>
        <v>453</v>
      </c>
      <c r="S521" s="24">
        <f t="shared" si="1050"/>
        <v>1396.5</v>
      </c>
      <c r="T521" s="24">
        <f t="shared" si="4"/>
        <v>23</v>
      </c>
      <c r="Z521" s="25">
        <f t="shared" si="12"/>
        <v>1869.409091</v>
      </c>
    </row>
    <row r="522">
      <c r="A522" s="16" t="s">
        <v>36</v>
      </c>
      <c r="B522" s="17">
        <v>221.0</v>
      </c>
      <c r="C522" s="24">
        <f t="shared" si="610"/>
        <v>13764709.5</v>
      </c>
      <c r="D522" s="25">
        <v>0.05</v>
      </c>
      <c r="E522" s="24">
        <f t="shared" si="611"/>
        <v>779.8979659</v>
      </c>
      <c r="F522" s="25">
        <v>0.02</v>
      </c>
      <c r="G522" s="24">
        <f t="shared" si="612"/>
        <v>2064706.425</v>
      </c>
      <c r="H522" s="25">
        <v>0.05</v>
      </c>
      <c r="I522" s="24">
        <f t="shared" si="613"/>
        <v>3509.540846</v>
      </c>
      <c r="J522" s="25">
        <v>0.02</v>
      </c>
      <c r="K522" s="25">
        <v>0.0</v>
      </c>
      <c r="L522" s="24">
        <f t="shared" si="810"/>
        <v>135155</v>
      </c>
      <c r="M522" s="24">
        <f t="shared" si="1010"/>
        <v>11637</v>
      </c>
      <c r="N522" s="24">
        <f t="shared" ref="N522:O522" si="1051">IF(N521="", "", 1 + MROUND(IFERROR(MINIFS(OFFSET(N521, -1, 0, -$B522, 1), OFFSET(N521, -1, 0, -$B522, 1), "&gt;0"), N521) + (LN(1 + $Z522) ^ W$2) * W$3, 1))</f>
        <v>1854</v>
      </c>
      <c r="O522" s="24">
        <f t="shared" si="1051"/>
        <v>5628</v>
      </c>
      <c r="P522" s="24">
        <f t="shared" ref="P522:S522" si="1052">L522*$Y$2</f>
        <v>33788.75</v>
      </c>
      <c r="Q522" s="24">
        <f t="shared" si="1052"/>
        <v>2909.25</v>
      </c>
      <c r="R522" s="24">
        <f t="shared" si="1052"/>
        <v>463.5</v>
      </c>
      <c r="S522" s="24">
        <f t="shared" si="1052"/>
        <v>1407</v>
      </c>
      <c r="T522" s="24">
        <f t="shared" si="4"/>
        <v>23</v>
      </c>
      <c r="Z522" s="25">
        <f t="shared" si="12"/>
        <v>1934.873409</v>
      </c>
    </row>
    <row r="523">
      <c r="A523" s="16" t="s">
        <v>36</v>
      </c>
      <c r="B523" s="17">
        <v>222.0</v>
      </c>
      <c r="C523" s="24">
        <f t="shared" si="610"/>
        <v>14452944.97</v>
      </c>
      <c r="D523" s="25">
        <v>0.05</v>
      </c>
      <c r="E523" s="24">
        <f t="shared" si="611"/>
        <v>795.4959252</v>
      </c>
      <c r="F523" s="25">
        <v>0.02</v>
      </c>
      <c r="G523" s="24">
        <f t="shared" si="612"/>
        <v>2167941.746</v>
      </c>
      <c r="H523" s="25">
        <v>0.05</v>
      </c>
      <c r="I523" s="24">
        <f t="shared" si="613"/>
        <v>3579.731663</v>
      </c>
      <c r="J523" s="25">
        <v>0.02</v>
      </c>
      <c r="K523" s="25">
        <v>0.0</v>
      </c>
      <c r="L523" s="24">
        <f t="shared" si="810"/>
        <v>136190</v>
      </c>
      <c r="M523" s="24">
        <f t="shared" si="1010"/>
        <v>11721</v>
      </c>
      <c r="N523" s="24">
        <f t="shared" ref="N523:O523" si="1053">IF(N522="", "", 1 + MROUND(IFERROR(MINIFS(OFFSET(N522, -1, 0, -$B523, 1), OFFSET(N522, -1, 0, -$B523, 1), "&gt;0"), N522) + (LN(1 + $Z523) ^ W$2) * W$3, 1))</f>
        <v>1896</v>
      </c>
      <c r="O523" s="24">
        <f t="shared" si="1053"/>
        <v>5670</v>
      </c>
      <c r="P523" s="24">
        <f t="shared" ref="P523:S523" si="1054">L523*$Y$2</f>
        <v>34047.5</v>
      </c>
      <c r="Q523" s="24">
        <f t="shared" si="1054"/>
        <v>2930.25</v>
      </c>
      <c r="R523" s="24">
        <f t="shared" si="1054"/>
        <v>474</v>
      </c>
      <c r="S523" s="24">
        <f t="shared" si="1054"/>
        <v>1417.5</v>
      </c>
      <c r="T523" s="24">
        <f t="shared" si="4"/>
        <v>23</v>
      </c>
      <c r="Z523" s="25">
        <f t="shared" si="12"/>
        <v>2002.628978</v>
      </c>
    </row>
    <row r="524">
      <c r="A524" s="16" t="s">
        <v>36</v>
      </c>
      <c r="B524" s="17">
        <v>223.0</v>
      </c>
      <c r="C524" s="24">
        <f t="shared" si="610"/>
        <v>15175592.22</v>
      </c>
      <c r="D524" s="25">
        <v>0.05</v>
      </c>
      <c r="E524" s="24">
        <f t="shared" si="611"/>
        <v>811.4058437</v>
      </c>
      <c r="F524" s="25">
        <v>0.02</v>
      </c>
      <c r="G524" s="24">
        <f t="shared" si="612"/>
        <v>2276338.833</v>
      </c>
      <c r="H524" s="25">
        <v>0.05</v>
      </c>
      <c r="I524" s="24">
        <f t="shared" si="613"/>
        <v>3651.326297</v>
      </c>
      <c r="J524" s="25">
        <v>0.02</v>
      </c>
      <c r="K524" s="25">
        <v>0.0</v>
      </c>
      <c r="L524" s="24">
        <f t="shared" si="810"/>
        <v>137229</v>
      </c>
      <c r="M524" s="24">
        <f t="shared" si="1010"/>
        <v>11805</v>
      </c>
      <c r="N524" s="24">
        <f t="shared" ref="N524:O524" si="1055">IF(N523="", "", 1 + MROUND(IFERROR(MINIFS(OFFSET(N523, -1, 0, -$B524, 1), OFFSET(N523, -1, 0, -$B524, 1), "&gt;0"), N523) + (LN(1 + $Z524) ^ W$2) * W$3, 1))</f>
        <v>1939</v>
      </c>
      <c r="O524" s="24">
        <f t="shared" si="1055"/>
        <v>5713</v>
      </c>
      <c r="P524" s="24">
        <f t="shared" ref="P524:S524" si="1056">L524*$Y$2</f>
        <v>34307.25</v>
      </c>
      <c r="Q524" s="24">
        <f t="shared" si="1056"/>
        <v>2951.25</v>
      </c>
      <c r="R524" s="24">
        <f t="shared" si="1056"/>
        <v>484.75</v>
      </c>
      <c r="S524" s="24">
        <f t="shared" si="1056"/>
        <v>1428.25</v>
      </c>
      <c r="T524" s="24">
        <f t="shared" si="4"/>
        <v>23</v>
      </c>
      <c r="Z524" s="25">
        <f t="shared" si="12"/>
        <v>2072.755993</v>
      </c>
    </row>
    <row r="525">
      <c r="A525" s="16" t="s">
        <v>36</v>
      </c>
      <c r="B525" s="17">
        <v>224.0</v>
      </c>
      <c r="C525" s="24">
        <f t="shared" si="610"/>
        <v>15934371.83</v>
      </c>
      <c r="D525" s="25">
        <v>0.05</v>
      </c>
      <c r="E525" s="24">
        <f t="shared" si="611"/>
        <v>827.6339606</v>
      </c>
      <c r="F525" s="25">
        <v>0.02</v>
      </c>
      <c r="G525" s="24">
        <f t="shared" si="612"/>
        <v>2390155.775</v>
      </c>
      <c r="H525" s="25">
        <v>0.05</v>
      </c>
      <c r="I525" s="24">
        <f t="shared" si="613"/>
        <v>3724.352823</v>
      </c>
      <c r="J525" s="25">
        <v>0.02</v>
      </c>
      <c r="K525" s="25">
        <v>0.0</v>
      </c>
      <c r="L525" s="24">
        <f t="shared" si="810"/>
        <v>138271</v>
      </c>
      <c r="M525" s="24">
        <f t="shared" si="1010"/>
        <v>11889</v>
      </c>
      <c r="N525" s="24">
        <f t="shared" ref="N525:O525" si="1057">IF(N524="", "", 1 + MROUND(IFERROR(MINIFS(OFFSET(N524, -1, 0, -$B525, 1), OFFSET(N524, -1, 0, -$B525, 1), "&gt;0"), N524) + (LN(1 + $Z525) ^ W$2) * W$3, 1))</f>
        <v>1982</v>
      </c>
      <c r="O525" s="24">
        <f t="shared" si="1057"/>
        <v>5756</v>
      </c>
      <c r="P525" s="24">
        <f t="shared" ref="P525:S525" si="1058">L525*$Y$2</f>
        <v>34567.75</v>
      </c>
      <c r="Q525" s="24">
        <f t="shared" si="1058"/>
        <v>2972.25</v>
      </c>
      <c r="R525" s="24">
        <f t="shared" si="1058"/>
        <v>495.5</v>
      </c>
      <c r="S525" s="24">
        <f t="shared" si="1058"/>
        <v>1439</v>
      </c>
      <c r="T525" s="24">
        <f t="shared" si="4"/>
        <v>23</v>
      </c>
      <c r="Z525" s="25">
        <f t="shared" si="12"/>
        <v>2145.337452</v>
      </c>
    </row>
    <row r="526">
      <c r="A526" s="16" t="s">
        <v>36</v>
      </c>
      <c r="B526" s="17">
        <v>225.0</v>
      </c>
      <c r="C526" s="24">
        <f t="shared" si="610"/>
        <v>16731090.42</v>
      </c>
      <c r="D526" s="25">
        <v>0.05</v>
      </c>
      <c r="E526" s="24">
        <f t="shared" si="611"/>
        <v>844.1866398</v>
      </c>
      <c r="F526" s="25">
        <v>0.02</v>
      </c>
      <c r="G526" s="24">
        <f t="shared" si="612"/>
        <v>2509663.564</v>
      </c>
      <c r="H526" s="25">
        <v>0.05</v>
      </c>
      <c r="I526" s="24">
        <f t="shared" si="613"/>
        <v>3798.839879</v>
      </c>
      <c r="J526" s="25">
        <v>0.02</v>
      </c>
      <c r="K526" s="25">
        <v>0.0</v>
      </c>
      <c r="L526" s="24">
        <f t="shared" si="810"/>
        <v>139316</v>
      </c>
      <c r="M526" s="24">
        <f t="shared" si="1010"/>
        <v>11974</v>
      </c>
      <c r="N526" s="24">
        <f t="shared" ref="N526:O526" si="1059">IF(N525="", "", 1 + MROUND(IFERROR(MINIFS(OFFSET(N525, -1, 0, -$B526, 1), OFFSET(N525, -1, 0, -$B526, 1), "&gt;0"), N525) + (LN(1 + $Z526) ^ W$2) * W$3, 1))</f>
        <v>2025</v>
      </c>
      <c r="O526" s="24">
        <f t="shared" si="1059"/>
        <v>5799</v>
      </c>
      <c r="P526" s="24">
        <f t="shared" ref="P526:S526" si="1060">L526*$Y$2</f>
        <v>34829</v>
      </c>
      <c r="Q526" s="24">
        <f t="shared" si="1060"/>
        <v>2993.5</v>
      </c>
      <c r="R526" s="24">
        <f t="shared" si="1060"/>
        <v>506.25</v>
      </c>
      <c r="S526" s="24">
        <f t="shared" si="1060"/>
        <v>1449.75</v>
      </c>
      <c r="T526" s="24">
        <f t="shared" si="4"/>
        <v>24</v>
      </c>
      <c r="Z526" s="25">
        <f t="shared" si="12"/>
        <v>2220.459263</v>
      </c>
    </row>
    <row r="527">
      <c r="A527" s="16" t="s">
        <v>36</v>
      </c>
      <c r="B527" s="17">
        <v>226.0</v>
      </c>
      <c r="C527" s="24">
        <f t="shared" si="610"/>
        <v>17567644.95</v>
      </c>
      <c r="D527" s="25">
        <v>0.05</v>
      </c>
      <c r="E527" s="24">
        <f t="shared" si="611"/>
        <v>861.0703726</v>
      </c>
      <c r="F527" s="25">
        <v>0.02</v>
      </c>
      <c r="G527" s="24">
        <f t="shared" si="612"/>
        <v>2635146.742</v>
      </c>
      <c r="H527" s="25">
        <v>0.05</v>
      </c>
      <c r="I527" s="24">
        <f t="shared" si="613"/>
        <v>3874.816677</v>
      </c>
      <c r="J527" s="25">
        <v>0.02</v>
      </c>
      <c r="K527" s="25">
        <v>0.0</v>
      </c>
      <c r="L527" s="24">
        <f t="shared" si="810"/>
        <v>140364</v>
      </c>
      <c r="M527" s="24">
        <f t="shared" si="1010"/>
        <v>12059</v>
      </c>
      <c r="N527" s="24">
        <f t="shared" ref="N527:O527" si="1061">IF(N526="", "", 1 + MROUND(IFERROR(MINIFS(OFFSET(N526, -1, 0, -$B527, 1), OFFSET(N526, -1, 0, -$B527, 1), "&gt;0"), N526) + (LN(1 + $Z527) ^ W$2) * W$3, 1))</f>
        <v>2068</v>
      </c>
      <c r="O527" s="24">
        <f t="shared" si="1061"/>
        <v>5842</v>
      </c>
      <c r="P527" s="24">
        <f t="shared" ref="P527:S527" si="1062">L527*$Y$2</f>
        <v>35091</v>
      </c>
      <c r="Q527" s="24">
        <f t="shared" si="1062"/>
        <v>3014.75</v>
      </c>
      <c r="R527" s="24">
        <f t="shared" si="1062"/>
        <v>517</v>
      </c>
      <c r="S527" s="24">
        <f t="shared" si="1062"/>
        <v>1460.5</v>
      </c>
      <c r="T527" s="24">
        <f t="shared" si="4"/>
        <v>24</v>
      </c>
      <c r="Z527" s="25">
        <f t="shared" si="12"/>
        <v>2298.210337</v>
      </c>
    </row>
    <row r="528">
      <c r="A528" s="16" t="s">
        <v>36</v>
      </c>
      <c r="B528" s="17">
        <v>227.0</v>
      </c>
      <c r="C528" s="24">
        <f t="shared" si="610"/>
        <v>18446027.19</v>
      </c>
      <c r="D528" s="25">
        <v>0.05</v>
      </c>
      <c r="E528" s="24">
        <f t="shared" si="611"/>
        <v>878.29178</v>
      </c>
      <c r="F528" s="25">
        <v>0.02</v>
      </c>
      <c r="G528" s="24">
        <f t="shared" si="612"/>
        <v>2766904.079</v>
      </c>
      <c r="H528" s="25">
        <v>0.05</v>
      </c>
      <c r="I528" s="24">
        <f t="shared" si="613"/>
        <v>3952.31301</v>
      </c>
      <c r="J528" s="25">
        <v>0.02</v>
      </c>
      <c r="K528" s="25">
        <v>0.0</v>
      </c>
      <c r="L528" s="24">
        <f t="shared" si="810"/>
        <v>141416</v>
      </c>
      <c r="M528" s="24">
        <f t="shared" si="1010"/>
        <v>12144</v>
      </c>
      <c r="N528" s="24">
        <f t="shared" ref="N528:O528" si="1063">IF(N527="", "", 1 + MROUND(IFERROR(MINIFS(OFFSET(N527, -1, 0, -$B528, 1), OFFSET(N527, -1, 0, -$B528, 1), "&gt;0"), N527) + (LN(1 + $Z528) ^ W$2) * W$3, 1))</f>
        <v>2111</v>
      </c>
      <c r="O528" s="24">
        <f t="shared" si="1063"/>
        <v>5885</v>
      </c>
      <c r="P528" s="24">
        <f t="shared" ref="P528:S528" si="1064">L528*$Y$2</f>
        <v>35354</v>
      </c>
      <c r="Q528" s="24">
        <f t="shared" si="1064"/>
        <v>3036</v>
      </c>
      <c r="R528" s="24">
        <f t="shared" si="1064"/>
        <v>527.75</v>
      </c>
      <c r="S528" s="24">
        <f t="shared" si="1064"/>
        <v>1471.25</v>
      </c>
      <c r="T528" s="24">
        <f t="shared" si="4"/>
        <v>24</v>
      </c>
      <c r="Z528" s="25">
        <f t="shared" si="12"/>
        <v>2378.682699</v>
      </c>
    </row>
    <row r="529">
      <c r="A529" s="16" t="s">
        <v>36</v>
      </c>
      <c r="B529" s="17">
        <v>228.0</v>
      </c>
      <c r="C529" s="24">
        <f t="shared" si="610"/>
        <v>19368328.55</v>
      </c>
      <c r="D529" s="25">
        <v>0.05</v>
      </c>
      <c r="E529" s="24">
        <f t="shared" si="611"/>
        <v>895.8576156</v>
      </c>
      <c r="F529" s="25">
        <v>0.02</v>
      </c>
      <c r="G529" s="24">
        <f t="shared" si="612"/>
        <v>2905249.283</v>
      </c>
      <c r="H529" s="25">
        <v>0.05</v>
      </c>
      <c r="I529" s="24">
        <f t="shared" si="613"/>
        <v>4031.35927</v>
      </c>
      <c r="J529" s="25">
        <v>0.02</v>
      </c>
      <c r="K529" s="25">
        <v>0.0</v>
      </c>
      <c r="L529" s="24">
        <f t="shared" si="810"/>
        <v>142471</v>
      </c>
      <c r="M529" s="24">
        <f t="shared" si="1010"/>
        <v>12229</v>
      </c>
      <c r="N529" s="24">
        <f t="shared" ref="N529:O529" si="1065">IF(N528="", "", 1 + MROUND(IFERROR(MINIFS(OFFSET(N528, -1, 0, -$B529, 1), OFFSET(N528, -1, 0, -$B529, 1), "&gt;0"), N528) + (LN(1 + $Z529) ^ W$2) * W$3, 1))</f>
        <v>2154</v>
      </c>
      <c r="O529" s="24">
        <f t="shared" si="1065"/>
        <v>5928</v>
      </c>
      <c r="P529" s="24">
        <f t="shared" ref="P529:S529" si="1066">L529*$Y$2</f>
        <v>35617.75</v>
      </c>
      <c r="Q529" s="24">
        <f t="shared" si="1066"/>
        <v>3057.25</v>
      </c>
      <c r="R529" s="24">
        <f t="shared" si="1066"/>
        <v>538.5</v>
      </c>
      <c r="S529" s="24">
        <f t="shared" si="1066"/>
        <v>1482</v>
      </c>
      <c r="T529" s="24">
        <f t="shared" si="4"/>
        <v>24</v>
      </c>
      <c r="Z529" s="25">
        <f t="shared" si="12"/>
        <v>2461.971594</v>
      </c>
    </row>
    <row r="530">
      <c r="A530" s="16" t="s">
        <v>36</v>
      </c>
      <c r="B530" s="17">
        <v>229.0</v>
      </c>
      <c r="C530" s="24">
        <f t="shared" si="610"/>
        <v>20336744.98</v>
      </c>
      <c r="D530" s="25">
        <v>0.05</v>
      </c>
      <c r="E530" s="24">
        <f t="shared" si="611"/>
        <v>913.7747679</v>
      </c>
      <c r="F530" s="25">
        <v>0.02</v>
      </c>
      <c r="G530" s="24">
        <f t="shared" si="612"/>
        <v>3050511.747</v>
      </c>
      <c r="H530" s="25">
        <v>0.05</v>
      </c>
      <c r="I530" s="24">
        <f t="shared" si="613"/>
        <v>4111.986456</v>
      </c>
      <c r="J530" s="25">
        <v>0.02</v>
      </c>
      <c r="K530" s="25">
        <v>0.0</v>
      </c>
      <c r="L530" s="24">
        <f t="shared" si="810"/>
        <v>143529</v>
      </c>
      <c r="M530" s="24">
        <f t="shared" si="1010"/>
        <v>12315</v>
      </c>
      <c r="N530" s="24">
        <f t="shared" ref="N530:O530" si="1067">IF(N529="", "", 1 + MROUND(IFERROR(MINIFS(OFFSET(N529, -1, 0, -$B530, 1), OFFSET(N529, -1, 0, -$B530, 1), "&gt;0"), N529) + (LN(1 + $Z530) ^ W$2) * W$3, 1))</f>
        <v>2197</v>
      </c>
      <c r="O530" s="24">
        <f t="shared" si="1067"/>
        <v>5971</v>
      </c>
      <c r="P530" s="24">
        <f t="shared" ref="P530:S530" si="1068">L530*$Y$2</f>
        <v>35882.25</v>
      </c>
      <c r="Q530" s="24">
        <f t="shared" si="1068"/>
        <v>3078.75</v>
      </c>
      <c r="R530" s="24">
        <f t="shared" si="1068"/>
        <v>549.25</v>
      </c>
      <c r="S530" s="24">
        <f t="shared" si="1068"/>
        <v>1492.75</v>
      </c>
      <c r="T530" s="24">
        <f t="shared" si="4"/>
        <v>24</v>
      </c>
      <c r="Z530" s="25">
        <f t="shared" si="12"/>
        <v>2548.175599</v>
      </c>
    </row>
    <row r="531">
      <c r="A531" s="16" t="s">
        <v>36</v>
      </c>
      <c r="B531" s="17">
        <v>230.0</v>
      </c>
      <c r="C531" s="24">
        <f t="shared" si="610"/>
        <v>21353582.23</v>
      </c>
      <c r="D531" s="25">
        <v>0.05</v>
      </c>
      <c r="E531" s="24">
        <f t="shared" si="611"/>
        <v>932.0502633</v>
      </c>
      <c r="F531" s="25">
        <v>0.02</v>
      </c>
      <c r="G531" s="24">
        <f t="shared" si="612"/>
        <v>3203037.334</v>
      </c>
      <c r="H531" s="25">
        <v>0.05</v>
      </c>
      <c r="I531" s="24">
        <f t="shared" si="613"/>
        <v>4194.226185</v>
      </c>
      <c r="J531" s="25">
        <v>0.02</v>
      </c>
      <c r="K531" s="25">
        <v>0.0</v>
      </c>
      <c r="L531" s="24">
        <f t="shared" si="810"/>
        <v>144590</v>
      </c>
      <c r="M531" s="24">
        <f t="shared" si="1010"/>
        <v>12401</v>
      </c>
      <c r="N531" s="24">
        <f t="shared" ref="N531:O531" si="1069">IF(N530="", "", 1 + MROUND(IFERROR(MINIFS(OFFSET(N530, -1, 0, -$B531, 1), OFFSET(N530, -1, 0, -$B531, 1), "&gt;0"), N530) + (LN(1 + $Z531) ^ W$2) * W$3, 1))</f>
        <v>2240</v>
      </c>
      <c r="O531" s="24">
        <f t="shared" si="1069"/>
        <v>6014</v>
      </c>
      <c r="P531" s="24">
        <f t="shared" ref="P531:S531" si="1070">L531*$Y$2</f>
        <v>36147.5</v>
      </c>
      <c r="Q531" s="24">
        <f t="shared" si="1070"/>
        <v>3100.25</v>
      </c>
      <c r="R531" s="24">
        <f t="shared" si="1070"/>
        <v>560</v>
      </c>
      <c r="S531" s="24">
        <f t="shared" si="1070"/>
        <v>1503.5</v>
      </c>
      <c r="T531" s="24">
        <f t="shared" si="4"/>
        <v>24</v>
      </c>
      <c r="Z531" s="25">
        <f t="shared" si="12"/>
        <v>2637.396745</v>
      </c>
    </row>
    <row r="532">
      <c r="A532" s="16" t="s">
        <v>36</v>
      </c>
      <c r="B532" s="17">
        <v>231.0</v>
      </c>
      <c r="C532" s="24">
        <f t="shared" si="610"/>
        <v>22421261.34</v>
      </c>
      <c r="D532" s="25">
        <v>0.05</v>
      </c>
      <c r="E532" s="24">
        <f t="shared" si="611"/>
        <v>950.6912686</v>
      </c>
      <c r="F532" s="25">
        <v>0.02</v>
      </c>
      <c r="G532" s="24">
        <f t="shared" si="612"/>
        <v>3363189.201</v>
      </c>
      <c r="H532" s="25">
        <v>0.05</v>
      </c>
      <c r="I532" s="24">
        <f t="shared" si="613"/>
        <v>4278.110709</v>
      </c>
      <c r="J532" s="25">
        <v>0.02</v>
      </c>
      <c r="K532" s="25">
        <v>0.0</v>
      </c>
      <c r="L532" s="24">
        <f t="shared" si="810"/>
        <v>145655</v>
      </c>
      <c r="M532" s="24">
        <f t="shared" si="1010"/>
        <v>12487</v>
      </c>
      <c r="N532" s="24">
        <f t="shared" ref="N532:O532" si="1071">IF(N531="", "", 1 + MROUND(IFERROR(MINIFS(OFFSET(N531, -1, 0, -$B532, 1), OFFSET(N531, -1, 0, -$B532, 1), "&gt;0"), N531) + (LN(1 + $Z532) ^ W$2) * W$3, 1))</f>
        <v>2284</v>
      </c>
      <c r="O532" s="24">
        <f t="shared" si="1071"/>
        <v>6058</v>
      </c>
      <c r="P532" s="24">
        <f t="shared" ref="P532:S532" si="1072">L532*$Y$2</f>
        <v>36413.75</v>
      </c>
      <c r="Q532" s="24">
        <f t="shared" si="1072"/>
        <v>3121.75</v>
      </c>
      <c r="R532" s="24">
        <f t="shared" si="1072"/>
        <v>571</v>
      </c>
      <c r="S532" s="24">
        <f t="shared" si="1072"/>
        <v>1514.5</v>
      </c>
      <c r="T532" s="24">
        <f t="shared" si="4"/>
        <v>24</v>
      </c>
      <c r="Z532" s="25">
        <f t="shared" si="12"/>
        <v>2729.740632</v>
      </c>
    </row>
    <row r="533">
      <c r="A533" s="16" t="s">
        <v>36</v>
      </c>
      <c r="B533" s="17">
        <v>232.0</v>
      </c>
      <c r="C533" s="24">
        <f t="shared" si="610"/>
        <v>23542324.41</v>
      </c>
      <c r="D533" s="25">
        <v>0.05</v>
      </c>
      <c r="E533" s="24">
        <f t="shared" si="611"/>
        <v>969.7050939</v>
      </c>
      <c r="F533" s="25">
        <v>0.02</v>
      </c>
      <c r="G533" s="24">
        <f t="shared" si="612"/>
        <v>3531348.661</v>
      </c>
      <c r="H533" s="25">
        <v>0.05</v>
      </c>
      <c r="I533" s="24">
        <f t="shared" si="613"/>
        <v>4363.672923</v>
      </c>
      <c r="J533" s="25">
        <v>0.02</v>
      </c>
      <c r="K533" s="25">
        <v>0.0</v>
      </c>
      <c r="L533" s="24">
        <f t="shared" si="810"/>
        <v>146723</v>
      </c>
      <c r="M533" s="24">
        <f t="shared" si="1010"/>
        <v>12573</v>
      </c>
      <c r="N533" s="24">
        <f t="shared" ref="N533:O533" si="1073">IF(N532="", "", 1 + MROUND(IFERROR(MINIFS(OFFSET(N532, -1, 0, -$B533, 1), OFFSET(N532, -1, 0, -$B533, 1), "&gt;0"), N532) + (LN(1 + $Z533) ^ W$2) * W$3, 1))</f>
        <v>2328</v>
      </c>
      <c r="O533" s="24">
        <f t="shared" si="1073"/>
        <v>6102</v>
      </c>
      <c r="P533" s="24">
        <f t="shared" ref="P533:S533" si="1074">L533*$Y$2</f>
        <v>36680.75</v>
      </c>
      <c r="Q533" s="24">
        <f t="shared" si="1074"/>
        <v>3143.25</v>
      </c>
      <c r="R533" s="24">
        <f t="shared" si="1074"/>
        <v>582</v>
      </c>
      <c r="S533" s="24">
        <f t="shared" si="1074"/>
        <v>1525.5</v>
      </c>
      <c r="T533" s="24">
        <f t="shared" si="4"/>
        <v>24</v>
      </c>
      <c r="Z533" s="25">
        <f t="shared" si="12"/>
        <v>2825.316554</v>
      </c>
    </row>
    <row r="534">
      <c r="A534" s="16" t="s">
        <v>36</v>
      </c>
      <c r="B534" s="17">
        <v>233.0</v>
      </c>
      <c r="C534" s="24">
        <f t="shared" si="610"/>
        <v>24719440.63</v>
      </c>
      <c r="D534" s="25">
        <v>0.05</v>
      </c>
      <c r="E534" s="24">
        <f t="shared" si="611"/>
        <v>989.0991958</v>
      </c>
      <c r="F534" s="25">
        <v>0.02</v>
      </c>
      <c r="G534" s="24">
        <f t="shared" si="612"/>
        <v>3707916.094</v>
      </c>
      <c r="H534" s="25">
        <v>0.05</v>
      </c>
      <c r="I534" s="24">
        <f t="shared" si="613"/>
        <v>4450.946381</v>
      </c>
      <c r="J534" s="25">
        <v>0.02</v>
      </c>
      <c r="K534" s="25">
        <v>0.0</v>
      </c>
      <c r="L534" s="24">
        <f t="shared" si="810"/>
        <v>147794</v>
      </c>
      <c r="M534" s="24">
        <f t="shared" si="1010"/>
        <v>12660</v>
      </c>
      <c r="N534" s="24">
        <f t="shared" ref="N534:O534" si="1075">IF(N533="", "", 1 + MROUND(IFERROR(MINIFS(OFFSET(N533, -1, 0, -$B534, 1), OFFSET(N533, -1, 0, -$B534, 1), "&gt;0"), N533) + (LN(1 + $Z534) ^ W$2) * W$3, 1))</f>
        <v>2372</v>
      </c>
      <c r="O534" s="24">
        <f t="shared" si="1075"/>
        <v>6146</v>
      </c>
      <c r="P534" s="24">
        <f t="shared" ref="P534:S534" si="1076">L534*$Y$2</f>
        <v>36948.5</v>
      </c>
      <c r="Q534" s="24">
        <f t="shared" si="1076"/>
        <v>3165</v>
      </c>
      <c r="R534" s="24">
        <f t="shared" si="1076"/>
        <v>593</v>
      </c>
      <c r="S534" s="24">
        <f t="shared" si="1076"/>
        <v>1536.5</v>
      </c>
      <c r="T534" s="24">
        <f t="shared" si="4"/>
        <v>24</v>
      </c>
      <c r="Z534" s="25">
        <f t="shared" si="12"/>
        <v>2924.237633</v>
      </c>
    </row>
    <row r="535">
      <c r="A535" s="16" t="s">
        <v>36</v>
      </c>
      <c r="B535" s="17">
        <v>234.0</v>
      </c>
      <c r="C535" s="24">
        <f t="shared" si="610"/>
        <v>25955412.66</v>
      </c>
      <c r="D535" s="25">
        <v>0.05</v>
      </c>
      <c r="E535" s="24">
        <f t="shared" si="611"/>
        <v>1008.88118</v>
      </c>
      <c r="F535" s="25">
        <v>0.02</v>
      </c>
      <c r="G535" s="24">
        <f t="shared" si="612"/>
        <v>3893311.899</v>
      </c>
      <c r="H535" s="25">
        <v>0.05</v>
      </c>
      <c r="I535" s="24">
        <f t="shared" si="613"/>
        <v>4539.965309</v>
      </c>
      <c r="J535" s="25">
        <v>0.02</v>
      </c>
      <c r="K535" s="25">
        <v>0.0</v>
      </c>
      <c r="L535" s="24">
        <f t="shared" si="810"/>
        <v>148868</v>
      </c>
      <c r="M535" s="24">
        <f t="shared" si="1010"/>
        <v>12747</v>
      </c>
      <c r="N535" s="24">
        <f t="shared" ref="N535:O535" si="1077">IF(N534="", "", 1 + MROUND(IFERROR(MINIFS(OFFSET(N534, -1, 0, -$B535, 1), OFFSET(N534, -1, 0, -$B535, 1), "&gt;0"), N534) + (LN(1 + $Z535) ^ W$2) * W$3, 1))</f>
        <v>2416</v>
      </c>
      <c r="O535" s="24">
        <f t="shared" si="1077"/>
        <v>6190</v>
      </c>
      <c r="P535" s="24">
        <f t="shared" ref="P535:S535" si="1078">L535*$Y$2</f>
        <v>37217</v>
      </c>
      <c r="Q535" s="24">
        <f t="shared" si="1078"/>
        <v>3186.75</v>
      </c>
      <c r="R535" s="24">
        <f t="shared" si="1078"/>
        <v>604</v>
      </c>
      <c r="S535" s="24">
        <f t="shared" si="1078"/>
        <v>1547.5</v>
      </c>
      <c r="T535" s="24">
        <f t="shared" si="4"/>
        <v>24</v>
      </c>
      <c r="Z535" s="25">
        <f t="shared" si="12"/>
        <v>3026.62095</v>
      </c>
    </row>
    <row r="536">
      <c r="A536" s="16" t="s">
        <v>36</v>
      </c>
      <c r="B536" s="17">
        <v>235.0</v>
      </c>
      <c r="C536" s="24">
        <f t="shared" si="610"/>
        <v>27253183.29</v>
      </c>
      <c r="D536" s="25">
        <v>0.05</v>
      </c>
      <c r="E536" s="24">
        <f t="shared" si="611"/>
        <v>1029.058803</v>
      </c>
      <c r="F536" s="25">
        <v>0.02</v>
      </c>
      <c r="G536" s="24">
        <f t="shared" si="612"/>
        <v>4087977.494</v>
      </c>
      <c r="H536" s="25">
        <v>0.05</v>
      </c>
      <c r="I536" s="24">
        <f t="shared" si="613"/>
        <v>4630.764615</v>
      </c>
      <c r="J536" s="25">
        <v>0.02</v>
      </c>
      <c r="K536" s="25">
        <v>0.0</v>
      </c>
      <c r="L536" s="24">
        <f t="shared" si="810"/>
        <v>149945</v>
      </c>
      <c r="M536" s="24">
        <f t="shared" si="1010"/>
        <v>12834</v>
      </c>
      <c r="N536" s="24">
        <f t="shared" ref="N536:O536" si="1079">IF(N535="", "", 1 + MROUND(IFERROR(MINIFS(OFFSET(N535, -1, 0, -$B536, 1), OFFSET(N535, -1, 0, -$B536, 1), "&gt;0"), N535) + (LN(1 + $Z536) ^ W$2) * W$3, 1))</f>
        <v>2460</v>
      </c>
      <c r="O536" s="24">
        <f t="shared" si="1079"/>
        <v>6234</v>
      </c>
      <c r="P536" s="24">
        <f t="shared" ref="P536:S536" si="1080">L536*$Y$2</f>
        <v>37486.25</v>
      </c>
      <c r="Q536" s="24">
        <f t="shared" si="1080"/>
        <v>3208.5</v>
      </c>
      <c r="R536" s="24">
        <f t="shared" si="1080"/>
        <v>615</v>
      </c>
      <c r="S536" s="24">
        <f t="shared" si="1080"/>
        <v>1558.5</v>
      </c>
      <c r="T536" s="24">
        <f t="shared" si="4"/>
        <v>25</v>
      </c>
      <c r="Z536" s="25">
        <f t="shared" si="12"/>
        <v>3132.587683</v>
      </c>
    </row>
    <row r="537">
      <c r="A537" s="16" t="s">
        <v>36</v>
      </c>
      <c r="B537" s="17">
        <v>236.0</v>
      </c>
      <c r="C537" s="24">
        <f t="shared" si="610"/>
        <v>28615842.46</v>
      </c>
      <c r="D537" s="25">
        <v>0.05</v>
      </c>
      <c r="E537" s="24">
        <f t="shared" si="611"/>
        <v>1049.639979</v>
      </c>
      <c r="F537" s="25">
        <v>0.02</v>
      </c>
      <c r="G537" s="24">
        <f t="shared" si="612"/>
        <v>4292376.368</v>
      </c>
      <c r="H537" s="25">
        <v>0.05</v>
      </c>
      <c r="I537" s="24">
        <f t="shared" si="613"/>
        <v>4723.379907</v>
      </c>
      <c r="J537" s="25">
        <v>0.02</v>
      </c>
      <c r="K537" s="25">
        <v>0.0</v>
      </c>
      <c r="L537" s="24">
        <f t="shared" si="810"/>
        <v>151026</v>
      </c>
      <c r="M537" s="24">
        <f t="shared" si="1010"/>
        <v>12921</v>
      </c>
      <c r="N537" s="24">
        <f t="shared" ref="N537:O537" si="1081">IF(N536="", "", 1 + MROUND(IFERROR(MINIFS(OFFSET(N536, -1, 0, -$B537, 1), OFFSET(N536, -1, 0, -$B537, 1), "&gt;0"), N536) + (LN(1 + $Z537) ^ W$2) * W$3, 1))</f>
        <v>2504</v>
      </c>
      <c r="O537" s="24">
        <f t="shared" si="1081"/>
        <v>6278</v>
      </c>
      <c r="P537" s="24">
        <f t="shared" ref="P537:S537" si="1082">L537*$Y$2</f>
        <v>37756.5</v>
      </c>
      <c r="Q537" s="24">
        <f t="shared" si="1082"/>
        <v>3230.25</v>
      </c>
      <c r="R537" s="24">
        <f t="shared" si="1082"/>
        <v>626</v>
      </c>
      <c r="S537" s="24">
        <f t="shared" si="1082"/>
        <v>1569.5</v>
      </c>
      <c r="T537" s="24">
        <f t="shared" si="4"/>
        <v>25</v>
      </c>
      <c r="Z537" s="25">
        <f t="shared" si="12"/>
        <v>3242.263252</v>
      </c>
    </row>
    <row r="538">
      <c r="A538" s="16" t="s">
        <v>36</v>
      </c>
      <c r="B538" s="17">
        <v>237.0</v>
      </c>
      <c r="C538" s="24">
        <f t="shared" si="610"/>
        <v>30046634.58</v>
      </c>
      <c r="D538" s="25">
        <v>0.05</v>
      </c>
      <c r="E538" s="24">
        <f t="shared" si="611"/>
        <v>1070.632779</v>
      </c>
      <c r="F538" s="25">
        <v>0.02</v>
      </c>
      <c r="G538" s="24">
        <f t="shared" si="612"/>
        <v>4506995.187</v>
      </c>
      <c r="H538" s="25">
        <v>0.05</v>
      </c>
      <c r="I538" s="24">
        <f t="shared" si="613"/>
        <v>4817.847505</v>
      </c>
      <c r="J538" s="25">
        <v>0.02</v>
      </c>
      <c r="K538" s="25">
        <v>0.0</v>
      </c>
      <c r="L538" s="24">
        <f t="shared" si="810"/>
        <v>152110</v>
      </c>
      <c r="M538" s="24">
        <f t="shared" si="1010"/>
        <v>13009</v>
      </c>
      <c r="N538" s="24">
        <f t="shared" ref="N538:O538" si="1083">IF(N537="", "", 1 + MROUND(IFERROR(MINIFS(OFFSET(N537, -1, 0, -$B538, 1), OFFSET(N537, -1, 0, -$B538, 1), "&gt;0"), N537) + (LN(1 + $Z538) ^ W$2) * W$3, 1))</f>
        <v>2548</v>
      </c>
      <c r="O538" s="24">
        <f t="shared" si="1083"/>
        <v>6322</v>
      </c>
      <c r="P538" s="24">
        <f t="shared" ref="P538:S538" si="1084">L538*$Y$2</f>
        <v>38027.5</v>
      </c>
      <c r="Q538" s="24">
        <f t="shared" si="1084"/>
        <v>3252.25</v>
      </c>
      <c r="R538" s="24">
        <f t="shared" si="1084"/>
        <v>637</v>
      </c>
      <c r="S538" s="24">
        <f t="shared" si="1084"/>
        <v>1580.5</v>
      </c>
      <c r="T538" s="24">
        <f t="shared" si="4"/>
        <v>25</v>
      </c>
      <c r="Z538" s="25">
        <f t="shared" si="12"/>
        <v>3355.777466</v>
      </c>
    </row>
    <row r="539">
      <c r="A539" s="16" t="s">
        <v>36</v>
      </c>
      <c r="B539" s="17">
        <v>238.0</v>
      </c>
      <c r="C539" s="24">
        <f t="shared" si="610"/>
        <v>31548966.31</v>
      </c>
      <c r="D539" s="25">
        <v>0.05</v>
      </c>
      <c r="E539" s="24">
        <f t="shared" si="611"/>
        <v>1092.045435</v>
      </c>
      <c r="F539" s="25">
        <v>0.02</v>
      </c>
      <c r="G539" s="24">
        <f t="shared" si="612"/>
        <v>4732344.946</v>
      </c>
      <c r="H539" s="25">
        <v>0.05</v>
      </c>
      <c r="I539" s="24">
        <f t="shared" si="613"/>
        <v>4914.204456</v>
      </c>
      <c r="J539" s="25">
        <v>0.02</v>
      </c>
      <c r="K539" s="25">
        <v>0.0</v>
      </c>
      <c r="L539" s="24">
        <f t="shared" si="810"/>
        <v>153197</v>
      </c>
      <c r="M539" s="24">
        <f t="shared" si="1010"/>
        <v>13097</v>
      </c>
      <c r="N539" s="24">
        <f t="shared" ref="N539:O539" si="1085">IF(N538="", "", 1 + MROUND(IFERROR(MINIFS(OFFSET(N538, -1, 0, -$B539, 1), OFFSET(N538, -1, 0, -$B539, 1), "&gt;0"), N538) + (LN(1 + $Z539) ^ W$2) * W$3, 1))</f>
        <v>2592</v>
      </c>
      <c r="O539" s="24">
        <f t="shared" si="1085"/>
        <v>6366</v>
      </c>
      <c r="P539" s="24">
        <f t="shared" ref="P539:S539" si="1086">L539*$Y$2</f>
        <v>38299.25</v>
      </c>
      <c r="Q539" s="24">
        <f t="shared" si="1086"/>
        <v>3274.25</v>
      </c>
      <c r="R539" s="24">
        <f t="shared" si="1086"/>
        <v>648</v>
      </c>
      <c r="S539" s="24">
        <f t="shared" si="1086"/>
        <v>1591.5</v>
      </c>
      <c r="T539" s="24">
        <f t="shared" si="4"/>
        <v>25</v>
      </c>
      <c r="Z539" s="25">
        <f t="shared" si="12"/>
        <v>3473.264677</v>
      </c>
    </row>
    <row r="540">
      <c r="A540" s="16" t="s">
        <v>36</v>
      </c>
      <c r="B540" s="17">
        <v>239.0</v>
      </c>
      <c r="C540" s="24">
        <f t="shared" si="610"/>
        <v>33126414.62</v>
      </c>
      <c r="D540" s="25">
        <v>0.05</v>
      </c>
      <c r="E540" s="24">
        <f t="shared" si="611"/>
        <v>1113.886343</v>
      </c>
      <c r="F540" s="25">
        <v>0.02</v>
      </c>
      <c r="G540" s="24">
        <f t="shared" si="612"/>
        <v>4968962.194</v>
      </c>
      <c r="H540" s="25">
        <v>0.05</v>
      </c>
      <c r="I540" s="24">
        <f t="shared" si="613"/>
        <v>5012.488545</v>
      </c>
      <c r="J540" s="25">
        <v>0.02</v>
      </c>
      <c r="K540" s="25">
        <v>0.0</v>
      </c>
      <c r="L540" s="24">
        <f t="shared" si="810"/>
        <v>154287</v>
      </c>
      <c r="M540" s="24">
        <f t="shared" si="1010"/>
        <v>13185</v>
      </c>
      <c r="N540" s="24">
        <f t="shared" ref="N540:O540" si="1087">IF(N539="", "", 1 + MROUND(IFERROR(MINIFS(OFFSET(N539, -1, 0, -$B540, 1), OFFSET(N539, -1, 0, -$B540, 1), "&gt;0"), N539) + (LN(1 + $Z540) ^ W$2) * W$3, 1))</f>
        <v>2637</v>
      </c>
      <c r="O540" s="24">
        <f t="shared" si="1087"/>
        <v>6411</v>
      </c>
      <c r="P540" s="24">
        <f t="shared" ref="P540:S540" si="1088">L540*$Y$2</f>
        <v>38571.75</v>
      </c>
      <c r="Q540" s="24">
        <f t="shared" si="1088"/>
        <v>3296.25</v>
      </c>
      <c r="R540" s="24">
        <f t="shared" si="1088"/>
        <v>659.25</v>
      </c>
      <c r="S540" s="24">
        <f t="shared" si="1088"/>
        <v>1602.75</v>
      </c>
      <c r="T540" s="24">
        <f t="shared" si="4"/>
        <v>25</v>
      </c>
      <c r="Z540" s="25">
        <f t="shared" si="12"/>
        <v>3594.863941</v>
      </c>
    </row>
    <row r="541">
      <c r="A541" s="16" t="s">
        <v>36</v>
      </c>
      <c r="B541" s="17">
        <v>240.0</v>
      </c>
      <c r="C541" s="24">
        <f t="shared" si="610"/>
        <v>34782735.35</v>
      </c>
      <c r="D541" s="25">
        <v>0.05</v>
      </c>
      <c r="E541" s="24">
        <f t="shared" si="611"/>
        <v>1136.16407</v>
      </c>
      <c r="F541" s="25">
        <v>0.02</v>
      </c>
      <c r="G541" s="24">
        <f t="shared" si="612"/>
        <v>5217410.303</v>
      </c>
      <c r="H541" s="25">
        <v>0.05</v>
      </c>
      <c r="I541" s="24">
        <f t="shared" si="613"/>
        <v>5112.738316</v>
      </c>
      <c r="J541" s="25">
        <v>0.02</v>
      </c>
      <c r="K541" s="25">
        <v>0.0</v>
      </c>
      <c r="L541" s="24">
        <f t="shared" si="810"/>
        <v>155381</v>
      </c>
      <c r="M541" s="24">
        <f t="shared" si="1010"/>
        <v>13273</v>
      </c>
      <c r="N541" s="24">
        <f t="shared" ref="N541:O541" si="1089">IF(N540="", "", 1 + MROUND(IFERROR(MINIFS(OFFSET(N540, -1, 0, -$B541, 1), OFFSET(N540, -1, 0, -$B541, 1), "&gt;0"), N540) + (LN(1 + $Z541) ^ W$2) * W$3, 1))</f>
        <v>2682</v>
      </c>
      <c r="O541" s="24">
        <f t="shared" si="1089"/>
        <v>6456</v>
      </c>
      <c r="P541" s="24">
        <f t="shared" ref="P541:S541" si="1090">L541*$Y$2</f>
        <v>38845.25</v>
      </c>
      <c r="Q541" s="24">
        <f t="shared" si="1090"/>
        <v>3318.25</v>
      </c>
      <c r="R541" s="24">
        <f t="shared" si="1090"/>
        <v>670.5</v>
      </c>
      <c r="S541" s="24">
        <f t="shared" si="1090"/>
        <v>1614</v>
      </c>
      <c r="T541" s="24">
        <f t="shared" si="4"/>
        <v>25</v>
      </c>
      <c r="Z541" s="25">
        <f t="shared" si="12"/>
        <v>3720.719179</v>
      </c>
    </row>
    <row r="542">
      <c r="A542" s="16" t="s">
        <v>36</v>
      </c>
      <c r="B542" s="17">
        <v>241.0</v>
      </c>
      <c r="C542" s="24">
        <f t="shared" si="610"/>
        <v>36521872.12</v>
      </c>
      <c r="D542" s="25">
        <v>0.05</v>
      </c>
      <c r="E542" s="24">
        <f t="shared" si="611"/>
        <v>1158.887352</v>
      </c>
      <c r="F542" s="25">
        <v>0.02</v>
      </c>
      <c r="G542" s="24">
        <f t="shared" si="612"/>
        <v>5478280.818</v>
      </c>
      <c r="H542" s="25">
        <v>0.05</v>
      </c>
      <c r="I542" s="24">
        <f t="shared" si="613"/>
        <v>5214.993082</v>
      </c>
      <c r="J542" s="25">
        <v>0.02</v>
      </c>
      <c r="K542" s="25">
        <v>0.0</v>
      </c>
      <c r="L542" s="24">
        <f t="shared" si="810"/>
        <v>156478</v>
      </c>
      <c r="M542" s="24">
        <f t="shared" si="1010"/>
        <v>13362</v>
      </c>
      <c r="N542" s="24">
        <f t="shared" ref="N542:O542" si="1091">IF(N541="", "", 1 + MROUND(IFERROR(MINIFS(OFFSET(N541, -1, 0, -$B542, 1), OFFSET(N541, -1, 0, -$B542, 1), "&gt;0"), N541) + (LN(1 + $Z542) ^ W$2) * W$3, 1))</f>
        <v>2727</v>
      </c>
      <c r="O542" s="24">
        <f t="shared" si="1091"/>
        <v>6501</v>
      </c>
      <c r="P542" s="24">
        <f t="shared" ref="P542:S542" si="1092">L542*$Y$2</f>
        <v>39119.5</v>
      </c>
      <c r="Q542" s="24">
        <f t="shared" si="1092"/>
        <v>3340.5</v>
      </c>
      <c r="R542" s="24">
        <f t="shared" si="1092"/>
        <v>681.75</v>
      </c>
      <c r="S542" s="24">
        <f t="shared" si="1092"/>
        <v>1625.25</v>
      </c>
      <c r="T542" s="24">
        <f t="shared" si="4"/>
        <v>25</v>
      </c>
      <c r="Z542" s="25">
        <f t="shared" si="12"/>
        <v>3850.97935</v>
      </c>
    </row>
    <row r="543">
      <c r="A543" s="16" t="s">
        <v>36</v>
      </c>
      <c r="B543" s="17">
        <v>242.0</v>
      </c>
      <c r="C543" s="24">
        <f t="shared" si="610"/>
        <v>38347965.73</v>
      </c>
      <c r="D543" s="25">
        <v>0.05</v>
      </c>
      <c r="E543" s="24">
        <f t="shared" si="611"/>
        <v>1182.065099</v>
      </c>
      <c r="F543" s="25">
        <v>0.02</v>
      </c>
      <c r="G543" s="24">
        <f t="shared" si="612"/>
        <v>5752194.859</v>
      </c>
      <c r="H543" s="25">
        <v>0.05</v>
      </c>
      <c r="I543" s="24">
        <f t="shared" si="613"/>
        <v>5319.292944</v>
      </c>
      <c r="J543" s="25">
        <v>0.02</v>
      </c>
      <c r="K543" s="25">
        <v>0.0</v>
      </c>
      <c r="L543" s="24">
        <f t="shared" si="810"/>
        <v>157578</v>
      </c>
      <c r="M543" s="24">
        <f t="shared" si="1010"/>
        <v>13451</v>
      </c>
      <c r="N543" s="24">
        <f t="shared" ref="N543:O543" si="1093">IF(N542="", "", 1 + MROUND(IFERROR(MINIFS(OFFSET(N542, -1, 0, -$B543, 1), OFFSET(N542, -1, 0, -$B543, 1), "&gt;0"), N542) + (LN(1 + $Z543) ^ W$2) * W$3, 1))</f>
        <v>2772</v>
      </c>
      <c r="O543" s="24">
        <f t="shared" si="1093"/>
        <v>6546</v>
      </c>
      <c r="P543" s="24">
        <f t="shared" ref="P543:S543" si="1094">L543*$Y$2</f>
        <v>39394.5</v>
      </c>
      <c r="Q543" s="24">
        <f t="shared" si="1094"/>
        <v>3362.75</v>
      </c>
      <c r="R543" s="24">
        <f t="shared" si="1094"/>
        <v>693</v>
      </c>
      <c r="S543" s="24">
        <f t="shared" si="1094"/>
        <v>1636.5</v>
      </c>
      <c r="T543" s="24">
        <f t="shared" si="4"/>
        <v>25</v>
      </c>
      <c r="Z543" s="25">
        <f t="shared" si="12"/>
        <v>3985.798628</v>
      </c>
    </row>
    <row r="544">
      <c r="A544" s="16" t="s">
        <v>36</v>
      </c>
      <c r="B544" s="17">
        <v>243.0</v>
      </c>
      <c r="C544" s="24">
        <f t="shared" si="610"/>
        <v>40265364.02</v>
      </c>
      <c r="D544" s="25">
        <v>0.05</v>
      </c>
      <c r="E544" s="24">
        <f t="shared" si="611"/>
        <v>1205.706401</v>
      </c>
      <c r="F544" s="25">
        <v>0.02</v>
      </c>
      <c r="G544" s="24">
        <f t="shared" si="612"/>
        <v>6039804.602</v>
      </c>
      <c r="H544" s="25">
        <v>0.05</v>
      </c>
      <c r="I544" s="24">
        <f t="shared" si="613"/>
        <v>5425.678802</v>
      </c>
      <c r="J544" s="25">
        <v>0.02</v>
      </c>
      <c r="K544" s="25">
        <v>0.0</v>
      </c>
      <c r="L544" s="24">
        <f t="shared" si="810"/>
        <v>158681</v>
      </c>
      <c r="M544" s="24">
        <f t="shared" si="1010"/>
        <v>13540</v>
      </c>
      <c r="N544" s="24">
        <f t="shared" ref="N544:O544" si="1095">IF(N543="", "", 1 + MROUND(IFERROR(MINIFS(OFFSET(N543, -1, 0, -$B544, 1), OFFSET(N543, -1, 0, -$B544, 1), "&gt;0"), N543) + (LN(1 + $Z544) ^ W$2) * W$3, 1))</f>
        <v>2817</v>
      </c>
      <c r="O544" s="24">
        <f t="shared" si="1095"/>
        <v>6591</v>
      </c>
      <c r="P544" s="24">
        <f t="shared" ref="P544:S544" si="1096">L544*$Y$2</f>
        <v>39670.25</v>
      </c>
      <c r="Q544" s="24">
        <f t="shared" si="1096"/>
        <v>3385</v>
      </c>
      <c r="R544" s="24">
        <f t="shared" si="1096"/>
        <v>704.25</v>
      </c>
      <c r="S544" s="24">
        <f t="shared" si="1096"/>
        <v>1647.75</v>
      </c>
      <c r="T544" s="24">
        <f t="shared" si="4"/>
        <v>25</v>
      </c>
      <c r="Z544" s="25">
        <f t="shared" si="12"/>
        <v>4125.33658</v>
      </c>
    </row>
    <row r="545">
      <c r="A545" s="16" t="s">
        <v>36</v>
      </c>
      <c r="B545" s="17">
        <v>244.0</v>
      </c>
      <c r="C545" s="24">
        <f t="shared" si="610"/>
        <v>42278632.22</v>
      </c>
      <c r="D545" s="25">
        <v>0.05</v>
      </c>
      <c r="E545" s="24">
        <f t="shared" si="611"/>
        <v>1229.820529</v>
      </c>
      <c r="F545" s="25">
        <v>0.02</v>
      </c>
      <c r="G545" s="24">
        <f t="shared" si="612"/>
        <v>6341794.832</v>
      </c>
      <c r="H545" s="25">
        <v>0.05</v>
      </c>
      <c r="I545" s="24">
        <f t="shared" si="613"/>
        <v>5534.192378</v>
      </c>
      <c r="J545" s="25">
        <v>0.02</v>
      </c>
      <c r="K545" s="25">
        <v>0.0</v>
      </c>
      <c r="L545" s="24">
        <f t="shared" si="810"/>
        <v>159787</v>
      </c>
      <c r="M545" s="24">
        <f t="shared" si="1010"/>
        <v>13629</v>
      </c>
      <c r="N545" s="24">
        <f t="shared" ref="N545:O545" si="1097">IF(N544="", "", 1 + MROUND(IFERROR(MINIFS(OFFSET(N544, -1, 0, -$B545, 1), OFFSET(N544, -1, 0, -$B545, 1), "&gt;0"), N544) + (LN(1 + $Z545) ^ W$2) * W$3, 1))</f>
        <v>2862</v>
      </c>
      <c r="O545" s="24">
        <f t="shared" si="1097"/>
        <v>6636</v>
      </c>
      <c r="P545" s="24">
        <f t="shared" ref="P545:S545" si="1098">L545*$Y$2</f>
        <v>39946.75</v>
      </c>
      <c r="Q545" s="24">
        <f t="shared" si="1098"/>
        <v>3407.25</v>
      </c>
      <c r="R545" s="24">
        <f t="shared" si="1098"/>
        <v>715.5</v>
      </c>
      <c r="S545" s="24">
        <f t="shared" si="1098"/>
        <v>1659</v>
      </c>
      <c r="T545" s="24">
        <f t="shared" si="4"/>
        <v>25</v>
      </c>
      <c r="Z545" s="25">
        <f t="shared" si="12"/>
        <v>4269.75836</v>
      </c>
    </row>
    <row r="546">
      <c r="A546" s="16" t="s">
        <v>36</v>
      </c>
      <c r="B546" s="17">
        <v>245.0</v>
      </c>
      <c r="C546" s="24">
        <f t="shared" si="610"/>
        <v>44392563.83</v>
      </c>
      <c r="D546" s="25">
        <v>0.05</v>
      </c>
      <c r="E546" s="24">
        <f t="shared" si="611"/>
        <v>1254.416939</v>
      </c>
      <c r="F546" s="25">
        <v>0.02</v>
      </c>
      <c r="G546" s="24">
        <f t="shared" si="612"/>
        <v>6658884.574</v>
      </c>
      <c r="H546" s="25">
        <v>0.05</v>
      </c>
      <c r="I546" s="24">
        <f t="shared" si="613"/>
        <v>5644.876226</v>
      </c>
      <c r="J546" s="25">
        <v>0.02</v>
      </c>
      <c r="K546" s="25">
        <v>0.0</v>
      </c>
      <c r="L546" s="24">
        <f t="shared" si="810"/>
        <v>160896</v>
      </c>
      <c r="M546" s="24">
        <f t="shared" si="1010"/>
        <v>13719</v>
      </c>
      <c r="N546" s="24">
        <f t="shared" ref="N546:O546" si="1099">IF(N545="", "", 1 + MROUND(IFERROR(MINIFS(OFFSET(N545, -1, 0, -$B546, 1), OFFSET(N545, -1, 0, -$B546, 1), "&gt;0"), N545) + (LN(1 + $Z546) ^ W$2) * W$3, 1))</f>
        <v>2907</v>
      </c>
      <c r="O546" s="24">
        <f t="shared" si="1099"/>
        <v>6681</v>
      </c>
      <c r="P546" s="24">
        <f t="shared" ref="P546:S546" si="1100">L546*$Y$2</f>
        <v>40224</v>
      </c>
      <c r="Q546" s="24">
        <f t="shared" si="1100"/>
        <v>3429.75</v>
      </c>
      <c r="R546" s="24">
        <f t="shared" si="1100"/>
        <v>726.75</v>
      </c>
      <c r="S546" s="24">
        <f t="shared" si="1100"/>
        <v>1670.25</v>
      </c>
      <c r="T546" s="24">
        <f t="shared" si="4"/>
        <v>26</v>
      </c>
      <c r="Z546" s="25">
        <f t="shared" si="12"/>
        <v>4419.234903</v>
      </c>
    </row>
    <row r="547">
      <c r="A547" s="16" t="s">
        <v>36</v>
      </c>
      <c r="B547" s="17">
        <v>246.0</v>
      </c>
      <c r="C547" s="24">
        <f t="shared" si="610"/>
        <v>46612192.02</v>
      </c>
      <c r="D547" s="25">
        <v>0.05</v>
      </c>
      <c r="E547" s="24">
        <f t="shared" si="611"/>
        <v>1279.505278</v>
      </c>
      <c r="F547" s="25">
        <v>0.02</v>
      </c>
      <c r="G547" s="24">
        <f t="shared" si="612"/>
        <v>6991828.803</v>
      </c>
      <c r="H547" s="25">
        <v>0.05</v>
      </c>
      <c r="I547" s="24">
        <f t="shared" si="613"/>
        <v>5757.773751</v>
      </c>
      <c r="J547" s="25">
        <v>0.02</v>
      </c>
      <c r="K547" s="25">
        <v>0.0</v>
      </c>
      <c r="L547" s="24">
        <f t="shared" si="810"/>
        <v>162009</v>
      </c>
      <c r="M547" s="24">
        <f t="shared" si="1010"/>
        <v>13809</v>
      </c>
      <c r="N547" s="24">
        <f t="shared" ref="N547:O547" si="1101">IF(N546="", "", 1 + MROUND(IFERROR(MINIFS(OFFSET(N546, -1, 0, -$B547, 1), OFFSET(N546, -1, 0, -$B547, 1), "&gt;0"), N546) + (LN(1 + $Z547) ^ W$2) * W$3, 1))</f>
        <v>2952</v>
      </c>
      <c r="O547" s="24">
        <f t="shared" si="1101"/>
        <v>6726</v>
      </c>
      <c r="P547" s="24">
        <f t="shared" ref="P547:S547" si="1102">L547*$Y$2</f>
        <v>40502.25</v>
      </c>
      <c r="Q547" s="24">
        <f t="shared" si="1102"/>
        <v>3452.25</v>
      </c>
      <c r="R547" s="24">
        <f t="shared" si="1102"/>
        <v>738</v>
      </c>
      <c r="S547" s="24">
        <f t="shared" si="1102"/>
        <v>1681.5</v>
      </c>
      <c r="T547" s="24">
        <f t="shared" si="4"/>
        <v>26</v>
      </c>
      <c r="Z547" s="25">
        <f t="shared" si="12"/>
        <v>4573.943124</v>
      </c>
    </row>
    <row r="548">
      <c r="A548" s="16" t="s">
        <v>36</v>
      </c>
      <c r="B548" s="17">
        <v>247.0</v>
      </c>
      <c r="C548" s="24">
        <f t="shared" si="610"/>
        <v>48942801.62</v>
      </c>
      <c r="D548" s="25">
        <v>0.05</v>
      </c>
      <c r="E548" s="24">
        <f t="shared" si="611"/>
        <v>1305.095383</v>
      </c>
      <c r="F548" s="25">
        <v>0.02</v>
      </c>
      <c r="G548" s="24">
        <f t="shared" si="612"/>
        <v>7341420.243</v>
      </c>
      <c r="H548" s="25">
        <v>0.05</v>
      </c>
      <c r="I548" s="24">
        <f t="shared" si="613"/>
        <v>5872.929226</v>
      </c>
      <c r="J548" s="25">
        <v>0.02</v>
      </c>
      <c r="K548" s="25">
        <v>0.0</v>
      </c>
      <c r="L548" s="24">
        <f t="shared" si="810"/>
        <v>163125</v>
      </c>
      <c r="M548" s="24">
        <f t="shared" si="1010"/>
        <v>13899</v>
      </c>
      <c r="N548" s="24">
        <f t="shared" ref="N548:O548" si="1103">IF(N547="", "", 1 + MROUND(IFERROR(MINIFS(OFFSET(N547, -1, 0, -$B548, 1), OFFSET(N547, -1, 0, -$B548, 1), "&gt;0"), N547) + (LN(1 + $Z548) ^ W$2) * W$3, 1))</f>
        <v>2998</v>
      </c>
      <c r="O548" s="24">
        <f t="shared" si="1103"/>
        <v>6772</v>
      </c>
      <c r="P548" s="24">
        <f t="shared" ref="P548:S548" si="1104">L548*$Y$2</f>
        <v>40781.25</v>
      </c>
      <c r="Q548" s="24">
        <f t="shared" si="1104"/>
        <v>3474.75</v>
      </c>
      <c r="R548" s="24">
        <f t="shared" si="1104"/>
        <v>749.5</v>
      </c>
      <c r="S548" s="24">
        <f t="shared" si="1104"/>
        <v>1693</v>
      </c>
      <c r="T548" s="24">
        <f t="shared" si="4"/>
        <v>26</v>
      </c>
      <c r="Z548" s="25">
        <f t="shared" si="12"/>
        <v>4734.066133</v>
      </c>
    </row>
    <row r="549">
      <c r="A549" s="16" t="s">
        <v>36</v>
      </c>
      <c r="B549" s="17">
        <v>248.0</v>
      </c>
      <c r="C549" s="24">
        <f t="shared" si="610"/>
        <v>51389941.7</v>
      </c>
      <c r="D549" s="25">
        <v>0.05</v>
      </c>
      <c r="E549" s="24">
        <f t="shared" si="611"/>
        <v>1331.197291</v>
      </c>
      <c r="F549" s="25">
        <v>0.02</v>
      </c>
      <c r="G549" s="24">
        <f t="shared" si="612"/>
        <v>7708491.255</v>
      </c>
      <c r="H549" s="25">
        <v>0.05</v>
      </c>
      <c r="I549" s="24">
        <f t="shared" si="613"/>
        <v>5990.38781</v>
      </c>
      <c r="J549" s="25">
        <v>0.02</v>
      </c>
      <c r="K549" s="25">
        <v>0.0</v>
      </c>
      <c r="L549" s="24">
        <f t="shared" si="810"/>
        <v>164244</v>
      </c>
      <c r="M549" s="24">
        <f t="shared" si="1010"/>
        <v>13989</v>
      </c>
      <c r="N549" s="24">
        <f t="shared" ref="N549:O549" si="1105">IF(N548="", "", 1 + MROUND(IFERROR(MINIFS(OFFSET(N548, -1, 0, -$B549, 1), OFFSET(N548, -1, 0, -$B549, 1), "&gt;0"), N548) + (LN(1 + $Z549) ^ W$2) * W$3, 1))</f>
        <v>3044</v>
      </c>
      <c r="O549" s="24">
        <f t="shared" si="1105"/>
        <v>6818</v>
      </c>
      <c r="P549" s="24">
        <f t="shared" ref="P549:S549" si="1106">L549*$Y$2</f>
        <v>41061</v>
      </c>
      <c r="Q549" s="24">
        <f t="shared" si="1106"/>
        <v>3497.25</v>
      </c>
      <c r="R549" s="24">
        <f t="shared" si="1106"/>
        <v>761</v>
      </c>
      <c r="S549" s="24">
        <f t="shared" si="1106"/>
        <v>1704.5</v>
      </c>
      <c r="T549" s="24">
        <f t="shared" si="4"/>
        <v>26</v>
      </c>
      <c r="Z549" s="25">
        <f t="shared" si="12"/>
        <v>4899.793448</v>
      </c>
    </row>
    <row r="550">
      <c r="A550" s="16" t="s">
        <v>36</v>
      </c>
      <c r="B550" s="17">
        <v>249.0</v>
      </c>
      <c r="C550" s="24">
        <f t="shared" si="610"/>
        <v>53959438.79</v>
      </c>
      <c r="D550" s="25">
        <v>0.05</v>
      </c>
      <c r="E550" s="24">
        <f t="shared" si="611"/>
        <v>1357.821237</v>
      </c>
      <c r="F550" s="25">
        <v>0.02</v>
      </c>
      <c r="G550" s="24">
        <f t="shared" si="612"/>
        <v>8093915.818</v>
      </c>
      <c r="H550" s="25">
        <v>0.05</v>
      </c>
      <c r="I550" s="24">
        <f t="shared" si="613"/>
        <v>6110.195566</v>
      </c>
      <c r="J550" s="25">
        <v>0.02</v>
      </c>
      <c r="K550" s="25">
        <v>0.0</v>
      </c>
      <c r="L550" s="24">
        <f t="shared" si="810"/>
        <v>165366</v>
      </c>
      <c r="M550" s="24">
        <f t="shared" si="1010"/>
        <v>14080</v>
      </c>
      <c r="N550" s="24">
        <f t="shared" ref="N550:O550" si="1107">IF(N549="", "", 1 + MROUND(IFERROR(MINIFS(OFFSET(N549, -1, 0, -$B550, 1), OFFSET(N549, -1, 0, -$B550, 1), "&gt;0"), N549) + (LN(1 + $Z550) ^ W$2) * W$3, 1))</f>
        <v>3090</v>
      </c>
      <c r="O550" s="24">
        <f t="shared" si="1107"/>
        <v>6864</v>
      </c>
      <c r="P550" s="24">
        <f t="shared" ref="P550:S550" si="1108">L550*$Y$2</f>
        <v>41341.5</v>
      </c>
      <c r="Q550" s="24">
        <f t="shared" si="1108"/>
        <v>3520</v>
      </c>
      <c r="R550" s="24">
        <f t="shared" si="1108"/>
        <v>772.5</v>
      </c>
      <c r="S550" s="24">
        <f t="shared" si="1108"/>
        <v>1716</v>
      </c>
      <c r="T550" s="24">
        <f t="shared" si="4"/>
        <v>26</v>
      </c>
      <c r="Z550" s="25">
        <f t="shared" si="12"/>
        <v>5071.321219</v>
      </c>
    </row>
    <row r="551">
      <c r="A551" s="16" t="s">
        <v>36</v>
      </c>
      <c r="B551" s="17">
        <v>250.0</v>
      </c>
      <c r="C551" s="24">
        <f t="shared" si="610"/>
        <v>56657410.72</v>
      </c>
      <c r="D551" s="25">
        <v>0.05</v>
      </c>
      <c r="E551" s="24">
        <f t="shared" si="611"/>
        <v>1384.977662</v>
      </c>
      <c r="F551" s="25">
        <v>0.02</v>
      </c>
      <c r="G551" s="24">
        <f t="shared" si="612"/>
        <v>8498611.609</v>
      </c>
      <c r="H551" s="25">
        <v>0.05</v>
      </c>
      <c r="I551" s="24">
        <f t="shared" si="613"/>
        <v>6232.399478</v>
      </c>
      <c r="J551" s="25">
        <v>0.02</v>
      </c>
      <c r="K551" s="25">
        <v>0.0</v>
      </c>
      <c r="L551" s="24">
        <f t="shared" si="810"/>
        <v>166491</v>
      </c>
      <c r="M551" s="24">
        <f t="shared" si="1010"/>
        <v>14171</v>
      </c>
      <c r="N551" s="24">
        <f t="shared" ref="N551:O551" si="1109">IF(N550="", "", 1 + MROUND(IFERROR(MINIFS(OFFSET(N550, -1, 0, -$B551, 1), OFFSET(N550, -1, 0, -$B551, 1), "&gt;0"), N550) + (LN(1 + $Z551) ^ W$2) * W$3, 1))</f>
        <v>3136</v>
      </c>
      <c r="O551" s="24">
        <f t="shared" si="1109"/>
        <v>6910</v>
      </c>
      <c r="P551" s="24">
        <f t="shared" ref="P551:S551" si="1110">L551*$Y$2</f>
        <v>41622.75</v>
      </c>
      <c r="Q551" s="24">
        <f t="shared" si="1110"/>
        <v>3542.75</v>
      </c>
      <c r="R551" s="24">
        <f t="shared" si="1110"/>
        <v>784</v>
      </c>
      <c r="S551" s="24">
        <f t="shared" si="1110"/>
        <v>1727.5</v>
      </c>
      <c r="T551" s="24">
        <f t="shared" si="4"/>
        <v>26</v>
      </c>
      <c r="Z551" s="25">
        <f t="shared" si="12"/>
        <v>5248.852461</v>
      </c>
    </row>
    <row r="552">
      <c r="A552" s="16" t="s">
        <v>36</v>
      </c>
      <c r="B552" s="17">
        <v>251.0</v>
      </c>
      <c r="C552" s="24">
        <f t="shared" si="610"/>
        <v>59490281.26</v>
      </c>
      <c r="D552" s="25">
        <v>0.05</v>
      </c>
      <c r="E552" s="24">
        <f t="shared" si="611"/>
        <v>1412.677215</v>
      </c>
      <c r="F552" s="25">
        <v>0.02</v>
      </c>
      <c r="G552" s="24">
        <f t="shared" si="612"/>
        <v>8923542.189</v>
      </c>
      <c r="H552" s="25">
        <v>0.05</v>
      </c>
      <c r="I552" s="24">
        <f t="shared" si="613"/>
        <v>6357.047467</v>
      </c>
      <c r="J552" s="25">
        <v>0.02</v>
      </c>
      <c r="K552" s="25">
        <v>0.0</v>
      </c>
      <c r="L552" s="24">
        <f t="shared" si="810"/>
        <v>167619</v>
      </c>
      <c r="M552" s="24">
        <f t="shared" si="1010"/>
        <v>14262</v>
      </c>
      <c r="N552" s="24">
        <f t="shared" ref="N552:O552" si="1111">IF(N551="", "", 1 + MROUND(IFERROR(MINIFS(OFFSET(N551, -1, 0, -$B552, 1), OFFSET(N551, -1, 0, -$B552, 1), "&gt;0"), N551) + (LN(1 + $Z552) ^ W$2) * W$3, 1))</f>
        <v>3182</v>
      </c>
      <c r="O552" s="24">
        <f t="shared" si="1111"/>
        <v>6956</v>
      </c>
      <c r="P552" s="24">
        <f t="shared" ref="P552:S552" si="1112">L552*$Y$2</f>
        <v>41904.75</v>
      </c>
      <c r="Q552" s="24">
        <f t="shared" si="1112"/>
        <v>3565.5</v>
      </c>
      <c r="R552" s="24">
        <f t="shared" si="1112"/>
        <v>795.5</v>
      </c>
      <c r="S552" s="24">
        <f t="shared" si="1112"/>
        <v>1739</v>
      </c>
      <c r="T552" s="24">
        <f t="shared" si="4"/>
        <v>26</v>
      </c>
      <c r="Z552" s="25">
        <f t="shared" si="12"/>
        <v>5432.597298</v>
      </c>
    </row>
    <row r="553">
      <c r="A553" s="16" t="s">
        <v>36</v>
      </c>
      <c r="B553" s="17">
        <v>252.0</v>
      </c>
      <c r="C553" s="24">
        <f t="shared" si="610"/>
        <v>62464795.32</v>
      </c>
      <c r="D553" s="25">
        <v>0.05</v>
      </c>
      <c r="E553" s="24">
        <f t="shared" si="611"/>
        <v>1440.930759</v>
      </c>
      <c r="F553" s="25">
        <v>0.02</v>
      </c>
      <c r="G553" s="24">
        <f t="shared" si="612"/>
        <v>9369719.299</v>
      </c>
      <c r="H553" s="25">
        <v>0.05</v>
      </c>
      <c r="I553" s="24">
        <f t="shared" si="613"/>
        <v>6484.188416</v>
      </c>
      <c r="J553" s="25">
        <v>0.02</v>
      </c>
      <c r="K553" s="25">
        <v>0.0</v>
      </c>
      <c r="L553" s="24">
        <f t="shared" si="810"/>
        <v>168751</v>
      </c>
      <c r="M553" s="24">
        <f t="shared" si="1010"/>
        <v>14353</v>
      </c>
      <c r="N553" s="24">
        <f t="shared" ref="N553:O553" si="1113">IF(N552="", "", 1 + MROUND(IFERROR(MINIFS(OFFSET(N552, -1, 0, -$B553, 1), OFFSET(N552, -1, 0, -$B553, 1), "&gt;0"), N552) + (LN(1 + $Z553) ^ W$2) * W$3, 1))</f>
        <v>3228</v>
      </c>
      <c r="O553" s="24">
        <f t="shared" si="1113"/>
        <v>7002</v>
      </c>
      <c r="P553" s="24">
        <f t="shared" ref="P553:S553" si="1114">L553*$Y$2</f>
        <v>42187.75</v>
      </c>
      <c r="Q553" s="24">
        <f t="shared" si="1114"/>
        <v>3588.25</v>
      </c>
      <c r="R553" s="24">
        <f t="shared" si="1114"/>
        <v>807</v>
      </c>
      <c r="S553" s="24">
        <f t="shared" si="1114"/>
        <v>1750.5</v>
      </c>
      <c r="T553" s="24">
        <f t="shared" si="4"/>
        <v>26</v>
      </c>
      <c r="Z553" s="25">
        <f t="shared" si="12"/>
        <v>5622.773203</v>
      </c>
    </row>
    <row r="554">
      <c r="A554" s="16" t="s">
        <v>36</v>
      </c>
      <c r="B554" s="17">
        <v>253.0</v>
      </c>
      <c r="C554" s="24">
        <f t="shared" si="610"/>
        <v>65588035.09</v>
      </c>
      <c r="D554" s="25">
        <v>0.05</v>
      </c>
      <c r="E554" s="24">
        <f t="shared" si="611"/>
        <v>1469.749374</v>
      </c>
      <c r="F554" s="25">
        <v>0.02</v>
      </c>
      <c r="G554" s="24">
        <f t="shared" si="612"/>
        <v>9838205.263</v>
      </c>
      <c r="H554" s="25">
        <v>0.05</v>
      </c>
      <c r="I554" s="24">
        <f t="shared" si="613"/>
        <v>6613.872185</v>
      </c>
      <c r="J554" s="25">
        <v>0.02</v>
      </c>
      <c r="K554" s="25">
        <v>0.0</v>
      </c>
      <c r="L554" s="24">
        <f t="shared" si="810"/>
        <v>169886</v>
      </c>
      <c r="M554" s="24">
        <f t="shared" si="1010"/>
        <v>14445</v>
      </c>
      <c r="N554" s="24">
        <f t="shared" ref="N554:O554" si="1115">IF(N553="", "", 1 + MROUND(IFERROR(MINIFS(OFFSET(N553, -1, 0, -$B554, 1), OFFSET(N553, -1, 0, -$B554, 1), "&gt;0"), N553) + (LN(1 + $Z554) ^ W$2) * W$3, 1))</f>
        <v>3274</v>
      </c>
      <c r="O554" s="24">
        <f t="shared" si="1115"/>
        <v>7048</v>
      </c>
      <c r="P554" s="24">
        <f t="shared" ref="P554:S554" si="1116">L554*$Y$2</f>
        <v>42471.5</v>
      </c>
      <c r="Q554" s="24">
        <f t="shared" si="1116"/>
        <v>3611.25</v>
      </c>
      <c r="R554" s="24">
        <f t="shared" si="1116"/>
        <v>818.5</v>
      </c>
      <c r="S554" s="24">
        <f t="shared" si="1116"/>
        <v>1762</v>
      </c>
      <c r="T554" s="24">
        <f t="shared" si="4"/>
        <v>26</v>
      </c>
      <c r="Z554" s="25">
        <f t="shared" si="12"/>
        <v>5819.605265</v>
      </c>
    </row>
    <row r="555">
      <c r="A555" s="16" t="s">
        <v>36</v>
      </c>
      <c r="B555" s="17">
        <v>254.0</v>
      </c>
      <c r="C555" s="24">
        <f t="shared" si="610"/>
        <v>68867436.84</v>
      </c>
      <c r="D555" s="25">
        <v>0.05</v>
      </c>
      <c r="E555" s="24">
        <f t="shared" si="611"/>
        <v>1499.144362</v>
      </c>
      <c r="F555" s="25">
        <v>0.02</v>
      </c>
      <c r="G555" s="24">
        <f t="shared" si="612"/>
        <v>10330115.53</v>
      </c>
      <c r="H555" s="25">
        <v>0.05</v>
      </c>
      <c r="I555" s="24">
        <f t="shared" si="613"/>
        <v>6746.149628</v>
      </c>
      <c r="J555" s="25">
        <v>0.02</v>
      </c>
      <c r="K555" s="25">
        <v>0.0</v>
      </c>
      <c r="L555" s="24">
        <f t="shared" si="810"/>
        <v>171024</v>
      </c>
      <c r="M555" s="24">
        <f t="shared" si="1010"/>
        <v>14537</v>
      </c>
      <c r="N555" s="24">
        <f t="shared" ref="N555:O555" si="1117">IF(N554="", "", 1 + MROUND(IFERROR(MINIFS(OFFSET(N554, -1, 0, -$B555, 1), OFFSET(N554, -1, 0, -$B555, 1), "&gt;0"), N554) + (LN(1 + $Z555) ^ W$2) * W$3, 1))</f>
        <v>3320</v>
      </c>
      <c r="O555" s="24">
        <f t="shared" si="1117"/>
        <v>7094</v>
      </c>
      <c r="P555" s="24">
        <f t="shared" ref="P555:S555" si="1118">L555*$Y$2</f>
        <v>42756</v>
      </c>
      <c r="Q555" s="24">
        <f t="shared" si="1118"/>
        <v>3634.25</v>
      </c>
      <c r="R555" s="24">
        <f t="shared" si="1118"/>
        <v>830</v>
      </c>
      <c r="S555" s="24">
        <f t="shared" si="1118"/>
        <v>1773.5</v>
      </c>
      <c r="T555" s="24">
        <f t="shared" si="4"/>
        <v>26</v>
      </c>
      <c r="Z555" s="25">
        <f t="shared" si="12"/>
        <v>6023.326449</v>
      </c>
    </row>
    <row r="556">
      <c r="A556" s="16" t="s">
        <v>36</v>
      </c>
      <c r="B556" s="17">
        <v>255.0</v>
      </c>
      <c r="C556" s="24">
        <f t="shared" si="610"/>
        <v>72310808.69</v>
      </c>
      <c r="D556" s="25">
        <v>0.05</v>
      </c>
      <c r="E556" s="24">
        <f t="shared" si="611"/>
        <v>1529.127249</v>
      </c>
      <c r="F556" s="25">
        <v>0.02</v>
      </c>
      <c r="G556" s="24">
        <f t="shared" si="612"/>
        <v>10846621.3</v>
      </c>
      <c r="H556" s="25">
        <v>0.05</v>
      </c>
      <c r="I556" s="24">
        <f t="shared" si="613"/>
        <v>6881.072621</v>
      </c>
      <c r="J556" s="25">
        <v>0.02</v>
      </c>
      <c r="K556" s="25">
        <v>0.0</v>
      </c>
      <c r="L556" s="24">
        <f t="shared" si="810"/>
        <v>172165</v>
      </c>
      <c r="M556" s="24">
        <f t="shared" si="1010"/>
        <v>14629</v>
      </c>
      <c r="N556" s="24">
        <f t="shared" ref="N556:O556" si="1119">IF(N555="", "", 1 + MROUND(IFERROR(MINIFS(OFFSET(N555, -1, 0, -$B556, 1), OFFSET(N555, -1, 0, -$B556, 1), "&gt;0"), N555) + (LN(1 + $Z556) ^ W$2) * W$3, 1))</f>
        <v>3367</v>
      </c>
      <c r="O556" s="24">
        <f t="shared" si="1119"/>
        <v>7141</v>
      </c>
      <c r="P556" s="24">
        <f t="shared" ref="P556:S556" si="1120">L556*$Y$2</f>
        <v>43041.25</v>
      </c>
      <c r="Q556" s="24">
        <f t="shared" si="1120"/>
        <v>3657.25</v>
      </c>
      <c r="R556" s="24">
        <f t="shared" si="1120"/>
        <v>841.75</v>
      </c>
      <c r="S556" s="24">
        <f t="shared" si="1120"/>
        <v>1785.25</v>
      </c>
      <c r="T556" s="24">
        <f t="shared" si="4"/>
        <v>27</v>
      </c>
      <c r="Z556" s="25">
        <f t="shared" si="12"/>
        <v>6234.177875</v>
      </c>
    </row>
    <row r="557">
      <c r="A557" s="16" t="s">
        <v>36</v>
      </c>
      <c r="B557" s="17">
        <v>256.0</v>
      </c>
      <c r="C557" s="24">
        <f t="shared" si="610"/>
        <v>75926349.12</v>
      </c>
      <c r="D557" s="25">
        <v>0.05</v>
      </c>
      <c r="E557" s="24">
        <f t="shared" si="611"/>
        <v>1559.709794</v>
      </c>
      <c r="F557" s="25">
        <v>0.02</v>
      </c>
      <c r="G557" s="24">
        <f t="shared" si="612"/>
        <v>11388952.37</v>
      </c>
      <c r="H557" s="25">
        <v>0.05</v>
      </c>
      <c r="I557" s="24">
        <f t="shared" si="613"/>
        <v>7018.694073</v>
      </c>
      <c r="J557" s="25">
        <v>0.02</v>
      </c>
      <c r="K557" s="25">
        <v>0.0</v>
      </c>
      <c r="L557" s="24">
        <f t="shared" si="810"/>
        <v>173309</v>
      </c>
      <c r="M557" s="24">
        <f t="shared" si="1010"/>
        <v>14721</v>
      </c>
      <c r="N557" s="24">
        <f t="shared" ref="N557:O557" si="1121">IF(N556="", "", 1 + MROUND(IFERROR(MINIFS(OFFSET(N556, -1, 0, -$B557, 1), OFFSET(N556, -1, 0, -$B557, 1), "&gt;0"), N556) + (LN(1 + $Z557) ^ W$2) * W$3, 1))</f>
        <v>3414</v>
      </c>
      <c r="O557" s="24">
        <f t="shared" si="1121"/>
        <v>7188</v>
      </c>
      <c r="P557" s="24">
        <f t="shared" ref="P557:S557" si="1122">L557*$Y$2</f>
        <v>43327.25</v>
      </c>
      <c r="Q557" s="24">
        <f t="shared" si="1122"/>
        <v>3680.25</v>
      </c>
      <c r="R557" s="24">
        <f t="shared" si="1122"/>
        <v>853.5</v>
      </c>
      <c r="S557" s="24">
        <f t="shared" si="1122"/>
        <v>1797</v>
      </c>
      <c r="T557" s="24">
        <f t="shared" si="4"/>
        <v>27</v>
      </c>
      <c r="Z557" s="25">
        <f t="shared" si="12"/>
        <v>6452.409101</v>
      </c>
    </row>
    <row r="558">
      <c r="A558" s="16" t="s">
        <v>36</v>
      </c>
      <c r="B558" s="17">
        <v>257.0</v>
      </c>
      <c r="C558" s="24">
        <f t="shared" si="610"/>
        <v>79722666.58</v>
      </c>
      <c r="D558" s="25">
        <v>0.05</v>
      </c>
      <c r="E558" s="24">
        <f t="shared" si="611"/>
        <v>1590.90399</v>
      </c>
      <c r="F558" s="25">
        <v>0.02</v>
      </c>
      <c r="G558" s="24">
        <f t="shared" si="612"/>
        <v>11958399.99</v>
      </c>
      <c r="H558" s="25">
        <v>0.05</v>
      </c>
      <c r="I558" s="24">
        <f t="shared" si="613"/>
        <v>7159.067955</v>
      </c>
      <c r="J558" s="25">
        <v>0.02</v>
      </c>
      <c r="K558" s="25">
        <v>0.0</v>
      </c>
      <c r="L558" s="24">
        <f t="shared" si="810"/>
        <v>174456</v>
      </c>
      <c r="M558" s="24">
        <f t="shared" si="1010"/>
        <v>14814</v>
      </c>
      <c r="N558" s="24">
        <f t="shared" ref="N558:O558" si="1123">IF(N557="", "", 1 + MROUND(IFERROR(MINIFS(OFFSET(N557, -1, 0, -$B558, 1), OFFSET(N557, -1, 0, -$B558, 1), "&gt;0"), N557) + (LN(1 + $Z558) ^ W$2) * W$3, 1))</f>
        <v>3461</v>
      </c>
      <c r="O558" s="24">
        <f t="shared" si="1123"/>
        <v>7235</v>
      </c>
      <c r="P558" s="24">
        <f t="shared" ref="P558:S558" si="1124">L558*$Y$2</f>
        <v>43614</v>
      </c>
      <c r="Q558" s="24">
        <f t="shared" si="1124"/>
        <v>3703.5</v>
      </c>
      <c r="R558" s="24">
        <f t="shared" si="1124"/>
        <v>865.25</v>
      </c>
      <c r="S558" s="24">
        <f t="shared" si="1124"/>
        <v>1808.75</v>
      </c>
      <c r="T558" s="24">
        <f t="shared" si="4"/>
        <v>27</v>
      </c>
      <c r="Z558" s="25">
        <f t="shared" si="12"/>
        <v>6678.278419</v>
      </c>
    </row>
    <row r="559">
      <c r="A559" s="16" t="s">
        <v>36</v>
      </c>
      <c r="B559" s="17">
        <v>258.0</v>
      </c>
      <c r="C559" s="24">
        <f t="shared" si="610"/>
        <v>83708799.91</v>
      </c>
      <c r="D559" s="25">
        <v>0.05</v>
      </c>
      <c r="E559" s="24">
        <f t="shared" si="611"/>
        <v>1622.72207</v>
      </c>
      <c r="F559" s="25">
        <v>0.02</v>
      </c>
      <c r="G559" s="24">
        <f t="shared" si="612"/>
        <v>12556319.99</v>
      </c>
      <c r="H559" s="25">
        <v>0.05</v>
      </c>
      <c r="I559" s="24">
        <f t="shared" si="613"/>
        <v>7302.249314</v>
      </c>
      <c r="J559" s="25">
        <v>0.02</v>
      </c>
      <c r="K559" s="25">
        <v>0.0</v>
      </c>
      <c r="L559" s="24">
        <f t="shared" si="810"/>
        <v>175606</v>
      </c>
      <c r="M559" s="24">
        <f t="shared" si="1010"/>
        <v>14907</v>
      </c>
      <c r="N559" s="24">
        <f t="shared" ref="N559:O559" si="1125">IF(N558="", "", 1 + MROUND(IFERROR(MINIFS(OFFSET(N558, -1, 0, -$B559, 1), OFFSET(N558, -1, 0, -$B559, 1), "&gt;0"), N558) + (LN(1 + $Z559) ^ W$2) * W$3, 1))</f>
        <v>3508</v>
      </c>
      <c r="O559" s="24">
        <f t="shared" si="1125"/>
        <v>7282</v>
      </c>
      <c r="P559" s="24">
        <f t="shared" ref="P559:S559" si="1126">L559*$Y$2</f>
        <v>43901.5</v>
      </c>
      <c r="Q559" s="24">
        <f t="shared" si="1126"/>
        <v>3726.75</v>
      </c>
      <c r="R559" s="24">
        <f t="shared" si="1126"/>
        <v>877</v>
      </c>
      <c r="S559" s="24">
        <f t="shared" si="1126"/>
        <v>1820.5</v>
      </c>
      <c r="T559" s="24">
        <f t="shared" si="4"/>
        <v>27</v>
      </c>
      <c r="Z559" s="25">
        <f t="shared" si="12"/>
        <v>6912.053164</v>
      </c>
    </row>
    <row r="560">
      <c r="A560" s="16" t="s">
        <v>36</v>
      </c>
      <c r="B560" s="17">
        <v>259.0</v>
      </c>
      <c r="C560" s="24">
        <f t="shared" si="610"/>
        <v>87894239.9</v>
      </c>
      <c r="D560" s="25">
        <v>0.05</v>
      </c>
      <c r="E560" s="24">
        <f t="shared" si="611"/>
        <v>1655.176511</v>
      </c>
      <c r="F560" s="25">
        <v>0.02</v>
      </c>
      <c r="G560" s="24">
        <f t="shared" si="612"/>
        <v>13184135.99</v>
      </c>
      <c r="H560" s="25">
        <v>0.05</v>
      </c>
      <c r="I560" s="24">
        <f t="shared" si="613"/>
        <v>7448.2943</v>
      </c>
      <c r="J560" s="25">
        <v>0.02</v>
      </c>
      <c r="K560" s="25">
        <v>0.0</v>
      </c>
      <c r="L560" s="24">
        <f t="shared" si="810"/>
        <v>176760</v>
      </c>
      <c r="M560" s="24">
        <f t="shared" si="1010"/>
        <v>15000</v>
      </c>
      <c r="N560" s="24">
        <f t="shared" ref="N560:O560" si="1127">IF(N559="", "", 1 + MROUND(IFERROR(MINIFS(OFFSET(N559, -1, 0, -$B560, 1), OFFSET(N559, -1, 0, -$B560, 1), "&gt;0"), N559) + (LN(1 + $Z560) ^ W$2) * W$3, 1))</f>
        <v>3555</v>
      </c>
      <c r="O560" s="24">
        <f t="shared" si="1127"/>
        <v>7329</v>
      </c>
      <c r="P560" s="24">
        <f t="shared" ref="P560:S560" si="1128">L560*$Y$2</f>
        <v>44190</v>
      </c>
      <c r="Q560" s="24">
        <f t="shared" si="1128"/>
        <v>3750</v>
      </c>
      <c r="R560" s="24">
        <f t="shared" si="1128"/>
        <v>888.75</v>
      </c>
      <c r="S560" s="24">
        <f t="shared" si="1128"/>
        <v>1832.25</v>
      </c>
      <c r="T560" s="24">
        <f t="shared" si="4"/>
        <v>27</v>
      </c>
      <c r="Z560" s="25">
        <f t="shared" si="12"/>
        <v>7154.010025</v>
      </c>
    </row>
    <row r="561">
      <c r="A561" s="16" t="s">
        <v>36</v>
      </c>
      <c r="B561" s="17">
        <v>260.0</v>
      </c>
      <c r="C561" s="24">
        <f t="shared" si="610"/>
        <v>92288951.9</v>
      </c>
      <c r="D561" s="25">
        <v>0.05</v>
      </c>
      <c r="E561" s="24">
        <f t="shared" si="611"/>
        <v>1688.280041</v>
      </c>
      <c r="F561" s="25">
        <v>0.02</v>
      </c>
      <c r="G561" s="24">
        <f t="shared" si="612"/>
        <v>13843342.78</v>
      </c>
      <c r="H561" s="25">
        <v>0.05</v>
      </c>
      <c r="I561" s="24">
        <f t="shared" si="613"/>
        <v>7597.260186</v>
      </c>
      <c r="J561" s="25">
        <v>0.02</v>
      </c>
      <c r="K561" s="25">
        <v>0.0</v>
      </c>
      <c r="L561" s="24">
        <f t="shared" si="810"/>
        <v>177917</v>
      </c>
      <c r="M561" s="24">
        <f t="shared" si="1010"/>
        <v>15093</v>
      </c>
      <c r="N561" s="24">
        <f t="shared" ref="N561:O561" si="1129">IF(N560="", "", 1 + MROUND(IFERROR(MINIFS(OFFSET(N560, -1, 0, -$B561, 1), OFFSET(N560, -1, 0, -$B561, 1), "&gt;0"), N560) + (LN(1 + $Z561) ^ W$2) * W$3, 1))</f>
        <v>3602</v>
      </c>
      <c r="O561" s="24">
        <f t="shared" si="1129"/>
        <v>7376</v>
      </c>
      <c r="P561" s="24">
        <f t="shared" ref="P561:S561" si="1130">L561*$Y$2</f>
        <v>44479.25</v>
      </c>
      <c r="Q561" s="24">
        <f t="shared" si="1130"/>
        <v>3773.25</v>
      </c>
      <c r="R561" s="24">
        <f t="shared" si="1130"/>
        <v>900.5</v>
      </c>
      <c r="S561" s="24">
        <f t="shared" si="1130"/>
        <v>1844</v>
      </c>
      <c r="T561" s="24">
        <f t="shared" si="4"/>
        <v>27</v>
      </c>
      <c r="Z561" s="25">
        <f t="shared" si="12"/>
        <v>7404.435376</v>
      </c>
    </row>
    <row r="562">
      <c r="A562" s="16" t="s">
        <v>36</v>
      </c>
      <c r="B562" s="17">
        <v>261.0</v>
      </c>
      <c r="C562" s="24">
        <f t="shared" si="610"/>
        <v>96903399.49</v>
      </c>
      <c r="D562" s="25">
        <v>0.05</v>
      </c>
      <c r="E562" s="24">
        <f t="shared" si="611"/>
        <v>1722.045642</v>
      </c>
      <c r="F562" s="25">
        <v>0.02</v>
      </c>
      <c r="G562" s="24">
        <f t="shared" si="612"/>
        <v>14535509.92</v>
      </c>
      <c r="H562" s="25">
        <v>0.05</v>
      </c>
      <c r="I562" s="24">
        <f t="shared" si="613"/>
        <v>7749.20539</v>
      </c>
      <c r="J562" s="25">
        <v>0.02</v>
      </c>
      <c r="K562" s="25">
        <v>0.0</v>
      </c>
      <c r="L562" s="24">
        <f t="shared" si="810"/>
        <v>179077</v>
      </c>
      <c r="M562" s="24">
        <f t="shared" si="1010"/>
        <v>15187</v>
      </c>
      <c r="N562" s="24">
        <f t="shared" ref="N562:O562" si="1131">IF(N561="", "", 1 + MROUND(IFERROR(MINIFS(OFFSET(N561, -1, 0, -$B562, 1), OFFSET(N561, -1, 0, -$B562, 1), "&gt;0"), N561) + (LN(1 + $Z562) ^ W$2) * W$3, 1))</f>
        <v>3649</v>
      </c>
      <c r="O562" s="24">
        <f t="shared" si="1131"/>
        <v>7423</v>
      </c>
      <c r="P562" s="24">
        <f t="shared" ref="P562:S562" si="1132">L562*$Y$2</f>
        <v>44769.25</v>
      </c>
      <c r="Q562" s="24">
        <f t="shared" si="1132"/>
        <v>3796.75</v>
      </c>
      <c r="R562" s="24">
        <f t="shared" si="1132"/>
        <v>912.25</v>
      </c>
      <c r="S562" s="24">
        <f t="shared" si="1132"/>
        <v>1855.75</v>
      </c>
      <c r="T562" s="24">
        <f t="shared" si="4"/>
        <v>27</v>
      </c>
      <c r="Z562" s="25">
        <f t="shared" si="12"/>
        <v>7663.625614</v>
      </c>
    </row>
    <row r="563">
      <c r="A563" s="16" t="s">
        <v>36</v>
      </c>
      <c r="B563" s="17">
        <v>262.0</v>
      </c>
      <c r="C563" s="24">
        <f t="shared" si="610"/>
        <v>101748569.5</v>
      </c>
      <c r="D563" s="25">
        <v>0.05</v>
      </c>
      <c r="E563" s="24">
        <f t="shared" si="611"/>
        <v>1756.486555</v>
      </c>
      <c r="F563" s="25">
        <v>0.02</v>
      </c>
      <c r="G563" s="24">
        <f t="shared" si="612"/>
        <v>15262285.42</v>
      </c>
      <c r="H563" s="25">
        <v>0.05</v>
      </c>
      <c r="I563" s="24">
        <f t="shared" si="613"/>
        <v>7904.189498</v>
      </c>
      <c r="J563" s="25">
        <v>0.02</v>
      </c>
      <c r="K563" s="25">
        <v>0.0</v>
      </c>
      <c r="L563" s="24">
        <f t="shared" si="810"/>
        <v>180240</v>
      </c>
      <c r="M563" s="24">
        <f t="shared" si="1010"/>
        <v>15281</v>
      </c>
      <c r="N563" s="24">
        <f t="shared" ref="N563:O563" si="1133">IF(N562="", "", 1 + MROUND(IFERROR(MINIFS(OFFSET(N562, -1, 0, -$B563, 1), OFFSET(N562, -1, 0, -$B563, 1), "&gt;0"), N562) + (LN(1 + $Z563) ^ W$2) * W$3, 1))</f>
        <v>3696</v>
      </c>
      <c r="O563" s="24">
        <f t="shared" si="1133"/>
        <v>7470</v>
      </c>
      <c r="P563" s="24">
        <f t="shared" ref="P563:S563" si="1134">L563*$Y$2</f>
        <v>45060</v>
      </c>
      <c r="Q563" s="24">
        <f t="shared" si="1134"/>
        <v>3820.25</v>
      </c>
      <c r="R563" s="24">
        <f t="shared" si="1134"/>
        <v>924</v>
      </c>
      <c r="S563" s="24">
        <f t="shared" si="1134"/>
        <v>1867.5</v>
      </c>
      <c r="T563" s="24">
        <f t="shared" si="4"/>
        <v>27</v>
      </c>
      <c r="Z563" s="25">
        <f t="shared" si="12"/>
        <v>7931.88751</v>
      </c>
    </row>
    <row r="564">
      <c r="A564" s="16" t="s">
        <v>36</v>
      </c>
      <c r="B564" s="17">
        <v>263.0</v>
      </c>
      <c r="C564" s="24">
        <f t="shared" si="610"/>
        <v>106835997.9</v>
      </c>
      <c r="D564" s="25">
        <v>0.05</v>
      </c>
      <c r="E564" s="24">
        <f t="shared" si="611"/>
        <v>1791.616286</v>
      </c>
      <c r="F564" s="25">
        <v>0.02</v>
      </c>
      <c r="G564" s="24">
        <f t="shared" si="612"/>
        <v>16025399.69</v>
      </c>
      <c r="H564" s="25">
        <v>0.05</v>
      </c>
      <c r="I564" s="24">
        <f t="shared" si="613"/>
        <v>8062.273288</v>
      </c>
      <c r="J564" s="25">
        <v>0.02</v>
      </c>
      <c r="K564" s="25">
        <v>0.0</v>
      </c>
      <c r="L564" s="24">
        <f t="shared" si="810"/>
        <v>181406</v>
      </c>
      <c r="M564" s="24">
        <f t="shared" si="1010"/>
        <v>15375</v>
      </c>
      <c r="N564" s="24">
        <f t="shared" ref="N564:O564" si="1135">IF(N563="", "", 1 + MROUND(IFERROR(MINIFS(OFFSET(N563, -1, 0, -$B564, 1), OFFSET(N563, -1, 0, -$B564, 1), "&gt;0"), N563) + (LN(1 + $Z564) ^ W$2) * W$3, 1))</f>
        <v>3744</v>
      </c>
      <c r="O564" s="24">
        <f t="shared" si="1135"/>
        <v>7518</v>
      </c>
      <c r="P564" s="24">
        <f t="shared" ref="P564:S564" si="1136">L564*$Y$2</f>
        <v>45351.5</v>
      </c>
      <c r="Q564" s="24">
        <f t="shared" si="1136"/>
        <v>3843.75</v>
      </c>
      <c r="R564" s="24">
        <f t="shared" si="1136"/>
        <v>936</v>
      </c>
      <c r="S564" s="24">
        <f t="shared" si="1136"/>
        <v>1879.5</v>
      </c>
      <c r="T564" s="24">
        <f t="shared" si="4"/>
        <v>27</v>
      </c>
      <c r="Z564" s="25">
        <f t="shared" si="12"/>
        <v>8209.538573</v>
      </c>
    </row>
    <row r="565">
      <c r="A565" s="16" t="s">
        <v>36</v>
      </c>
      <c r="B565" s="17">
        <v>264.0</v>
      </c>
      <c r="C565" s="24">
        <f t="shared" si="610"/>
        <v>112177797.8</v>
      </c>
      <c r="D565" s="25">
        <v>0.05</v>
      </c>
      <c r="E565" s="24">
        <f t="shared" si="611"/>
        <v>1827.448612</v>
      </c>
      <c r="F565" s="25">
        <v>0.02</v>
      </c>
      <c r="G565" s="24">
        <f t="shared" si="612"/>
        <v>16826669.68</v>
      </c>
      <c r="H565" s="25">
        <v>0.05</v>
      </c>
      <c r="I565" s="24">
        <f t="shared" si="613"/>
        <v>8223.518754</v>
      </c>
      <c r="J565" s="25">
        <v>0.02</v>
      </c>
      <c r="K565" s="25">
        <v>0.0</v>
      </c>
      <c r="L565" s="24">
        <f t="shared" si="810"/>
        <v>182575</v>
      </c>
      <c r="M565" s="24">
        <f t="shared" si="1010"/>
        <v>15469</v>
      </c>
      <c r="N565" s="24">
        <f t="shared" ref="N565:O565" si="1137">IF(N564="", "", 1 + MROUND(IFERROR(MINIFS(OFFSET(N564, -1, 0, -$B565, 1), OFFSET(N564, -1, 0, -$B565, 1), "&gt;0"), N564) + (LN(1 + $Z565) ^ W$2) * W$3, 1))</f>
        <v>3792</v>
      </c>
      <c r="O565" s="24">
        <f t="shared" si="1137"/>
        <v>7566</v>
      </c>
      <c r="P565" s="24">
        <f t="shared" ref="P565:S565" si="1138">L565*$Y$2</f>
        <v>45643.75</v>
      </c>
      <c r="Q565" s="24">
        <f t="shared" si="1138"/>
        <v>3867.25</v>
      </c>
      <c r="R565" s="24">
        <f t="shared" si="1138"/>
        <v>948</v>
      </c>
      <c r="S565" s="24">
        <f t="shared" si="1138"/>
        <v>1891.5</v>
      </c>
      <c r="T565" s="24">
        <f t="shared" si="4"/>
        <v>27</v>
      </c>
      <c r="Z565" s="25">
        <f t="shared" si="12"/>
        <v>8496.907423</v>
      </c>
    </row>
    <row r="566">
      <c r="A566" s="16" t="s">
        <v>36</v>
      </c>
      <c r="B566" s="17">
        <v>265.0</v>
      </c>
      <c r="C566" s="24">
        <f t="shared" si="610"/>
        <v>117786687.7</v>
      </c>
      <c r="D566" s="25">
        <v>0.05</v>
      </c>
      <c r="E566" s="24">
        <f t="shared" si="611"/>
        <v>1863.997584</v>
      </c>
      <c r="F566" s="25">
        <v>0.02</v>
      </c>
      <c r="G566" s="24">
        <f t="shared" si="612"/>
        <v>17668003.16</v>
      </c>
      <c r="H566" s="25">
        <v>0.05</v>
      </c>
      <c r="I566" s="24">
        <f t="shared" si="613"/>
        <v>8387.989129</v>
      </c>
      <c r="J566" s="25">
        <v>0.02</v>
      </c>
      <c r="K566" s="25">
        <v>0.0</v>
      </c>
      <c r="L566" s="24">
        <f t="shared" si="810"/>
        <v>183747</v>
      </c>
      <c r="M566" s="24">
        <f t="shared" si="1010"/>
        <v>15564</v>
      </c>
      <c r="N566" s="24">
        <f t="shared" ref="N566:O566" si="1139">IF(N565="", "", 1 + MROUND(IFERROR(MINIFS(OFFSET(N565, -1, 0, -$B566, 1), OFFSET(N565, -1, 0, -$B566, 1), "&gt;0"), N565) + (LN(1 + $Z566) ^ W$2) * W$3, 1))</f>
        <v>3840</v>
      </c>
      <c r="O566" s="24">
        <f t="shared" si="1139"/>
        <v>7614</v>
      </c>
      <c r="P566" s="24">
        <f t="shared" ref="P566:S566" si="1140">L566*$Y$2</f>
        <v>45936.75</v>
      </c>
      <c r="Q566" s="24">
        <f t="shared" si="1140"/>
        <v>3891</v>
      </c>
      <c r="R566" s="24">
        <f t="shared" si="1140"/>
        <v>960</v>
      </c>
      <c r="S566" s="24">
        <f t="shared" si="1140"/>
        <v>1903.5</v>
      </c>
      <c r="T566" s="24">
        <f t="shared" si="4"/>
        <v>28</v>
      </c>
      <c r="Z566" s="25">
        <f t="shared" si="12"/>
        <v>8794.334183</v>
      </c>
    </row>
    <row r="567">
      <c r="A567" s="16" t="s">
        <v>36</v>
      </c>
      <c r="B567" s="17">
        <v>266.0</v>
      </c>
      <c r="C567" s="24">
        <f t="shared" si="610"/>
        <v>123676022.1</v>
      </c>
      <c r="D567" s="25">
        <v>0.05</v>
      </c>
      <c r="E567" s="24">
        <f t="shared" si="611"/>
        <v>1901.277536</v>
      </c>
      <c r="F567" s="25">
        <v>0.02</v>
      </c>
      <c r="G567" s="24">
        <f t="shared" si="612"/>
        <v>18551403.32</v>
      </c>
      <c r="H567" s="25">
        <v>0.05</v>
      </c>
      <c r="I567" s="24">
        <f t="shared" si="613"/>
        <v>8555.748911</v>
      </c>
      <c r="J567" s="25">
        <v>0.02</v>
      </c>
      <c r="K567" s="25">
        <v>0.0</v>
      </c>
      <c r="L567" s="24">
        <f t="shared" si="810"/>
        <v>184922</v>
      </c>
      <c r="M567" s="24">
        <f t="shared" si="1010"/>
        <v>15659</v>
      </c>
      <c r="N567" s="24">
        <f t="shared" ref="N567:O567" si="1141">IF(N566="", "", 1 + MROUND(IFERROR(MINIFS(OFFSET(N566, -1, 0, -$B567, 1), OFFSET(N566, -1, 0, -$B567, 1), "&gt;0"), N566) + (LN(1 + $Z567) ^ W$2) * W$3, 1))</f>
        <v>3888</v>
      </c>
      <c r="O567" s="24">
        <f t="shared" si="1141"/>
        <v>7662</v>
      </c>
      <c r="P567" s="24">
        <f t="shared" ref="P567:S567" si="1142">L567*$Y$2</f>
        <v>46230.5</v>
      </c>
      <c r="Q567" s="24">
        <f t="shared" si="1142"/>
        <v>3914.75</v>
      </c>
      <c r="R567" s="24">
        <f t="shared" si="1142"/>
        <v>972</v>
      </c>
      <c r="S567" s="24">
        <f t="shared" si="1142"/>
        <v>1915.5</v>
      </c>
      <c r="T567" s="24">
        <f t="shared" si="4"/>
        <v>28</v>
      </c>
      <c r="Z567" s="25">
        <f t="shared" si="12"/>
        <v>9102.170879</v>
      </c>
    </row>
    <row r="568">
      <c r="A568" s="16" t="s">
        <v>36</v>
      </c>
      <c r="B568" s="17">
        <v>267.0</v>
      </c>
      <c r="C568" s="24">
        <f t="shared" si="610"/>
        <v>129859823.2</v>
      </c>
      <c r="D568" s="25">
        <v>0.05</v>
      </c>
      <c r="E568" s="24">
        <f t="shared" si="611"/>
        <v>1939.303087</v>
      </c>
      <c r="F568" s="25">
        <v>0.02</v>
      </c>
      <c r="G568" s="24">
        <f t="shared" si="612"/>
        <v>19478973.48</v>
      </c>
      <c r="H568" s="25">
        <v>0.05</v>
      </c>
      <c r="I568" s="24">
        <f t="shared" si="613"/>
        <v>8726.863889</v>
      </c>
      <c r="J568" s="25">
        <v>0.02</v>
      </c>
      <c r="K568" s="25">
        <v>0.0</v>
      </c>
      <c r="L568" s="24">
        <f t="shared" si="810"/>
        <v>186100</v>
      </c>
      <c r="M568" s="24">
        <f t="shared" si="1010"/>
        <v>15754</v>
      </c>
      <c r="N568" s="24">
        <f t="shared" ref="N568:O568" si="1143">IF(N567="", "", 1 + MROUND(IFERROR(MINIFS(OFFSET(N567, -1, 0, -$B568, 1), OFFSET(N567, -1, 0, -$B568, 1), "&gt;0"), N567) + (LN(1 + $Z568) ^ W$2) * W$3, 1))</f>
        <v>3936</v>
      </c>
      <c r="O568" s="24">
        <f t="shared" si="1143"/>
        <v>7710</v>
      </c>
      <c r="P568" s="24">
        <f t="shared" ref="P568:S568" si="1144">L568*$Y$2</f>
        <v>46525</v>
      </c>
      <c r="Q568" s="24">
        <f t="shared" si="1144"/>
        <v>3938.5</v>
      </c>
      <c r="R568" s="24">
        <f t="shared" si="1144"/>
        <v>984</v>
      </c>
      <c r="S568" s="24">
        <f t="shared" si="1144"/>
        <v>1927.5</v>
      </c>
      <c r="T568" s="24">
        <f t="shared" si="4"/>
        <v>28</v>
      </c>
      <c r="Z568" s="25">
        <f t="shared" si="12"/>
        <v>9420.78186</v>
      </c>
    </row>
    <row r="569">
      <c r="A569" s="16" t="s">
        <v>36</v>
      </c>
      <c r="B569" s="17">
        <v>268.0</v>
      </c>
      <c r="C569" s="24">
        <f t="shared" si="610"/>
        <v>136352814.4</v>
      </c>
      <c r="D569" s="25">
        <v>0.05</v>
      </c>
      <c r="E569" s="24">
        <f t="shared" si="611"/>
        <v>1978.089148</v>
      </c>
      <c r="F569" s="25">
        <v>0.02</v>
      </c>
      <c r="G569" s="24">
        <f t="shared" si="612"/>
        <v>20452922.16</v>
      </c>
      <c r="H569" s="25">
        <v>0.05</v>
      </c>
      <c r="I569" s="24">
        <f t="shared" si="613"/>
        <v>8901.401167</v>
      </c>
      <c r="J569" s="25">
        <v>0.02</v>
      </c>
      <c r="K569" s="25">
        <v>0.0</v>
      </c>
      <c r="L569" s="24">
        <f t="shared" si="810"/>
        <v>187282</v>
      </c>
      <c r="M569" s="24">
        <f t="shared" si="1010"/>
        <v>15849</v>
      </c>
      <c r="N569" s="24">
        <f t="shared" ref="N569:O569" si="1145">IF(N568="", "", 1 + MROUND(IFERROR(MINIFS(OFFSET(N568, -1, 0, -$B569, 1), OFFSET(N568, -1, 0, -$B569, 1), "&gt;0"), N568) + (LN(1 + $Z569) ^ W$2) * W$3, 1))</f>
        <v>3984</v>
      </c>
      <c r="O569" s="24">
        <f t="shared" si="1145"/>
        <v>7758</v>
      </c>
      <c r="P569" s="24">
        <f t="shared" ref="P569:S569" si="1146">L569*$Y$2</f>
        <v>46820.5</v>
      </c>
      <c r="Q569" s="24">
        <f t="shared" si="1146"/>
        <v>3962.25</v>
      </c>
      <c r="R569" s="24">
        <f t="shared" si="1146"/>
        <v>996</v>
      </c>
      <c r="S569" s="24">
        <f t="shared" si="1146"/>
        <v>1939.5</v>
      </c>
      <c r="T569" s="24">
        <f t="shared" si="4"/>
        <v>28</v>
      </c>
      <c r="Z569" s="25">
        <f t="shared" si="12"/>
        <v>9750.544225</v>
      </c>
    </row>
    <row r="570">
      <c r="A570" s="16" t="s">
        <v>36</v>
      </c>
      <c r="B570" s="17">
        <v>269.0</v>
      </c>
      <c r="C570" s="24">
        <f t="shared" si="610"/>
        <v>143170455.1</v>
      </c>
      <c r="D570" s="25">
        <v>0.05</v>
      </c>
      <c r="E570" s="24">
        <f t="shared" si="611"/>
        <v>2017.650931</v>
      </c>
      <c r="F570" s="25">
        <v>0.02</v>
      </c>
      <c r="G570" s="24">
        <f t="shared" si="612"/>
        <v>21475568.26</v>
      </c>
      <c r="H570" s="25">
        <v>0.05</v>
      </c>
      <c r="I570" s="24">
        <f t="shared" si="613"/>
        <v>9079.429191</v>
      </c>
      <c r="J570" s="25">
        <v>0.02</v>
      </c>
      <c r="K570" s="25">
        <v>0.0</v>
      </c>
      <c r="L570" s="24">
        <f t="shared" si="810"/>
        <v>188467</v>
      </c>
      <c r="M570" s="24">
        <f t="shared" si="1010"/>
        <v>15945</v>
      </c>
      <c r="N570" s="24">
        <f t="shared" ref="N570:O570" si="1147">IF(N569="", "", 1 + MROUND(IFERROR(MINIFS(OFFSET(N569, -1, 0, -$B570, 1), OFFSET(N569, -1, 0, -$B570, 1), "&gt;0"), N569) + (LN(1 + $Z570) ^ W$2) * W$3, 1))</f>
        <v>4032</v>
      </c>
      <c r="O570" s="24">
        <f t="shared" si="1147"/>
        <v>7806</v>
      </c>
      <c r="P570" s="24">
        <f t="shared" ref="P570:S570" si="1148">L570*$Y$2</f>
        <v>47116.75</v>
      </c>
      <c r="Q570" s="24">
        <f t="shared" si="1148"/>
        <v>3986.25</v>
      </c>
      <c r="R570" s="24">
        <f t="shared" si="1148"/>
        <v>1008</v>
      </c>
      <c r="S570" s="24">
        <f t="shared" si="1148"/>
        <v>1951.5</v>
      </c>
      <c r="T570" s="24">
        <f t="shared" si="4"/>
        <v>28</v>
      </c>
      <c r="Z570" s="25">
        <f t="shared" si="12"/>
        <v>10091.84827</v>
      </c>
    </row>
    <row r="571">
      <c r="A571" s="16" t="s">
        <v>36</v>
      </c>
      <c r="B571" s="17">
        <v>270.0</v>
      </c>
      <c r="C571" s="24">
        <f t="shared" si="610"/>
        <v>150328977.9</v>
      </c>
      <c r="D571" s="25">
        <v>0.05</v>
      </c>
      <c r="E571" s="24">
        <f t="shared" si="611"/>
        <v>2058.00395</v>
      </c>
      <c r="F571" s="25">
        <v>0.02</v>
      </c>
      <c r="G571" s="24">
        <f t="shared" si="612"/>
        <v>22549346.68</v>
      </c>
      <c r="H571" s="25">
        <v>0.05</v>
      </c>
      <c r="I571" s="24">
        <f t="shared" si="613"/>
        <v>9261.017774</v>
      </c>
      <c r="J571" s="25">
        <v>0.02</v>
      </c>
      <c r="K571" s="25">
        <v>0.0</v>
      </c>
      <c r="L571" s="24">
        <f t="shared" si="810"/>
        <v>189655</v>
      </c>
      <c r="M571" s="24">
        <f t="shared" si="1010"/>
        <v>16041</v>
      </c>
      <c r="N571" s="24">
        <f t="shared" ref="N571:O571" si="1149">IF(N570="", "", 1 + MROUND(IFERROR(MINIFS(OFFSET(N570, -1, 0, -$B571, 1), OFFSET(N570, -1, 0, -$B571, 1), "&gt;0"), N570) + (LN(1 + $Z571) ^ W$2) * W$3, 1))</f>
        <v>4080</v>
      </c>
      <c r="O571" s="24">
        <f t="shared" si="1149"/>
        <v>7854</v>
      </c>
      <c r="P571" s="24">
        <f t="shared" ref="P571:S571" si="1150">L571*$Y$2</f>
        <v>47413.75</v>
      </c>
      <c r="Q571" s="24">
        <f t="shared" si="1150"/>
        <v>4010.25</v>
      </c>
      <c r="R571" s="24">
        <f t="shared" si="1150"/>
        <v>1020</v>
      </c>
      <c r="S571" s="24">
        <f t="shared" si="1150"/>
        <v>1963.5</v>
      </c>
      <c r="T571" s="24">
        <f t="shared" si="4"/>
        <v>28</v>
      </c>
      <c r="Z571" s="25">
        <f t="shared" si="12"/>
        <v>10445.09796</v>
      </c>
    </row>
    <row r="572">
      <c r="A572" s="16" t="s">
        <v>36</v>
      </c>
      <c r="B572" s="17">
        <v>271.0</v>
      </c>
      <c r="C572" s="24">
        <f t="shared" si="610"/>
        <v>157845426.7</v>
      </c>
      <c r="D572" s="25">
        <v>0.05</v>
      </c>
      <c r="E572" s="24">
        <f t="shared" si="611"/>
        <v>2099.164029</v>
      </c>
      <c r="F572" s="25">
        <v>0.02</v>
      </c>
      <c r="G572" s="24">
        <f t="shared" si="612"/>
        <v>23676814.01</v>
      </c>
      <c r="H572" s="25">
        <v>0.05</v>
      </c>
      <c r="I572" s="24">
        <f t="shared" si="613"/>
        <v>9446.23813</v>
      </c>
      <c r="J572" s="25">
        <v>0.02</v>
      </c>
      <c r="K572" s="25">
        <v>0.0</v>
      </c>
      <c r="L572" s="24">
        <f t="shared" si="810"/>
        <v>190846</v>
      </c>
      <c r="M572" s="24">
        <f t="shared" si="1010"/>
        <v>16137</v>
      </c>
      <c r="N572" s="24">
        <f t="shared" ref="N572:O572" si="1151">IF(N571="", "", 1 + MROUND(IFERROR(MINIFS(OFFSET(N571, -1, 0, -$B572, 1), OFFSET(N571, -1, 0, -$B572, 1), "&gt;0"), N571) + (LN(1 + $Z572) ^ W$2) * W$3, 1))</f>
        <v>4129</v>
      </c>
      <c r="O572" s="24">
        <f t="shared" si="1151"/>
        <v>7903</v>
      </c>
      <c r="P572" s="24">
        <f t="shared" ref="P572:S572" si="1152">L572*$Y$2</f>
        <v>47711.5</v>
      </c>
      <c r="Q572" s="24">
        <f t="shared" si="1152"/>
        <v>4034.25</v>
      </c>
      <c r="R572" s="24">
        <f t="shared" si="1152"/>
        <v>1032.25</v>
      </c>
      <c r="S572" s="24">
        <f t="shared" si="1152"/>
        <v>1975.75</v>
      </c>
      <c r="T572" s="24">
        <f t="shared" si="4"/>
        <v>28</v>
      </c>
      <c r="Z572" s="25">
        <f t="shared" si="12"/>
        <v>10810.71139</v>
      </c>
    </row>
    <row r="573">
      <c r="A573" s="16" t="s">
        <v>36</v>
      </c>
      <c r="B573" s="17">
        <v>272.0</v>
      </c>
      <c r="C573" s="24">
        <f t="shared" si="610"/>
        <v>165737698.1</v>
      </c>
      <c r="D573" s="25">
        <v>0.05</v>
      </c>
      <c r="E573" s="24">
        <f t="shared" si="611"/>
        <v>2141.147309</v>
      </c>
      <c r="F573" s="25">
        <v>0.02</v>
      </c>
      <c r="G573" s="24">
        <f t="shared" si="612"/>
        <v>24860654.71</v>
      </c>
      <c r="H573" s="25">
        <v>0.05</v>
      </c>
      <c r="I573" s="24">
        <f t="shared" si="613"/>
        <v>9635.162892</v>
      </c>
      <c r="J573" s="25">
        <v>0.02</v>
      </c>
      <c r="K573" s="25">
        <v>0.0</v>
      </c>
      <c r="L573" s="24">
        <f t="shared" si="810"/>
        <v>192040</v>
      </c>
      <c r="M573" s="24">
        <f t="shared" si="1010"/>
        <v>16233</v>
      </c>
      <c r="N573" s="24">
        <f t="shared" ref="N573:O573" si="1153">IF(N572="", "", 1 + MROUND(IFERROR(MINIFS(OFFSET(N572, -1, 0, -$B573, 1), OFFSET(N572, -1, 0, -$B573, 1), "&gt;0"), N572) + (LN(1 + $Z573) ^ W$2) * W$3, 1))</f>
        <v>4178</v>
      </c>
      <c r="O573" s="24">
        <f t="shared" si="1153"/>
        <v>7952</v>
      </c>
      <c r="P573" s="24">
        <f t="shared" ref="P573:S573" si="1154">L573*$Y$2</f>
        <v>48010</v>
      </c>
      <c r="Q573" s="24">
        <f t="shared" si="1154"/>
        <v>4058.25</v>
      </c>
      <c r="R573" s="24">
        <f t="shared" si="1154"/>
        <v>1044.5</v>
      </c>
      <c r="S573" s="24">
        <f t="shared" si="1154"/>
        <v>1988</v>
      </c>
      <c r="T573" s="24">
        <f t="shared" si="4"/>
        <v>28</v>
      </c>
      <c r="Z573" s="25">
        <f t="shared" si="12"/>
        <v>11189.12129</v>
      </c>
    </row>
    <row r="574">
      <c r="A574" s="16" t="s">
        <v>36</v>
      </c>
      <c r="B574" s="17">
        <v>273.0</v>
      </c>
      <c r="C574" s="24">
        <f t="shared" si="610"/>
        <v>174024583</v>
      </c>
      <c r="D574" s="25">
        <v>0.05</v>
      </c>
      <c r="E574" s="24">
        <f t="shared" si="611"/>
        <v>2183.970256</v>
      </c>
      <c r="F574" s="25">
        <v>0.02</v>
      </c>
      <c r="G574" s="24">
        <f t="shared" si="612"/>
        <v>26103687.45</v>
      </c>
      <c r="H574" s="25">
        <v>0.05</v>
      </c>
      <c r="I574" s="24">
        <f t="shared" si="613"/>
        <v>9827.86615</v>
      </c>
      <c r="J574" s="25">
        <v>0.02</v>
      </c>
      <c r="K574" s="25">
        <v>0.0</v>
      </c>
      <c r="L574" s="24">
        <f t="shared" si="810"/>
        <v>193237</v>
      </c>
      <c r="M574" s="24">
        <f t="shared" si="1010"/>
        <v>16330</v>
      </c>
      <c r="N574" s="24">
        <f t="shared" ref="N574:O574" si="1155">IF(N573="", "", 1 + MROUND(IFERROR(MINIFS(OFFSET(N573, -1, 0, -$B574, 1), OFFSET(N573, -1, 0, -$B574, 1), "&gt;0"), N573) + (LN(1 + $Z574) ^ W$2) * W$3, 1))</f>
        <v>4227</v>
      </c>
      <c r="O574" s="24">
        <f t="shared" si="1155"/>
        <v>8001</v>
      </c>
      <c r="P574" s="24">
        <f t="shared" ref="P574:S574" si="1156">L574*$Y$2</f>
        <v>48309.25</v>
      </c>
      <c r="Q574" s="24">
        <f t="shared" si="1156"/>
        <v>4082.5</v>
      </c>
      <c r="R574" s="24">
        <f t="shared" si="1156"/>
        <v>1056.75</v>
      </c>
      <c r="S574" s="24">
        <f t="shared" si="1156"/>
        <v>2000.25</v>
      </c>
      <c r="T574" s="24">
        <f t="shared" si="4"/>
        <v>28</v>
      </c>
      <c r="Z574" s="25">
        <f t="shared" si="12"/>
        <v>11580.77554</v>
      </c>
    </row>
    <row r="575">
      <c r="A575" s="16" t="s">
        <v>36</v>
      </c>
      <c r="B575" s="17">
        <v>274.0</v>
      </c>
      <c r="C575" s="24">
        <f t="shared" si="610"/>
        <v>182725812.1</v>
      </c>
      <c r="D575" s="25">
        <v>0.05</v>
      </c>
      <c r="E575" s="24">
        <f t="shared" si="611"/>
        <v>2227.649661</v>
      </c>
      <c r="F575" s="25">
        <v>0.02</v>
      </c>
      <c r="G575" s="24">
        <f t="shared" si="612"/>
        <v>27408871.82</v>
      </c>
      <c r="H575" s="25">
        <v>0.05</v>
      </c>
      <c r="I575" s="24">
        <f t="shared" si="613"/>
        <v>10024.42347</v>
      </c>
      <c r="J575" s="25">
        <v>0.02</v>
      </c>
      <c r="K575" s="25">
        <v>0.0</v>
      </c>
      <c r="L575" s="24">
        <f t="shared" si="810"/>
        <v>194437</v>
      </c>
      <c r="M575" s="24">
        <f t="shared" si="1010"/>
        <v>16427</v>
      </c>
      <c r="N575" s="24">
        <f t="shared" ref="N575:O575" si="1157">IF(N574="", "", 1 + MROUND(IFERROR(MINIFS(OFFSET(N574, -1, 0, -$B575, 1), OFFSET(N574, -1, 0, -$B575, 1), "&gt;0"), N574) + (LN(1 + $Z575) ^ W$2) * W$3, 1))</f>
        <v>4276</v>
      </c>
      <c r="O575" s="24">
        <f t="shared" si="1157"/>
        <v>8050</v>
      </c>
      <c r="P575" s="24">
        <f t="shared" ref="P575:S575" si="1158">L575*$Y$2</f>
        <v>48609.25</v>
      </c>
      <c r="Q575" s="24">
        <f t="shared" si="1158"/>
        <v>4106.75</v>
      </c>
      <c r="R575" s="24">
        <f t="shared" si="1158"/>
        <v>1069</v>
      </c>
      <c r="S575" s="24">
        <f t="shared" si="1158"/>
        <v>2012.5</v>
      </c>
      <c r="T575" s="24">
        <f t="shared" si="4"/>
        <v>28</v>
      </c>
      <c r="Z575" s="25">
        <f t="shared" si="12"/>
        <v>11986.13768</v>
      </c>
    </row>
    <row r="576">
      <c r="A576" s="16" t="s">
        <v>36</v>
      </c>
      <c r="B576" s="17">
        <v>275.0</v>
      </c>
      <c r="C576" s="24">
        <f t="shared" si="610"/>
        <v>191862102.7</v>
      </c>
      <c r="D576" s="25">
        <v>0.05</v>
      </c>
      <c r="E576" s="24">
        <f t="shared" si="611"/>
        <v>2272.202654</v>
      </c>
      <c r="F576" s="25">
        <v>0.02</v>
      </c>
      <c r="G576" s="24">
        <f t="shared" si="612"/>
        <v>28779315.41</v>
      </c>
      <c r="H576" s="25">
        <v>0.05</v>
      </c>
      <c r="I576" s="24">
        <f t="shared" si="613"/>
        <v>10224.91194</v>
      </c>
      <c r="J576" s="25">
        <v>0.02</v>
      </c>
      <c r="K576" s="25">
        <v>0.0</v>
      </c>
      <c r="L576" s="24">
        <f t="shared" si="810"/>
        <v>195640</v>
      </c>
      <c r="M576" s="24">
        <f t="shared" si="1010"/>
        <v>16524</v>
      </c>
      <c r="N576" s="24">
        <f t="shared" ref="N576:O576" si="1159">IF(N575="", "", 1 + MROUND(IFERROR(MINIFS(OFFSET(N575, -1, 0, -$B576, 1), OFFSET(N575, -1, 0, -$B576, 1), "&gt;0"), N575) + (LN(1 + $Z576) ^ W$2) * W$3, 1))</f>
        <v>4325</v>
      </c>
      <c r="O576" s="24">
        <f t="shared" si="1159"/>
        <v>8099</v>
      </c>
      <c r="P576" s="24">
        <f t="shared" ref="P576:S576" si="1160">L576*$Y$2</f>
        <v>48910</v>
      </c>
      <c r="Q576" s="24">
        <f t="shared" si="1160"/>
        <v>4131</v>
      </c>
      <c r="R576" s="24">
        <f t="shared" si="1160"/>
        <v>1081.25</v>
      </c>
      <c r="S576" s="24">
        <f t="shared" si="1160"/>
        <v>2024.75</v>
      </c>
      <c r="T576" s="24">
        <f t="shared" si="4"/>
        <v>29</v>
      </c>
      <c r="Z576" s="25">
        <f t="shared" si="12"/>
        <v>12405.6875</v>
      </c>
    </row>
    <row r="577">
      <c r="A577" s="16" t="s">
        <v>36</v>
      </c>
      <c r="B577" s="17">
        <v>276.0</v>
      </c>
      <c r="C577" s="24">
        <f t="shared" si="610"/>
        <v>201455207.9</v>
      </c>
      <c r="D577" s="25">
        <v>0.05</v>
      </c>
      <c r="E577" s="24">
        <f t="shared" si="611"/>
        <v>2317.646707</v>
      </c>
      <c r="F577" s="25">
        <v>0.02</v>
      </c>
      <c r="G577" s="24">
        <f t="shared" si="612"/>
        <v>30218281.18</v>
      </c>
      <c r="H577" s="25">
        <v>0.05</v>
      </c>
      <c r="I577" s="24">
        <f t="shared" si="613"/>
        <v>10429.41018</v>
      </c>
      <c r="J577" s="25">
        <v>0.02</v>
      </c>
      <c r="K577" s="25">
        <v>0.0</v>
      </c>
      <c r="L577" s="24">
        <f t="shared" si="810"/>
        <v>196846</v>
      </c>
      <c r="M577" s="24">
        <f t="shared" si="1010"/>
        <v>16621</v>
      </c>
      <c r="N577" s="24">
        <f t="shared" ref="N577:O577" si="1161">IF(N576="", "", 1 + MROUND(IFERROR(MINIFS(OFFSET(N576, -1, 0, -$B577, 1), OFFSET(N576, -1, 0, -$B577, 1), "&gt;0"), N576) + (LN(1 + $Z577) ^ W$2) * W$3, 1))</f>
        <v>4374</v>
      </c>
      <c r="O577" s="24">
        <f t="shared" si="1161"/>
        <v>8148</v>
      </c>
      <c r="P577" s="24">
        <f t="shared" ref="P577:S577" si="1162">L577*$Y$2</f>
        <v>49211.5</v>
      </c>
      <c r="Q577" s="24">
        <f t="shared" si="1162"/>
        <v>4155.25</v>
      </c>
      <c r="R577" s="24">
        <f t="shared" si="1162"/>
        <v>1093.5</v>
      </c>
      <c r="S577" s="24">
        <f t="shared" si="1162"/>
        <v>2037</v>
      </c>
      <c r="T577" s="24">
        <f t="shared" si="4"/>
        <v>29</v>
      </c>
      <c r="Z577" s="25">
        <f t="shared" si="12"/>
        <v>12839.92156</v>
      </c>
    </row>
    <row r="578">
      <c r="A578" s="16" t="s">
        <v>36</v>
      </c>
      <c r="B578" s="17">
        <v>277.0</v>
      </c>
      <c r="C578" s="24">
        <f t="shared" si="610"/>
        <v>211527968.3</v>
      </c>
      <c r="D578" s="25">
        <v>0.05</v>
      </c>
      <c r="E578" s="24">
        <f t="shared" si="611"/>
        <v>2363.999641</v>
      </c>
      <c r="F578" s="25">
        <v>0.02</v>
      </c>
      <c r="G578" s="24">
        <f t="shared" si="612"/>
        <v>31729195.24</v>
      </c>
      <c r="H578" s="25">
        <v>0.05</v>
      </c>
      <c r="I578" s="24">
        <f t="shared" si="613"/>
        <v>10637.99839</v>
      </c>
      <c r="J578" s="25">
        <v>0.02</v>
      </c>
      <c r="K578" s="25">
        <v>0.0</v>
      </c>
      <c r="L578" s="24">
        <f t="shared" si="810"/>
        <v>198055</v>
      </c>
      <c r="M578" s="24">
        <f t="shared" si="1010"/>
        <v>16719</v>
      </c>
      <c r="N578" s="24">
        <f t="shared" ref="N578:O578" si="1163">IF(N577="", "", 1 + MROUND(IFERROR(MINIFS(OFFSET(N577, -1, 0, -$B578, 1), OFFSET(N577, -1, 0, -$B578, 1), "&gt;0"), N577) + (LN(1 + $Z578) ^ W$2) * W$3, 1))</f>
        <v>4423</v>
      </c>
      <c r="O578" s="24">
        <f t="shared" si="1163"/>
        <v>8197</v>
      </c>
      <c r="P578" s="24">
        <f t="shared" ref="P578:S578" si="1164">L578*$Y$2</f>
        <v>49513.75</v>
      </c>
      <c r="Q578" s="24">
        <f t="shared" si="1164"/>
        <v>4179.75</v>
      </c>
      <c r="R578" s="24">
        <f t="shared" si="1164"/>
        <v>1105.75</v>
      </c>
      <c r="S578" s="24">
        <f t="shared" si="1164"/>
        <v>2049.25</v>
      </c>
      <c r="T578" s="24">
        <f t="shared" si="4"/>
        <v>29</v>
      </c>
      <c r="Z578" s="25">
        <f t="shared" si="12"/>
        <v>13289.35381</v>
      </c>
    </row>
    <row r="579">
      <c r="A579" s="16" t="s">
        <v>36</v>
      </c>
      <c r="B579" s="17">
        <v>278.0</v>
      </c>
      <c r="C579" s="24">
        <f t="shared" si="610"/>
        <v>222104366.7</v>
      </c>
      <c r="D579" s="25">
        <v>0.05</v>
      </c>
      <c r="E579" s="24">
        <f t="shared" si="611"/>
        <v>2411.279634</v>
      </c>
      <c r="F579" s="25">
        <v>0.02</v>
      </c>
      <c r="G579" s="24">
        <f t="shared" si="612"/>
        <v>33315655</v>
      </c>
      <c r="H579" s="25">
        <v>0.05</v>
      </c>
      <c r="I579" s="24">
        <f t="shared" si="613"/>
        <v>10850.75835</v>
      </c>
      <c r="J579" s="25">
        <v>0.02</v>
      </c>
      <c r="K579" s="25">
        <v>0.0</v>
      </c>
      <c r="L579" s="24">
        <f t="shared" si="810"/>
        <v>199267</v>
      </c>
      <c r="M579" s="24">
        <f t="shared" si="1010"/>
        <v>16817</v>
      </c>
      <c r="N579" s="24">
        <f t="shared" ref="N579:O579" si="1165">IF(N578="", "", 1 + MROUND(IFERROR(MINIFS(OFFSET(N578, -1, 0, -$B579, 1), OFFSET(N578, -1, 0, -$B579, 1), "&gt;0"), N578) + (LN(1 + $Z579) ^ W$2) * W$3, 1))</f>
        <v>4472</v>
      </c>
      <c r="O579" s="24">
        <f t="shared" si="1165"/>
        <v>8246</v>
      </c>
      <c r="P579" s="24">
        <f t="shared" ref="P579:S579" si="1166">L579*$Y$2</f>
        <v>49816.75</v>
      </c>
      <c r="Q579" s="24">
        <f t="shared" si="1166"/>
        <v>4204.25</v>
      </c>
      <c r="R579" s="24">
        <f t="shared" si="1166"/>
        <v>1118</v>
      </c>
      <c r="S579" s="24">
        <f t="shared" si="1166"/>
        <v>2061.5</v>
      </c>
      <c r="T579" s="24">
        <f t="shared" si="4"/>
        <v>29</v>
      </c>
      <c r="Z579" s="25">
        <f t="shared" si="12"/>
        <v>13754.5162</v>
      </c>
    </row>
    <row r="580">
      <c r="A580" s="16" t="s">
        <v>36</v>
      </c>
      <c r="B580" s="17">
        <v>279.0</v>
      </c>
      <c r="C580" s="24">
        <f t="shared" si="610"/>
        <v>233209585</v>
      </c>
      <c r="D580" s="25">
        <v>0.05</v>
      </c>
      <c r="E580" s="24">
        <f t="shared" si="611"/>
        <v>2459.505227</v>
      </c>
      <c r="F580" s="25">
        <v>0.02</v>
      </c>
      <c r="G580" s="24">
        <f t="shared" si="612"/>
        <v>34981437.75</v>
      </c>
      <c r="H580" s="25">
        <v>0.05</v>
      </c>
      <c r="I580" s="24">
        <f t="shared" si="613"/>
        <v>11067.77352</v>
      </c>
      <c r="J580" s="25">
        <v>0.02</v>
      </c>
      <c r="K580" s="25">
        <v>0.0</v>
      </c>
      <c r="L580" s="24">
        <f t="shared" si="810"/>
        <v>200482</v>
      </c>
      <c r="M580" s="24">
        <f t="shared" si="1010"/>
        <v>16915</v>
      </c>
      <c r="N580" s="24">
        <f t="shared" ref="N580:O580" si="1167">IF(N579="", "", 1 + MROUND(IFERROR(MINIFS(OFFSET(N579, -1, 0, -$B580, 1), OFFSET(N579, -1, 0, -$B580, 1), "&gt;0"), N579) + (LN(1 + $Z580) ^ W$2) * W$3, 1))</f>
        <v>4522</v>
      </c>
      <c r="O580" s="24">
        <f t="shared" si="1167"/>
        <v>8296</v>
      </c>
      <c r="P580" s="24">
        <f t="shared" ref="P580:S580" si="1168">L580*$Y$2</f>
        <v>50120.5</v>
      </c>
      <c r="Q580" s="24">
        <f t="shared" si="1168"/>
        <v>4228.75</v>
      </c>
      <c r="R580" s="24">
        <f t="shared" si="1168"/>
        <v>1130.5</v>
      </c>
      <c r="S580" s="24">
        <f t="shared" si="1168"/>
        <v>2074</v>
      </c>
      <c r="T580" s="24">
        <f t="shared" si="4"/>
        <v>29</v>
      </c>
      <c r="Z580" s="25">
        <f t="shared" si="12"/>
        <v>14235.95927</v>
      </c>
    </row>
    <row r="581">
      <c r="A581" s="16" t="s">
        <v>36</v>
      </c>
      <c r="B581" s="17">
        <v>280.0</v>
      </c>
      <c r="C581" s="24">
        <f t="shared" si="610"/>
        <v>244870064.3</v>
      </c>
      <c r="D581" s="25">
        <v>0.05</v>
      </c>
      <c r="E581" s="24">
        <f t="shared" si="611"/>
        <v>2508.695331</v>
      </c>
      <c r="F581" s="25">
        <v>0.02</v>
      </c>
      <c r="G581" s="24">
        <f t="shared" si="612"/>
        <v>36730509.64</v>
      </c>
      <c r="H581" s="25">
        <v>0.05</v>
      </c>
      <c r="I581" s="24">
        <f t="shared" si="613"/>
        <v>11289.12899</v>
      </c>
      <c r="J581" s="25">
        <v>0.02</v>
      </c>
      <c r="K581" s="25">
        <v>0.0</v>
      </c>
      <c r="L581" s="24">
        <f t="shared" si="810"/>
        <v>201700</v>
      </c>
      <c r="M581" s="24">
        <f t="shared" si="1010"/>
        <v>17013</v>
      </c>
      <c r="N581" s="24">
        <f t="shared" ref="N581:O581" si="1169">IF(N580="", "", 1 + MROUND(IFERROR(MINIFS(OFFSET(N580, -1, 0, -$B581, 1), OFFSET(N580, -1, 0, -$B581, 1), "&gt;0"), N580) + (LN(1 + $Z581) ^ W$2) * W$3, 1))</f>
        <v>4572</v>
      </c>
      <c r="O581" s="24">
        <f t="shared" si="1169"/>
        <v>8346</v>
      </c>
      <c r="P581" s="24">
        <f t="shared" ref="P581:S581" si="1170">L581*$Y$2</f>
        <v>50425</v>
      </c>
      <c r="Q581" s="24">
        <f t="shared" si="1170"/>
        <v>4253.25</v>
      </c>
      <c r="R581" s="24">
        <f t="shared" si="1170"/>
        <v>1143</v>
      </c>
      <c r="S581" s="24">
        <f t="shared" si="1170"/>
        <v>2086.5</v>
      </c>
      <c r="T581" s="24">
        <f t="shared" si="4"/>
        <v>29</v>
      </c>
      <c r="Z581" s="25">
        <f t="shared" si="12"/>
        <v>14734.25284</v>
      </c>
    </row>
    <row r="582">
      <c r="A582" s="16" t="s">
        <v>36</v>
      </c>
      <c r="B582" s="17">
        <v>281.0</v>
      </c>
      <c r="C582" s="24">
        <f t="shared" si="610"/>
        <v>257113567.5</v>
      </c>
      <c r="D582" s="25">
        <v>0.05</v>
      </c>
      <c r="E582" s="24">
        <f t="shared" si="611"/>
        <v>2558.869238</v>
      </c>
      <c r="F582" s="25">
        <v>0.02</v>
      </c>
      <c r="G582" s="24">
        <f t="shared" si="612"/>
        <v>38567035.12</v>
      </c>
      <c r="H582" s="25">
        <v>0.05</v>
      </c>
      <c r="I582" s="24">
        <f t="shared" si="613"/>
        <v>11514.91157</v>
      </c>
      <c r="J582" s="25">
        <v>0.02</v>
      </c>
      <c r="K582" s="25">
        <v>0.0</v>
      </c>
      <c r="L582" s="24">
        <f t="shared" si="810"/>
        <v>202922</v>
      </c>
      <c r="M582" s="24">
        <f t="shared" si="1010"/>
        <v>17112</v>
      </c>
      <c r="N582" s="24">
        <f t="shared" ref="N582:O582" si="1171">IF(N581="", "", 1 + MROUND(IFERROR(MINIFS(OFFSET(N581, -1, 0, -$B582, 1), OFFSET(N581, -1, 0, -$B582, 1), "&gt;0"), N581) + (LN(1 + $Z582) ^ W$2) * W$3, 1))</f>
        <v>4622</v>
      </c>
      <c r="O582" s="24">
        <f t="shared" si="1171"/>
        <v>8396</v>
      </c>
      <c r="P582" s="24">
        <f t="shared" ref="P582:S582" si="1172">L582*$Y$2</f>
        <v>50730.5</v>
      </c>
      <c r="Q582" s="24">
        <f t="shared" si="1172"/>
        <v>4278</v>
      </c>
      <c r="R582" s="24">
        <f t="shared" si="1172"/>
        <v>1155.5</v>
      </c>
      <c r="S582" s="24">
        <f t="shared" si="1172"/>
        <v>2099</v>
      </c>
      <c r="T582" s="24">
        <f t="shared" si="4"/>
        <v>29</v>
      </c>
      <c r="Z582" s="25">
        <f t="shared" si="12"/>
        <v>15249.98669</v>
      </c>
    </row>
    <row r="583">
      <c r="A583" s="16" t="s">
        <v>36</v>
      </c>
      <c r="B583" s="17">
        <v>282.0</v>
      </c>
      <c r="C583" s="24">
        <f t="shared" si="610"/>
        <v>269969245.9</v>
      </c>
      <c r="D583" s="25">
        <v>0.05</v>
      </c>
      <c r="E583" s="24">
        <f t="shared" si="611"/>
        <v>2610.046623</v>
      </c>
      <c r="F583" s="25">
        <v>0.02</v>
      </c>
      <c r="G583" s="24">
        <f t="shared" si="612"/>
        <v>40495386.88</v>
      </c>
      <c r="H583" s="25">
        <v>0.05</v>
      </c>
      <c r="I583" s="24">
        <f t="shared" si="613"/>
        <v>11745.2098</v>
      </c>
      <c r="J583" s="25">
        <v>0.02</v>
      </c>
      <c r="K583" s="25">
        <v>0.0</v>
      </c>
      <c r="L583" s="24">
        <f t="shared" si="810"/>
        <v>204147</v>
      </c>
      <c r="M583" s="24">
        <f t="shared" si="1010"/>
        <v>17211</v>
      </c>
      <c r="N583" s="24">
        <f t="shared" ref="N583:O583" si="1173">IF(N582="", "", 1 + MROUND(IFERROR(MINIFS(OFFSET(N582, -1, 0, -$B583, 1), OFFSET(N582, -1, 0, -$B583, 1), "&gt;0"), N582) + (LN(1 + $Z583) ^ W$2) * W$3, 1))</f>
        <v>4672</v>
      </c>
      <c r="O583" s="24">
        <f t="shared" si="1173"/>
        <v>8446</v>
      </c>
      <c r="P583" s="24">
        <f t="shared" ref="P583:S583" si="1174">L583*$Y$2</f>
        <v>51036.75</v>
      </c>
      <c r="Q583" s="24">
        <f t="shared" si="1174"/>
        <v>4302.75</v>
      </c>
      <c r="R583" s="24">
        <f t="shared" si="1174"/>
        <v>1168</v>
      </c>
      <c r="S583" s="24">
        <f t="shared" si="1174"/>
        <v>2111.5</v>
      </c>
      <c r="T583" s="24">
        <f t="shared" si="4"/>
        <v>29</v>
      </c>
      <c r="Z583" s="25">
        <f t="shared" si="12"/>
        <v>15783.77122</v>
      </c>
    </row>
    <row r="584">
      <c r="A584" s="16" t="s">
        <v>36</v>
      </c>
      <c r="B584" s="17">
        <v>283.0</v>
      </c>
      <c r="C584" s="24">
        <f t="shared" si="610"/>
        <v>283467708.2</v>
      </c>
      <c r="D584" s="25">
        <v>0.05</v>
      </c>
      <c r="E584" s="24">
        <f t="shared" si="611"/>
        <v>2662.247555</v>
      </c>
      <c r="F584" s="25">
        <v>0.02</v>
      </c>
      <c r="G584" s="24">
        <f t="shared" si="612"/>
        <v>42520156.22</v>
      </c>
      <c r="H584" s="25">
        <v>0.05</v>
      </c>
      <c r="I584" s="24">
        <f t="shared" si="613"/>
        <v>11980.114</v>
      </c>
      <c r="J584" s="25">
        <v>0.02</v>
      </c>
      <c r="K584" s="25">
        <v>0.0</v>
      </c>
      <c r="L584" s="24">
        <f t="shared" si="810"/>
        <v>205375</v>
      </c>
      <c r="M584" s="24">
        <f t="shared" si="1010"/>
        <v>17310</v>
      </c>
      <c r="N584" s="24">
        <f t="shared" ref="N584:O584" si="1175">IF(N583="", "", 1 + MROUND(IFERROR(MINIFS(OFFSET(N583, -1, 0, -$B584, 1), OFFSET(N583, -1, 0, -$B584, 1), "&gt;0"), N583) + (LN(1 + $Z584) ^ W$2) * W$3, 1))</f>
        <v>4722</v>
      </c>
      <c r="O584" s="24">
        <f t="shared" si="1175"/>
        <v>8496</v>
      </c>
      <c r="P584" s="24">
        <f t="shared" ref="P584:S584" si="1176">L584*$Y$2</f>
        <v>51343.75</v>
      </c>
      <c r="Q584" s="24">
        <f t="shared" si="1176"/>
        <v>4327.5</v>
      </c>
      <c r="R584" s="24">
        <f t="shared" si="1176"/>
        <v>1180.5</v>
      </c>
      <c r="S584" s="24">
        <f t="shared" si="1176"/>
        <v>2124</v>
      </c>
      <c r="T584" s="24">
        <f t="shared" si="4"/>
        <v>29</v>
      </c>
      <c r="Z584" s="25">
        <f t="shared" si="12"/>
        <v>16336.23822</v>
      </c>
    </row>
    <row r="585">
      <c r="A585" s="16" t="s">
        <v>36</v>
      </c>
      <c r="B585" s="17">
        <v>284.0</v>
      </c>
      <c r="C585" s="24">
        <f t="shared" si="610"/>
        <v>297641093.6</v>
      </c>
      <c r="D585" s="25">
        <v>0.05</v>
      </c>
      <c r="E585" s="24">
        <f t="shared" si="611"/>
        <v>2715.492506</v>
      </c>
      <c r="F585" s="25">
        <v>0.02</v>
      </c>
      <c r="G585" s="24">
        <f t="shared" si="612"/>
        <v>44646164.03</v>
      </c>
      <c r="H585" s="25">
        <v>0.05</v>
      </c>
      <c r="I585" s="24">
        <f t="shared" si="613"/>
        <v>12219.71628</v>
      </c>
      <c r="J585" s="25">
        <v>0.02</v>
      </c>
      <c r="K585" s="25">
        <v>0.0</v>
      </c>
      <c r="L585" s="24">
        <f t="shared" si="810"/>
        <v>206606</v>
      </c>
      <c r="M585" s="24">
        <f t="shared" si="1010"/>
        <v>17409</v>
      </c>
      <c r="N585" s="24">
        <f t="shared" ref="N585:O585" si="1177">IF(N584="", "", 1 + MROUND(IFERROR(MINIFS(OFFSET(N584, -1, 0, -$B585, 1), OFFSET(N584, -1, 0, -$B585, 1), "&gt;0"), N584) + (LN(1 + $Z585) ^ W$2) * W$3, 1))</f>
        <v>4772</v>
      </c>
      <c r="O585" s="24">
        <f t="shared" si="1177"/>
        <v>8546</v>
      </c>
      <c r="P585" s="24">
        <f t="shared" ref="P585:S585" si="1178">L585*$Y$2</f>
        <v>51651.5</v>
      </c>
      <c r="Q585" s="24">
        <f t="shared" si="1178"/>
        <v>4352.25</v>
      </c>
      <c r="R585" s="24">
        <f t="shared" si="1178"/>
        <v>1193</v>
      </c>
      <c r="S585" s="24">
        <f t="shared" si="1178"/>
        <v>2136.5</v>
      </c>
      <c r="T585" s="24">
        <f t="shared" si="4"/>
        <v>29</v>
      </c>
      <c r="Z585" s="25">
        <f t="shared" si="12"/>
        <v>16908.04155</v>
      </c>
    </row>
    <row r="586">
      <c r="A586" s="16" t="s">
        <v>36</v>
      </c>
      <c r="B586" s="17">
        <v>285.0</v>
      </c>
      <c r="C586" s="24">
        <f t="shared" si="610"/>
        <v>312523148.2</v>
      </c>
      <c r="D586" s="25">
        <v>0.05</v>
      </c>
      <c r="E586" s="24">
        <f t="shared" si="611"/>
        <v>2769.802356</v>
      </c>
      <c r="F586" s="25">
        <v>0.02</v>
      </c>
      <c r="G586" s="24">
        <f t="shared" si="612"/>
        <v>46878472.24</v>
      </c>
      <c r="H586" s="25">
        <v>0.05</v>
      </c>
      <c r="I586" s="24">
        <f t="shared" si="613"/>
        <v>12464.1106</v>
      </c>
      <c r="J586" s="25">
        <v>0.02</v>
      </c>
      <c r="K586" s="25">
        <v>0.0</v>
      </c>
      <c r="L586" s="24">
        <f t="shared" si="810"/>
        <v>207840</v>
      </c>
      <c r="M586" s="24">
        <f t="shared" si="1010"/>
        <v>17509</v>
      </c>
      <c r="N586" s="24">
        <f t="shared" ref="N586:O586" si="1179">IF(N585="", "", 1 + MROUND(IFERROR(MINIFS(OFFSET(N585, -1, 0, -$B586, 1), OFFSET(N585, -1, 0, -$B586, 1), "&gt;0"), N585) + (LN(1 + $Z586) ^ W$2) * W$3, 1))</f>
        <v>4822</v>
      </c>
      <c r="O586" s="24">
        <f t="shared" si="1179"/>
        <v>8596</v>
      </c>
      <c r="P586" s="24">
        <f t="shared" ref="P586:S586" si="1180">L586*$Y$2</f>
        <v>51960</v>
      </c>
      <c r="Q586" s="24">
        <f t="shared" si="1180"/>
        <v>4377.25</v>
      </c>
      <c r="R586" s="24">
        <f t="shared" si="1180"/>
        <v>1205.5</v>
      </c>
      <c r="S586" s="24">
        <f t="shared" si="1180"/>
        <v>2149</v>
      </c>
      <c r="T586" s="24">
        <f t="shared" si="4"/>
        <v>30</v>
      </c>
      <c r="Z586" s="25">
        <f t="shared" si="12"/>
        <v>17499.85801</v>
      </c>
    </row>
    <row r="587">
      <c r="A587" s="16" t="s">
        <v>36</v>
      </c>
      <c r="B587" s="17">
        <v>286.0</v>
      </c>
      <c r="C587" s="24">
        <f t="shared" si="610"/>
        <v>328149305.7</v>
      </c>
      <c r="D587" s="25">
        <v>0.05</v>
      </c>
      <c r="E587" s="24">
        <f t="shared" si="611"/>
        <v>2825.198403</v>
      </c>
      <c r="F587" s="25">
        <v>0.02</v>
      </c>
      <c r="G587" s="24">
        <f t="shared" si="612"/>
        <v>49222395.85</v>
      </c>
      <c r="H587" s="25">
        <v>0.05</v>
      </c>
      <c r="I587" s="24">
        <f t="shared" si="613"/>
        <v>12713.39282</v>
      </c>
      <c r="J587" s="25">
        <v>0.02</v>
      </c>
      <c r="K587" s="25">
        <v>0.0</v>
      </c>
      <c r="L587" s="24">
        <f t="shared" si="810"/>
        <v>209077</v>
      </c>
      <c r="M587" s="24">
        <f t="shared" si="1010"/>
        <v>17609</v>
      </c>
      <c r="N587" s="24">
        <f t="shared" ref="N587:O587" si="1181">IF(N586="", "", 1 + MROUND(IFERROR(MINIFS(OFFSET(N586, -1, 0, -$B587, 1), OFFSET(N586, -1, 0, -$B587, 1), "&gt;0"), N586) + (LN(1 + $Z587) ^ W$2) * W$3, 1))</f>
        <v>4872</v>
      </c>
      <c r="O587" s="24">
        <f t="shared" si="1181"/>
        <v>8646</v>
      </c>
      <c r="P587" s="24">
        <f t="shared" ref="P587:S587" si="1182">L587*$Y$2</f>
        <v>52269.25</v>
      </c>
      <c r="Q587" s="24">
        <f t="shared" si="1182"/>
        <v>4402.25</v>
      </c>
      <c r="R587" s="24">
        <f t="shared" si="1182"/>
        <v>1218</v>
      </c>
      <c r="S587" s="24">
        <f t="shared" si="1182"/>
        <v>2161.5</v>
      </c>
      <c r="T587" s="24">
        <f t="shared" si="4"/>
        <v>30</v>
      </c>
      <c r="Z587" s="25">
        <f t="shared" si="12"/>
        <v>18112.38804</v>
      </c>
    </row>
    <row r="588">
      <c r="A588" s="16" t="s">
        <v>36</v>
      </c>
      <c r="B588" s="17">
        <v>287.0</v>
      </c>
      <c r="C588" s="24">
        <f t="shared" si="610"/>
        <v>344556770.9</v>
      </c>
      <c r="D588" s="25">
        <v>0.05</v>
      </c>
      <c r="E588" s="24">
        <f t="shared" si="611"/>
        <v>2881.702371</v>
      </c>
      <c r="F588" s="25">
        <v>0.02</v>
      </c>
      <c r="G588" s="24">
        <f t="shared" si="612"/>
        <v>51683515.64</v>
      </c>
      <c r="H588" s="25">
        <v>0.05</v>
      </c>
      <c r="I588" s="24">
        <f t="shared" si="613"/>
        <v>12967.66067</v>
      </c>
      <c r="J588" s="25">
        <v>0.02</v>
      </c>
      <c r="K588" s="25">
        <v>0.0</v>
      </c>
      <c r="L588" s="24">
        <f t="shared" si="810"/>
        <v>210317</v>
      </c>
      <c r="M588" s="24">
        <f t="shared" si="1010"/>
        <v>17709</v>
      </c>
      <c r="N588" s="24">
        <f t="shared" ref="N588:O588" si="1183">IF(N587="", "", 1 + MROUND(IFERROR(MINIFS(OFFSET(N587, -1, 0, -$B588, 1), OFFSET(N587, -1, 0, -$B588, 1), "&gt;0"), N587) + (LN(1 + $Z588) ^ W$2) * W$3, 1))</f>
        <v>4923</v>
      </c>
      <c r="O588" s="24">
        <f t="shared" si="1183"/>
        <v>8697</v>
      </c>
      <c r="P588" s="24">
        <f t="shared" ref="P588:S588" si="1184">L588*$Y$2</f>
        <v>52579.25</v>
      </c>
      <c r="Q588" s="24">
        <f t="shared" si="1184"/>
        <v>4427.25</v>
      </c>
      <c r="R588" s="24">
        <f t="shared" si="1184"/>
        <v>1230.75</v>
      </c>
      <c r="S588" s="24">
        <f t="shared" si="1184"/>
        <v>2174.25</v>
      </c>
      <c r="T588" s="24">
        <f t="shared" si="4"/>
        <v>30</v>
      </c>
      <c r="Z588" s="25">
        <f t="shared" si="12"/>
        <v>18746.35662</v>
      </c>
    </row>
    <row r="589">
      <c r="A589" s="16" t="s">
        <v>36</v>
      </c>
      <c r="B589" s="17">
        <v>288.0</v>
      </c>
      <c r="C589" s="24">
        <f t="shared" si="610"/>
        <v>361784609.5</v>
      </c>
      <c r="D589" s="25">
        <v>0.05</v>
      </c>
      <c r="E589" s="24">
        <f t="shared" si="611"/>
        <v>2939.336419</v>
      </c>
      <c r="F589" s="25">
        <v>0.02</v>
      </c>
      <c r="G589" s="24">
        <f t="shared" si="612"/>
        <v>54267691.42</v>
      </c>
      <c r="H589" s="25">
        <v>0.05</v>
      </c>
      <c r="I589" s="24">
        <f t="shared" si="613"/>
        <v>13227.01389</v>
      </c>
      <c r="J589" s="25">
        <v>0.02</v>
      </c>
      <c r="K589" s="25">
        <v>0.0</v>
      </c>
      <c r="L589" s="24">
        <f t="shared" si="810"/>
        <v>211560</v>
      </c>
      <c r="M589" s="24">
        <f t="shared" si="1010"/>
        <v>17809</v>
      </c>
      <c r="N589" s="24">
        <f t="shared" ref="N589:O589" si="1185">IF(N588="", "", 1 + MROUND(IFERROR(MINIFS(OFFSET(N588, -1, 0, -$B589, 1), OFFSET(N588, -1, 0, -$B589, 1), "&gt;0"), N588) + (LN(1 + $Z589) ^ W$2) * W$3, 1))</f>
        <v>4974</v>
      </c>
      <c r="O589" s="24">
        <f t="shared" si="1185"/>
        <v>8748</v>
      </c>
      <c r="P589" s="24">
        <f t="shared" ref="P589:S589" si="1186">L589*$Y$2</f>
        <v>52890</v>
      </c>
      <c r="Q589" s="24">
        <f t="shared" si="1186"/>
        <v>4452.25</v>
      </c>
      <c r="R589" s="24">
        <f t="shared" si="1186"/>
        <v>1243.5</v>
      </c>
      <c r="S589" s="24">
        <f t="shared" si="1186"/>
        <v>2187</v>
      </c>
      <c r="T589" s="24">
        <f t="shared" si="4"/>
        <v>30</v>
      </c>
      <c r="Z589" s="25">
        <f t="shared" si="12"/>
        <v>19402.5141</v>
      </c>
    </row>
    <row r="590">
      <c r="A590" s="16" t="s">
        <v>36</v>
      </c>
      <c r="B590" s="17">
        <v>289.0</v>
      </c>
      <c r="C590" s="24">
        <f t="shared" si="610"/>
        <v>379873840</v>
      </c>
      <c r="D590" s="25">
        <v>0.05</v>
      </c>
      <c r="E590" s="24">
        <f t="shared" si="611"/>
        <v>2998.123147</v>
      </c>
      <c r="F590" s="25">
        <v>0.02</v>
      </c>
      <c r="G590" s="24">
        <f t="shared" si="612"/>
        <v>56981075.99</v>
      </c>
      <c r="H590" s="25">
        <v>0.05</v>
      </c>
      <c r="I590" s="24">
        <f t="shared" si="613"/>
        <v>13491.55416</v>
      </c>
      <c r="J590" s="25">
        <v>0.02</v>
      </c>
      <c r="K590" s="25">
        <v>0.0</v>
      </c>
      <c r="L590" s="24">
        <f t="shared" si="810"/>
        <v>212806</v>
      </c>
      <c r="M590" s="24">
        <f t="shared" si="1010"/>
        <v>17910</v>
      </c>
      <c r="N590" s="24">
        <f t="shared" ref="N590:O590" si="1187">IF(N589="", "", 1 + MROUND(IFERROR(MINIFS(OFFSET(N589, -1, 0, -$B590, 1), OFFSET(N589, -1, 0, -$B590, 1), "&gt;0"), N589) + (LN(1 + $Z590) ^ W$2) * W$3, 1))</f>
        <v>5025</v>
      </c>
      <c r="O590" s="24">
        <f t="shared" si="1187"/>
        <v>8799</v>
      </c>
      <c r="P590" s="24">
        <f t="shared" ref="P590:S590" si="1188">L590*$Y$2</f>
        <v>53201.5</v>
      </c>
      <c r="Q590" s="24">
        <f t="shared" si="1188"/>
        <v>4477.5</v>
      </c>
      <c r="R590" s="24">
        <f t="shared" si="1188"/>
        <v>1256.25</v>
      </c>
      <c r="S590" s="24">
        <f t="shared" si="1188"/>
        <v>2199.75</v>
      </c>
      <c r="T590" s="24">
        <f t="shared" si="4"/>
        <v>30</v>
      </c>
      <c r="Z590" s="25">
        <f t="shared" si="12"/>
        <v>20081.63709</v>
      </c>
    </row>
    <row r="591">
      <c r="A591" s="16" t="s">
        <v>36</v>
      </c>
      <c r="B591" s="17">
        <v>290.0</v>
      </c>
      <c r="C591" s="24">
        <f t="shared" si="610"/>
        <v>398867532</v>
      </c>
      <c r="D591" s="25">
        <v>0.05</v>
      </c>
      <c r="E591" s="24">
        <f t="shared" si="611"/>
        <v>3058.08561</v>
      </c>
      <c r="F591" s="25">
        <v>0.02</v>
      </c>
      <c r="G591" s="24">
        <f t="shared" si="612"/>
        <v>59830129.79</v>
      </c>
      <c r="H591" s="25">
        <v>0.05</v>
      </c>
      <c r="I591" s="24">
        <f t="shared" si="613"/>
        <v>13761.38525</v>
      </c>
      <c r="J591" s="25">
        <v>0.02</v>
      </c>
      <c r="K591" s="25">
        <v>0.0</v>
      </c>
      <c r="L591" s="24">
        <f t="shared" si="810"/>
        <v>214055</v>
      </c>
      <c r="M591" s="24">
        <f t="shared" si="1010"/>
        <v>18011</v>
      </c>
      <c r="N591" s="24">
        <f t="shared" ref="N591:O591" si="1189">IF(N590="", "", 1 + MROUND(IFERROR(MINIFS(OFFSET(N590, -1, 0, -$B591, 1), OFFSET(N590, -1, 0, -$B591, 1), "&gt;0"), N590) + (LN(1 + $Z591) ^ W$2) * W$3, 1))</f>
        <v>5076</v>
      </c>
      <c r="O591" s="24">
        <f t="shared" si="1189"/>
        <v>8850</v>
      </c>
      <c r="P591" s="24">
        <f t="shared" ref="P591:S591" si="1190">L591*$Y$2</f>
        <v>53513.75</v>
      </c>
      <c r="Q591" s="24">
        <f t="shared" si="1190"/>
        <v>4502.75</v>
      </c>
      <c r="R591" s="24">
        <f t="shared" si="1190"/>
        <v>1269</v>
      </c>
      <c r="S591" s="24">
        <f t="shared" si="1190"/>
        <v>2212.5</v>
      </c>
      <c r="T591" s="24">
        <f t="shared" si="4"/>
        <v>30</v>
      </c>
      <c r="Z591" s="25">
        <f t="shared" si="12"/>
        <v>20784.52939</v>
      </c>
    </row>
    <row r="592">
      <c r="A592" s="16" t="s">
        <v>36</v>
      </c>
      <c r="B592" s="17">
        <v>291.0</v>
      </c>
      <c r="C592" s="24">
        <f t="shared" si="610"/>
        <v>418810908.6</v>
      </c>
      <c r="D592" s="25">
        <v>0.05</v>
      </c>
      <c r="E592" s="24">
        <f t="shared" si="611"/>
        <v>3119.247322</v>
      </c>
      <c r="F592" s="25">
        <v>0.02</v>
      </c>
      <c r="G592" s="24">
        <f t="shared" si="612"/>
        <v>62821636.28</v>
      </c>
      <c r="H592" s="25">
        <v>0.05</v>
      </c>
      <c r="I592" s="24">
        <f t="shared" si="613"/>
        <v>14036.61295</v>
      </c>
      <c r="J592" s="25">
        <v>0.02</v>
      </c>
      <c r="K592" s="25">
        <v>0.0</v>
      </c>
      <c r="L592" s="24">
        <f t="shared" si="810"/>
        <v>215307</v>
      </c>
      <c r="M592" s="24">
        <f t="shared" si="1010"/>
        <v>18112</v>
      </c>
      <c r="N592" s="24">
        <f t="shared" ref="N592:O592" si="1191">IF(N591="", "", 1 + MROUND(IFERROR(MINIFS(OFFSET(N591, -1, 0, -$B592, 1), OFFSET(N591, -1, 0, -$B592, 1), "&gt;0"), N591) + (LN(1 + $Z592) ^ W$2) * W$3, 1))</f>
        <v>5127</v>
      </c>
      <c r="O592" s="24">
        <f t="shared" si="1191"/>
        <v>8901</v>
      </c>
      <c r="P592" s="24">
        <f t="shared" ref="P592:S592" si="1192">L592*$Y$2</f>
        <v>53826.75</v>
      </c>
      <c r="Q592" s="24">
        <f t="shared" si="1192"/>
        <v>4528</v>
      </c>
      <c r="R592" s="24">
        <f t="shared" si="1192"/>
        <v>1281.75</v>
      </c>
      <c r="S592" s="24">
        <f t="shared" si="1192"/>
        <v>2225.25</v>
      </c>
      <c r="T592" s="24">
        <f t="shared" si="4"/>
        <v>30</v>
      </c>
      <c r="Z592" s="25">
        <f t="shared" si="12"/>
        <v>21512.02292</v>
      </c>
    </row>
    <row r="593">
      <c r="A593" s="16" t="s">
        <v>36</v>
      </c>
      <c r="B593" s="17">
        <v>292.0</v>
      </c>
      <c r="C593" s="24">
        <f t="shared" si="610"/>
        <v>439751454</v>
      </c>
      <c r="D593" s="25">
        <v>0.05</v>
      </c>
      <c r="E593" s="24">
        <f t="shared" si="611"/>
        <v>3181.632269</v>
      </c>
      <c r="F593" s="25">
        <v>0.02</v>
      </c>
      <c r="G593" s="24">
        <f t="shared" si="612"/>
        <v>65962718.1</v>
      </c>
      <c r="H593" s="25">
        <v>0.05</v>
      </c>
      <c r="I593" s="24">
        <f t="shared" si="613"/>
        <v>14317.34521</v>
      </c>
      <c r="J593" s="25">
        <v>0.02</v>
      </c>
      <c r="K593" s="25">
        <v>0.0</v>
      </c>
      <c r="L593" s="24">
        <f t="shared" si="810"/>
        <v>216562</v>
      </c>
      <c r="M593" s="24">
        <f t="shared" si="1010"/>
        <v>18213</v>
      </c>
      <c r="N593" s="24">
        <f t="shared" ref="N593:O593" si="1193">IF(N592="", "", 1 + MROUND(IFERROR(MINIFS(OFFSET(N592, -1, 0, -$B593, 1), OFFSET(N592, -1, 0, -$B593, 1), "&gt;0"), N592) + (LN(1 + $Z593) ^ W$2) * W$3, 1))</f>
        <v>5178</v>
      </c>
      <c r="O593" s="24">
        <f t="shared" si="1193"/>
        <v>8952</v>
      </c>
      <c r="P593" s="24">
        <f t="shared" ref="P593:S593" si="1194">L593*$Y$2</f>
        <v>54140.5</v>
      </c>
      <c r="Q593" s="24">
        <f t="shared" si="1194"/>
        <v>4553.25</v>
      </c>
      <c r="R593" s="24">
        <f t="shared" si="1194"/>
        <v>1294.5</v>
      </c>
      <c r="S593" s="24">
        <f t="shared" si="1194"/>
        <v>2238</v>
      </c>
      <c r="T593" s="24">
        <f t="shared" si="4"/>
        <v>30</v>
      </c>
      <c r="Z593" s="25">
        <f t="shared" si="12"/>
        <v>22264.97872</v>
      </c>
    </row>
    <row r="594">
      <c r="A594" s="16" t="s">
        <v>36</v>
      </c>
      <c r="B594" s="17">
        <v>293.0</v>
      </c>
      <c r="C594" s="24">
        <f t="shared" si="610"/>
        <v>461739026.7</v>
      </c>
      <c r="D594" s="25">
        <v>0.05</v>
      </c>
      <c r="E594" s="24">
        <f t="shared" si="611"/>
        <v>3245.264914</v>
      </c>
      <c r="F594" s="25">
        <v>0.02</v>
      </c>
      <c r="G594" s="24">
        <f t="shared" si="612"/>
        <v>69260854</v>
      </c>
      <c r="H594" s="25">
        <v>0.05</v>
      </c>
      <c r="I594" s="24">
        <f t="shared" si="613"/>
        <v>14603.69211</v>
      </c>
      <c r="J594" s="25">
        <v>0.02</v>
      </c>
      <c r="K594" s="25">
        <v>0.0</v>
      </c>
      <c r="L594" s="24">
        <f t="shared" si="810"/>
        <v>217820</v>
      </c>
      <c r="M594" s="24">
        <f t="shared" si="1010"/>
        <v>18315</v>
      </c>
      <c r="N594" s="24">
        <f t="shared" ref="N594:O594" si="1195">IF(N593="", "", 1 + MROUND(IFERROR(MINIFS(OFFSET(N593, -1, 0, -$B594, 1), OFFSET(N593, -1, 0, -$B594, 1), "&gt;0"), N593) + (LN(1 + $Z594) ^ W$2) * W$3, 1))</f>
        <v>5229</v>
      </c>
      <c r="O594" s="24">
        <f t="shared" si="1195"/>
        <v>9003</v>
      </c>
      <c r="P594" s="24">
        <f t="shared" ref="P594:S594" si="1196">L594*$Y$2</f>
        <v>54455</v>
      </c>
      <c r="Q594" s="24">
        <f t="shared" si="1196"/>
        <v>4578.75</v>
      </c>
      <c r="R594" s="24">
        <f t="shared" si="1196"/>
        <v>1307.25</v>
      </c>
      <c r="S594" s="24">
        <f t="shared" si="1196"/>
        <v>2250.75</v>
      </c>
      <c r="T594" s="24">
        <f t="shared" si="4"/>
        <v>30</v>
      </c>
      <c r="Z594" s="25">
        <f t="shared" si="12"/>
        <v>23044.28798</v>
      </c>
    </row>
    <row r="595">
      <c r="A595" s="16" t="s">
        <v>36</v>
      </c>
      <c r="B595" s="17">
        <v>294.0</v>
      </c>
      <c r="C595" s="24">
        <f t="shared" si="610"/>
        <v>484825978</v>
      </c>
      <c r="D595" s="25">
        <v>0.05</v>
      </c>
      <c r="E595" s="24">
        <f t="shared" si="611"/>
        <v>3310.170213</v>
      </c>
      <c r="F595" s="25">
        <v>0.02</v>
      </c>
      <c r="G595" s="24">
        <f t="shared" si="612"/>
        <v>72723896.7</v>
      </c>
      <c r="H595" s="25">
        <v>0.05</v>
      </c>
      <c r="I595" s="24">
        <f t="shared" si="613"/>
        <v>14895.76596</v>
      </c>
      <c r="J595" s="25">
        <v>0.02</v>
      </c>
      <c r="K595" s="25">
        <v>0.0</v>
      </c>
      <c r="L595" s="24">
        <f t="shared" si="810"/>
        <v>219081</v>
      </c>
      <c r="M595" s="24">
        <f t="shared" si="1010"/>
        <v>18417</v>
      </c>
      <c r="N595" s="24">
        <f t="shared" ref="N595:O595" si="1197">IF(N594="", "", 1 + MROUND(IFERROR(MINIFS(OFFSET(N594, -1, 0, -$B595, 1), OFFSET(N594, -1, 0, -$B595, 1), "&gt;0"), N594) + (LN(1 + $Z595) ^ W$2) * W$3, 1))</f>
        <v>5280</v>
      </c>
      <c r="O595" s="24">
        <f t="shared" si="1197"/>
        <v>9054</v>
      </c>
      <c r="P595" s="24">
        <f t="shared" ref="P595:S595" si="1198">L595*$Y$2</f>
        <v>54770.25</v>
      </c>
      <c r="Q595" s="24">
        <f t="shared" si="1198"/>
        <v>4604.25</v>
      </c>
      <c r="R595" s="24">
        <f t="shared" si="1198"/>
        <v>1320</v>
      </c>
      <c r="S595" s="24">
        <f t="shared" si="1198"/>
        <v>2263.5</v>
      </c>
      <c r="T595" s="24">
        <f t="shared" si="4"/>
        <v>30</v>
      </c>
      <c r="Z595" s="25">
        <f t="shared" si="12"/>
        <v>23850.87306</v>
      </c>
    </row>
    <row r="596">
      <c r="A596" s="16" t="s">
        <v>36</v>
      </c>
      <c r="B596" s="17">
        <v>295.0</v>
      </c>
      <c r="C596" s="24">
        <f t="shared" si="610"/>
        <v>509067276.9</v>
      </c>
      <c r="D596" s="25">
        <v>0.05</v>
      </c>
      <c r="E596" s="24">
        <f t="shared" si="611"/>
        <v>3376.373617</v>
      </c>
      <c r="F596" s="25">
        <v>0.02</v>
      </c>
      <c r="G596" s="24">
        <f t="shared" si="612"/>
        <v>76360091.54</v>
      </c>
      <c r="H596" s="25">
        <v>0.05</v>
      </c>
      <c r="I596" s="24">
        <f t="shared" si="613"/>
        <v>15193.68128</v>
      </c>
      <c r="J596" s="25">
        <v>0.02</v>
      </c>
      <c r="K596" s="25">
        <v>0.0</v>
      </c>
      <c r="L596" s="24">
        <f t="shared" si="810"/>
        <v>220345</v>
      </c>
      <c r="M596" s="24">
        <f t="shared" si="1010"/>
        <v>18519</v>
      </c>
      <c r="N596" s="24">
        <f t="shared" ref="N596:O596" si="1199">IF(N595="", "", 1 + MROUND(IFERROR(MINIFS(OFFSET(N595, -1, 0, -$B596, 1), OFFSET(N595, -1, 0, -$B596, 1), "&gt;0"), N595) + (LN(1 + $Z596) ^ W$2) * W$3, 1))</f>
        <v>5332</v>
      </c>
      <c r="O596" s="24">
        <f t="shared" si="1199"/>
        <v>9106</v>
      </c>
      <c r="P596" s="24">
        <f t="shared" ref="P596:S596" si="1200">L596*$Y$2</f>
        <v>55086.25</v>
      </c>
      <c r="Q596" s="24">
        <f t="shared" si="1200"/>
        <v>4629.75</v>
      </c>
      <c r="R596" s="24">
        <f t="shared" si="1200"/>
        <v>1333</v>
      </c>
      <c r="S596" s="24">
        <f t="shared" si="1200"/>
        <v>2276.5</v>
      </c>
      <c r="T596" s="24">
        <f t="shared" si="4"/>
        <v>31</v>
      </c>
      <c r="Z596" s="25">
        <f t="shared" si="12"/>
        <v>24685.68862</v>
      </c>
    </row>
    <row r="597">
      <c r="A597" s="16" t="s">
        <v>36</v>
      </c>
      <c r="B597" s="17">
        <v>296.0</v>
      </c>
      <c r="C597" s="24">
        <f t="shared" si="610"/>
        <v>534520640.8</v>
      </c>
      <c r="D597" s="25">
        <v>0.05</v>
      </c>
      <c r="E597" s="24">
        <f t="shared" si="611"/>
        <v>3443.901089</v>
      </c>
      <c r="F597" s="25">
        <v>0.02</v>
      </c>
      <c r="G597" s="24">
        <f t="shared" si="612"/>
        <v>80178096.11</v>
      </c>
      <c r="H597" s="25">
        <v>0.05</v>
      </c>
      <c r="I597" s="24">
        <f t="shared" si="613"/>
        <v>15497.5549</v>
      </c>
      <c r="J597" s="25">
        <v>0.02</v>
      </c>
      <c r="K597" s="25">
        <v>0.0</v>
      </c>
      <c r="L597" s="24">
        <f t="shared" si="810"/>
        <v>221612</v>
      </c>
      <c r="M597" s="24">
        <f t="shared" si="1010"/>
        <v>18621</v>
      </c>
      <c r="N597" s="24">
        <f t="shared" ref="N597:O597" si="1201">IF(N596="", "", 1 + MROUND(IFERROR(MINIFS(OFFSET(N596, -1, 0, -$B597, 1), OFFSET(N596, -1, 0, -$B597, 1), "&gt;0"), N596) + (LN(1 + $Z597) ^ W$2) * W$3, 1))</f>
        <v>5384</v>
      </c>
      <c r="O597" s="24">
        <f t="shared" si="1201"/>
        <v>9158</v>
      </c>
      <c r="P597" s="24">
        <f t="shared" ref="P597:S597" si="1202">L597*$Y$2</f>
        <v>55403</v>
      </c>
      <c r="Q597" s="24">
        <f t="shared" si="1202"/>
        <v>4655.25</v>
      </c>
      <c r="R597" s="24">
        <f t="shared" si="1202"/>
        <v>1346</v>
      </c>
      <c r="S597" s="24">
        <f t="shared" si="1202"/>
        <v>2289.5</v>
      </c>
      <c r="T597" s="24">
        <f t="shared" si="4"/>
        <v>31</v>
      </c>
      <c r="Z597" s="25">
        <f t="shared" si="12"/>
        <v>25549.72272</v>
      </c>
    </row>
    <row r="598">
      <c r="A598" s="16" t="s">
        <v>36</v>
      </c>
      <c r="B598" s="17">
        <v>297.0</v>
      </c>
      <c r="C598" s="24">
        <f t="shared" si="610"/>
        <v>561246672.8</v>
      </c>
      <c r="D598" s="25">
        <v>0.05</v>
      </c>
      <c r="E598" s="24">
        <f t="shared" si="611"/>
        <v>3512.779111</v>
      </c>
      <c r="F598" s="25">
        <v>0.02</v>
      </c>
      <c r="G598" s="24">
        <f t="shared" si="612"/>
        <v>84187000.92</v>
      </c>
      <c r="H598" s="25">
        <v>0.05</v>
      </c>
      <c r="I598" s="24">
        <f t="shared" si="613"/>
        <v>15807.506</v>
      </c>
      <c r="J598" s="25">
        <v>0.02</v>
      </c>
      <c r="K598" s="25">
        <v>0.0</v>
      </c>
      <c r="L598" s="24">
        <f t="shared" si="810"/>
        <v>222882</v>
      </c>
      <c r="M598" s="24">
        <f t="shared" si="1010"/>
        <v>18724</v>
      </c>
      <c r="N598" s="24">
        <f t="shared" ref="N598:O598" si="1203">IF(N597="", "", 1 + MROUND(IFERROR(MINIFS(OFFSET(N597, -1, 0, -$B598, 1), OFFSET(N597, -1, 0, -$B598, 1), "&gt;0"), N597) + (LN(1 + $Z598) ^ W$2) * W$3, 1))</f>
        <v>5436</v>
      </c>
      <c r="O598" s="24">
        <f t="shared" si="1203"/>
        <v>9210</v>
      </c>
      <c r="P598" s="24">
        <f t="shared" ref="P598:S598" si="1204">L598*$Y$2</f>
        <v>55720.5</v>
      </c>
      <c r="Q598" s="24">
        <f t="shared" si="1204"/>
        <v>4681</v>
      </c>
      <c r="R598" s="24">
        <f t="shared" si="1204"/>
        <v>1359</v>
      </c>
      <c r="S598" s="24">
        <f t="shared" si="1204"/>
        <v>2302.5</v>
      </c>
      <c r="T598" s="24">
        <f t="shared" si="4"/>
        <v>31</v>
      </c>
      <c r="Z598" s="25">
        <f t="shared" si="12"/>
        <v>26443.99801</v>
      </c>
    </row>
    <row r="599">
      <c r="A599" s="16" t="s">
        <v>36</v>
      </c>
      <c r="B599" s="17">
        <v>298.0</v>
      </c>
      <c r="C599" s="24">
        <f t="shared" si="610"/>
        <v>589309006.4</v>
      </c>
      <c r="D599" s="25">
        <v>0.05</v>
      </c>
      <c r="E599" s="24">
        <f t="shared" si="611"/>
        <v>3583.034693</v>
      </c>
      <c r="F599" s="25">
        <v>0.02</v>
      </c>
      <c r="G599" s="24">
        <f t="shared" si="612"/>
        <v>88396350.97</v>
      </c>
      <c r="H599" s="25">
        <v>0.05</v>
      </c>
      <c r="I599" s="24">
        <f t="shared" si="613"/>
        <v>16123.65612</v>
      </c>
      <c r="J599" s="25">
        <v>0.02</v>
      </c>
      <c r="K599" s="25">
        <v>0.0</v>
      </c>
      <c r="L599" s="24">
        <f t="shared" si="810"/>
        <v>224155</v>
      </c>
      <c r="M599" s="24">
        <f t="shared" si="1010"/>
        <v>18827</v>
      </c>
      <c r="N599" s="24">
        <f t="shared" ref="N599:O599" si="1205">IF(N598="", "", 1 + MROUND(IFERROR(MINIFS(OFFSET(N598, -1, 0, -$B599, 1), OFFSET(N598, -1, 0, -$B599, 1), "&gt;0"), N598) + (LN(1 + $Z599) ^ W$2) * W$3, 1))</f>
        <v>5488</v>
      </c>
      <c r="O599" s="24">
        <f t="shared" si="1205"/>
        <v>9262</v>
      </c>
      <c r="P599" s="24">
        <f t="shared" ref="P599:S599" si="1206">L599*$Y$2</f>
        <v>56038.75</v>
      </c>
      <c r="Q599" s="24">
        <f t="shared" si="1206"/>
        <v>4706.75</v>
      </c>
      <c r="R599" s="24">
        <f t="shared" si="1206"/>
        <v>1372</v>
      </c>
      <c r="S599" s="24">
        <f t="shared" si="1206"/>
        <v>2315.5</v>
      </c>
      <c r="T599" s="24">
        <f t="shared" si="4"/>
        <v>31</v>
      </c>
      <c r="Z599" s="25">
        <f t="shared" si="12"/>
        <v>27369.57294</v>
      </c>
    </row>
    <row r="600">
      <c r="A600" s="16" t="s">
        <v>36</v>
      </c>
      <c r="B600" s="17">
        <v>299.0</v>
      </c>
      <c r="C600" s="24">
        <f t="shared" si="610"/>
        <v>618774456.8</v>
      </c>
      <c r="D600" s="25">
        <v>0.05</v>
      </c>
      <c r="E600" s="24">
        <f t="shared" si="611"/>
        <v>3654.695387</v>
      </c>
      <c r="F600" s="25">
        <v>0.02</v>
      </c>
      <c r="G600" s="24">
        <f t="shared" si="612"/>
        <v>92816168.51</v>
      </c>
      <c r="H600" s="25">
        <v>0.05</v>
      </c>
      <c r="I600" s="24">
        <f t="shared" si="613"/>
        <v>16446.12924</v>
      </c>
      <c r="J600" s="25">
        <v>0.02</v>
      </c>
      <c r="K600" s="25">
        <v>0.0</v>
      </c>
      <c r="L600" s="24">
        <f t="shared" si="810"/>
        <v>225431</v>
      </c>
      <c r="M600" s="24">
        <f t="shared" si="1010"/>
        <v>18930</v>
      </c>
      <c r="N600" s="24">
        <f t="shared" ref="N600:O600" si="1207">IF(N599="", "", 1 + MROUND(IFERROR(MINIFS(OFFSET(N599, -1, 0, -$B600, 1), OFFSET(N599, -1, 0, -$B600, 1), "&gt;0"), N599) + (LN(1 + $Z600) ^ W$2) * W$3, 1))</f>
        <v>5540</v>
      </c>
      <c r="O600" s="24">
        <f t="shared" si="1207"/>
        <v>9314</v>
      </c>
      <c r="P600" s="24">
        <f t="shared" ref="P600:S600" si="1208">L600*$Y$2</f>
        <v>56357.75</v>
      </c>
      <c r="Q600" s="24">
        <f t="shared" si="1208"/>
        <v>4732.5</v>
      </c>
      <c r="R600" s="24">
        <f t="shared" si="1208"/>
        <v>1385</v>
      </c>
      <c r="S600" s="24">
        <f t="shared" si="1208"/>
        <v>2328.5</v>
      </c>
      <c r="T600" s="24">
        <f t="shared" si="4"/>
        <v>31</v>
      </c>
      <c r="Z600" s="25">
        <f t="shared" si="12"/>
        <v>28327.543</v>
      </c>
    </row>
    <row r="601">
      <c r="A601" s="16" t="s">
        <v>36</v>
      </c>
      <c r="B601" s="17">
        <v>300.0</v>
      </c>
      <c r="C601" s="24">
        <f t="shared" si="610"/>
        <v>649713179.6</v>
      </c>
      <c r="D601" s="25">
        <v>0.05</v>
      </c>
      <c r="E601" s="24">
        <f t="shared" si="611"/>
        <v>3727.789295</v>
      </c>
      <c r="F601" s="25">
        <v>0.02</v>
      </c>
      <c r="G601" s="24">
        <f t="shared" si="612"/>
        <v>97456976.94</v>
      </c>
      <c r="H601" s="25">
        <v>0.05</v>
      </c>
      <c r="I601" s="24">
        <f t="shared" si="613"/>
        <v>16775.05183</v>
      </c>
      <c r="J601" s="25">
        <v>0.02</v>
      </c>
      <c r="K601" s="25">
        <v>0.0</v>
      </c>
      <c r="L601" s="24">
        <f t="shared" si="810"/>
        <v>226710</v>
      </c>
      <c r="M601" s="24">
        <f t="shared" si="1010"/>
        <v>19033</v>
      </c>
      <c r="N601" s="24">
        <f t="shared" ref="N601:O601" si="1209">IF(N600="", "", 1 + MROUND(IFERROR(MINIFS(OFFSET(N600, -1, 0, -$B601, 1), OFFSET(N600, -1, 0, -$B601, 1), "&gt;0"), N600) + (LN(1 + $Z601) ^ W$2) * W$3, 1))</f>
        <v>5592</v>
      </c>
      <c r="O601" s="24">
        <f t="shared" si="1209"/>
        <v>9366</v>
      </c>
      <c r="P601" s="24">
        <f t="shared" ref="P601:S601" si="1210">L601*$Y$2</f>
        <v>56677.5</v>
      </c>
      <c r="Q601" s="24">
        <f t="shared" si="1210"/>
        <v>4758.25</v>
      </c>
      <c r="R601" s="24">
        <f t="shared" si="1210"/>
        <v>1398</v>
      </c>
      <c r="S601" s="24">
        <f t="shared" si="1210"/>
        <v>2341.5</v>
      </c>
      <c r="T601" s="24">
        <f t="shared" si="4"/>
        <v>31</v>
      </c>
      <c r="Z601" s="25">
        <f t="shared" si="12"/>
        <v>29319.042</v>
      </c>
    </row>
    <row r="602">
      <c r="A602" s="16" t="s">
        <v>35</v>
      </c>
      <c r="B602" s="17">
        <v>1.0</v>
      </c>
      <c r="C602" s="24">
        <v>350.0</v>
      </c>
      <c r="D602" s="25">
        <v>0.05</v>
      </c>
      <c r="E602" s="24">
        <v>45.0</v>
      </c>
      <c r="F602" s="25">
        <v>0.02</v>
      </c>
      <c r="G602" s="24">
        <v>45.0</v>
      </c>
      <c r="H602" s="25">
        <v>0.05</v>
      </c>
      <c r="I602" s="24">
        <v>0.0</v>
      </c>
      <c r="J602" s="25">
        <v>0.0</v>
      </c>
      <c r="K602" s="25">
        <v>0.0</v>
      </c>
      <c r="L602" s="24"/>
      <c r="M602" s="24"/>
      <c r="N602" s="24">
        <v>5.0</v>
      </c>
      <c r="O602" s="24">
        <v>120.0</v>
      </c>
      <c r="P602" s="24">
        <f t="shared" ref="P602:S602" si="1211">L602*$Y$2</f>
        <v>0</v>
      </c>
      <c r="Q602" s="24">
        <f t="shared" si="1211"/>
        <v>0</v>
      </c>
      <c r="R602" s="24">
        <f t="shared" si="1211"/>
        <v>1.25</v>
      </c>
      <c r="S602" s="24">
        <f t="shared" si="1211"/>
        <v>30</v>
      </c>
      <c r="T602" s="24">
        <f t="shared" si="4"/>
        <v>1</v>
      </c>
      <c r="Z602" s="25">
        <f t="shared" si="12"/>
        <v>0</v>
      </c>
    </row>
    <row r="603">
      <c r="A603" s="16" t="s">
        <v>35</v>
      </c>
      <c r="B603" s="17">
        <v>2.0</v>
      </c>
      <c r="C603" s="24">
        <f t="shared" ref="C603:C901" si="1214">C602+D602*C602</f>
        <v>367.5</v>
      </c>
      <c r="D603" s="25">
        <v>0.05</v>
      </c>
      <c r="E603" s="24">
        <f t="shared" ref="E603:E901" si="1215">E602+F602*E602</f>
        <v>45.9</v>
      </c>
      <c r="F603" s="25">
        <v>0.02</v>
      </c>
      <c r="G603" s="24">
        <f t="shared" ref="G603:G901" si="1216">G602+H602*G602</f>
        <v>47.25</v>
      </c>
      <c r="H603" s="25">
        <v>0.05</v>
      </c>
      <c r="I603" s="24">
        <f t="shared" ref="I603:I901" si="1217">I602+J602*I602</f>
        <v>0</v>
      </c>
      <c r="J603" s="25">
        <v>0.02</v>
      </c>
      <c r="K603" s="25">
        <v>0.0</v>
      </c>
      <c r="L603" s="24" t="str">
        <f t="shared" ref="L603:O603" si="1212">IF(L602="", "", 1 + MROUND(IFERROR(MINIFS(OFFSET(L602, -1, 0, -$B603, 1), OFFSET(L602, -1, 0, -$B603, 1), "&gt;0"), L602) + (LN(1 + $Z603) ^ U$2) * U$3, 1))</f>
        <v/>
      </c>
      <c r="M603" s="24" t="str">
        <f t="shared" si="1212"/>
        <v/>
      </c>
      <c r="N603" s="24">
        <f t="shared" si="1212"/>
        <v>7</v>
      </c>
      <c r="O603" s="24">
        <f t="shared" si="1212"/>
        <v>122</v>
      </c>
      <c r="P603" s="24">
        <f t="shared" ref="P603:S603" si="1213">L603*$Y$2</f>
        <v>0</v>
      </c>
      <c r="Q603" s="24">
        <f t="shared" si="1213"/>
        <v>0</v>
      </c>
      <c r="R603" s="24">
        <f t="shared" si="1213"/>
        <v>1.75</v>
      </c>
      <c r="S603" s="24">
        <f t="shared" si="1213"/>
        <v>30.5</v>
      </c>
      <c r="T603" s="24">
        <f t="shared" si="4"/>
        <v>1</v>
      </c>
      <c r="Z603" s="25">
        <f t="shared" si="12"/>
        <v>0.035</v>
      </c>
    </row>
    <row r="604">
      <c r="A604" s="16" t="s">
        <v>35</v>
      </c>
      <c r="B604" s="17">
        <v>3.0</v>
      </c>
      <c r="C604" s="24">
        <f t="shared" si="1214"/>
        <v>385.875</v>
      </c>
      <c r="D604" s="25">
        <v>0.05</v>
      </c>
      <c r="E604" s="24">
        <f t="shared" si="1215"/>
        <v>46.818</v>
      </c>
      <c r="F604" s="25">
        <v>0.02</v>
      </c>
      <c r="G604" s="24">
        <f t="shared" si="1216"/>
        <v>49.6125</v>
      </c>
      <c r="H604" s="25">
        <v>0.05</v>
      </c>
      <c r="I604" s="24">
        <f t="shared" si="1217"/>
        <v>0</v>
      </c>
      <c r="J604" s="25">
        <v>0.02</v>
      </c>
      <c r="K604" s="25">
        <v>0.0</v>
      </c>
      <c r="L604" s="24" t="str">
        <f t="shared" ref="L604:O604" si="1218">IF(L603="", "", 1 + MROUND(IFERROR(MINIFS(OFFSET(L603, -1, 0, -$B604, 1), OFFSET(L603, -1, 0, -$B604, 1), "&gt;0"), L603) + (LN(1 + $Z604) ^ U$2) * U$3, 1))</f>
        <v/>
      </c>
      <c r="M604" s="24" t="str">
        <f t="shared" si="1218"/>
        <v/>
      </c>
      <c r="N604" s="24">
        <f t="shared" si="1218"/>
        <v>10</v>
      </c>
      <c r="O604" s="24">
        <f t="shared" si="1218"/>
        <v>125</v>
      </c>
      <c r="P604" s="24">
        <f t="shared" ref="P604:S604" si="1219">L604*$Y$2</f>
        <v>0</v>
      </c>
      <c r="Q604" s="24">
        <f t="shared" si="1219"/>
        <v>0</v>
      </c>
      <c r="R604" s="24">
        <f t="shared" si="1219"/>
        <v>2.5</v>
      </c>
      <c r="S604" s="24">
        <f t="shared" si="1219"/>
        <v>31.25</v>
      </c>
      <c r="T604" s="24">
        <f t="shared" si="4"/>
        <v>1</v>
      </c>
      <c r="Z604" s="25">
        <f t="shared" si="12"/>
        <v>0.071225</v>
      </c>
    </row>
    <row r="605">
      <c r="A605" s="16" t="s">
        <v>35</v>
      </c>
      <c r="B605" s="17">
        <v>4.0</v>
      </c>
      <c r="C605" s="24">
        <f t="shared" si="1214"/>
        <v>405.16875</v>
      </c>
      <c r="D605" s="25">
        <v>0.05</v>
      </c>
      <c r="E605" s="24">
        <f t="shared" si="1215"/>
        <v>47.75436</v>
      </c>
      <c r="F605" s="25">
        <v>0.02</v>
      </c>
      <c r="G605" s="24">
        <f t="shared" si="1216"/>
        <v>52.093125</v>
      </c>
      <c r="H605" s="25">
        <v>0.05</v>
      </c>
      <c r="I605" s="24">
        <f t="shared" si="1217"/>
        <v>0</v>
      </c>
      <c r="J605" s="25">
        <v>0.02</v>
      </c>
      <c r="K605" s="25">
        <v>0.0</v>
      </c>
      <c r="L605" s="24" t="str">
        <f t="shared" ref="L605:O605" si="1220">IF(L604="", "", 1 + MROUND(IFERROR(MINIFS(OFFSET(L604, -1, 0, -$B605, 1), OFFSET(L604, -1, 0, -$B605, 1), "&gt;0"), L604) + (LN(1 + $Z605) ^ U$2) * U$3, 1))</f>
        <v/>
      </c>
      <c r="M605" s="24" t="str">
        <f t="shared" si="1220"/>
        <v/>
      </c>
      <c r="N605" s="24">
        <f t="shared" si="1220"/>
        <v>13</v>
      </c>
      <c r="O605" s="24">
        <f t="shared" si="1220"/>
        <v>128</v>
      </c>
      <c r="P605" s="24">
        <f t="shared" ref="P605:S605" si="1221">L605*$Y$2</f>
        <v>0</v>
      </c>
      <c r="Q605" s="24">
        <f t="shared" si="1221"/>
        <v>0</v>
      </c>
      <c r="R605" s="24">
        <f t="shared" si="1221"/>
        <v>3.25</v>
      </c>
      <c r="S605" s="24">
        <f t="shared" si="1221"/>
        <v>32</v>
      </c>
      <c r="T605" s="24">
        <f t="shared" si="4"/>
        <v>1</v>
      </c>
      <c r="Z605" s="25">
        <f t="shared" si="12"/>
        <v>0.108717875</v>
      </c>
    </row>
    <row r="606">
      <c r="A606" s="16" t="s">
        <v>35</v>
      </c>
      <c r="B606" s="17">
        <v>5.0</v>
      </c>
      <c r="C606" s="24">
        <f t="shared" si="1214"/>
        <v>425.4271875</v>
      </c>
      <c r="D606" s="25">
        <v>0.05</v>
      </c>
      <c r="E606" s="24">
        <f t="shared" si="1215"/>
        <v>48.7094472</v>
      </c>
      <c r="F606" s="25">
        <v>0.02</v>
      </c>
      <c r="G606" s="24">
        <f t="shared" si="1216"/>
        <v>54.69778125</v>
      </c>
      <c r="H606" s="25">
        <v>0.05</v>
      </c>
      <c r="I606" s="24">
        <f t="shared" si="1217"/>
        <v>0</v>
      </c>
      <c r="J606" s="25">
        <v>0.02</v>
      </c>
      <c r="K606" s="25">
        <v>0.0</v>
      </c>
      <c r="L606" s="24" t="str">
        <f t="shared" ref="L606:O606" si="1222">IF(L605="", "", 1 + MROUND(IFERROR(MINIFS(OFFSET(L605, -1, 0, -$B606, 1), OFFSET(L605, -1, 0, -$B606, 1), "&gt;0"), L605) + (LN(1 + $Z606) ^ U$2) * U$3, 1))</f>
        <v/>
      </c>
      <c r="M606" s="24" t="str">
        <f t="shared" si="1222"/>
        <v/>
      </c>
      <c r="N606" s="24">
        <f t="shared" si="1222"/>
        <v>16</v>
      </c>
      <c r="O606" s="24">
        <f t="shared" si="1222"/>
        <v>131</v>
      </c>
      <c r="P606" s="24">
        <f t="shared" ref="P606:S606" si="1223">L606*$Y$2</f>
        <v>0</v>
      </c>
      <c r="Q606" s="24">
        <f t="shared" si="1223"/>
        <v>0</v>
      </c>
      <c r="R606" s="24">
        <f t="shared" si="1223"/>
        <v>4</v>
      </c>
      <c r="S606" s="24">
        <f t="shared" si="1223"/>
        <v>32.75</v>
      </c>
      <c r="T606" s="24">
        <f t="shared" si="4"/>
        <v>2</v>
      </c>
      <c r="Z606" s="25">
        <f t="shared" si="12"/>
        <v>0.1475230006</v>
      </c>
    </row>
    <row r="607">
      <c r="A607" s="16" t="s">
        <v>35</v>
      </c>
      <c r="B607" s="17">
        <v>6.0</v>
      </c>
      <c r="C607" s="24">
        <f t="shared" si="1214"/>
        <v>446.6985469</v>
      </c>
      <c r="D607" s="25">
        <v>0.05</v>
      </c>
      <c r="E607" s="24">
        <f t="shared" si="1215"/>
        <v>49.68363614</v>
      </c>
      <c r="F607" s="25">
        <v>0.02</v>
      </c>
      <c r="G607" s="24">
        <f t="shared" si="1216"/>
        <v>57.43267031</v>
      </c>
      <c r="H607" s="25">
        <v>0.05</v>
      </c>
      <c r="I607" s="24">
        <f t="shared" si="1217"/>
        <v>0</v>
      </c>
      <c r="J607" s="25">
        <v>0.02</v>
      </c>
      <c r="K607" s="25">
        <v>0.0</v>
      </c>
      <c r="L607" s="24" t="str">
        <f t="shared" ref="L607:O607" si="1224">IF(L606="", "", 1 + MROUND(IFERROR(MINIFS(OFFSET(L606, -1, 0, -$B607, 1), OFFSET(L606, -1, 0, -$B607, 1), "&gt;0"), L606) + (LN(1 + $Z607) ^ U$2) * U$3, 1))</f>
        <v/>
      </c>
      <c r="M607" s="24" t="str">
        <f t="shared" si="1224"/>
        <v/>
      </c>
      <c r="N607" s="24">
        <f t="shared" si="1224"/>
        <v>20</v>
      </c>
      <c r="O607" s="24">
        <f t="shared" si="1224"/>
        <v>135</v>
      </c>
      <c r="P607" s="24">
        <f t="shared" ref="P607:S607" si="1225">L607*$Y$2</f>
        <v>0</v>
      </c>
      <c r="Q607" s="24">
        <f t="shared" si="1225"/>
        <v>0</v>
      </c>
      <c r="R607" s="24">
        <f t="shared" si="1225"/>
        <v>5</v>
      </c>
      <c r="S607" s="24">
        <f t="shared" si="1225"/>
        <v>33.75</v>
      </c>
      <c r="T607" s="24">
        <f t="shared" si="4"/>
        <v>2</v>
      </c>
      <c r="Z607" s="25">
        <f t="shared" si="12"/>
        <v>0.1876863056</v>
      </c>
    </row>
    <row r="608">
      <c r="A608" s="16" t="s">
        <v>35</v>
      </c>
      <c r="B608" s="17">
        <v>7.0</v>
      </c>
      <c r="C608" s="24">
        <f t="shared" si="1214"/>
        <v>469.0334742</v>
      </c>
      <c r="D608" s="25">
        <v>0.05</v>
      </c>
      <c r="E608" s="24">
        <f t="shared" si="1215"/>
        <v>50.67730887</v>
      </c>
      <c r="F608" s="25">
        <v>0.02</v>
      </c>
      <c r="G608" s="24">
        <f t="shared" si="1216"/>
        <v>60.30430383</v>
      </c>
      <c r="H608" s="25">
        <v>0.05</v>
      </c>
      <c r="I608" s="24">
        <f t="shared" si="1217"/>
        <v>0</v>
      </c>
      <c r="J608" s="25">
        <v>0.02</v>
      </c>
      <c r="K608" s="25">
        <v>0.0</v>
      </c>
      <c r="L608" s="24" t="str">
        <f t="shared" ref="L608:O608" si="1226">IF(L607="", "", 1 + MROUND(IFERROR(MINIFS(OFFSET(L607, -1, 0, -$B608, 1), OFFSET(L607, -1, 0, -$B608, 1), "&gt;0"), L607) + (LN(1 + $Z608) ^ U$2) * U$3, 1))</f>
        <v/>
      </c>
      <c r="M608" s="24" t="str">
        <f t="shared" si="1226"/>
        <v/>
      </c>
      <c r="N608" s="24">
        <f t="shared" si="1226"/>
        <v>24</v>
      </c>
      <c r="O608" s="24">
        <f t="shared" si="1226"/>
        <v>139</v>
      </c>
      <c r="P608" s="24">
        <f t="shared" ref="P608:S608" si="1227">L608*$Y$2</f>
        <v>0</v>
      </c>
      <c r="Q608" s="24">
        <f t="shared" si="1227"/>
        <v>0</v>
      </c>
      <c r="R608" s="24">
        <f t="shared" si="1227"/>
        <v>6</v>
      </c>
      <c r="S608" s="24">
        <f t="shared" si="1227"/>
        <v>34.75</v>
      </c>
      <c r="T608" s="24">
        <f t="shared" si="4"/>
        <v>2</v>
      </c>
      <c r="Z608" s="25">
        <f t="shared" si="12"/>
        <v>0.2292553263</v>
      </c>
    </row>
    <row r="609">
      <c r="A609" s="16" t="s">
        <v>35</v>
      </c>
      <c r="B609" s="17">
        <v>8.0</v>
      </c>
      <c r="C609" s="24">
        <f t="shared" si="1214"/>
        <v>492.4851479</v>
      </c>
      <c r="D609" s="25">
        <v>0.05</v>
      </c>
      <c r="E609" s="24">
        <f t="shared" si="1215"/>
        <v>51.69085504</v>
      </c>
      <c r="F609" s="25">
        <v>0.02</v>
      </c>
      <c r="G609" s="24">
        <f t="shared" si="1216"/>
        <v>63.31951902</v>
      </c>
      <c r="H609" s="25">
        <v>0.05</v>
      </c>
      <c r="I609" s="24">
        <f t="shared" si="1217"/>
        <v>0</v>
      </c>
      <c r="J609" s="25">
        <v>0.02</v>
      </c>
      <c r="K609" s="25">
        <v>0.0</v>
      </c>
      <c r="L609" s="24" t="str">
        <f t="shared" ref="L609:O609" si="1228">IF(L608="", "", 1 + MROUND(IFERROR(MINIFS(OFFSET(L608, -1, 0, -$B609, 1), OFFSET(L608, -1, 0, -$B609, 1), "&gt;0"), L608) + (LN(1 + $Z609) ^ U$2) * U$3, 1))</f>
        <v/>
      </c>
      <c r="M609" s="24" t="str">
        <f t="shared" si="1228"/>
        <v/>
      </c>
      <c r="N609" s="24">
        <f t="shared" si="1228"/>
        <v>29</v>
      </c>
      <c r="O609" s="24">
        <f t="shared" si="1228"/>
        <v>144</v>
      </c>
      <c r="P609" s="24">
        <f t="shared" ref="P609:S609" si="1229">L609*$Y$2</f>
        <v>0</v>
      </c>
      <c r="Q609" s="24">
        <f t="shared" si="1229"/>
        <v>0</v>
      </c>
      <c r="R609" s="24">
        <f t="shared" si="1229"/>
        <v>7.25</v>
      </c>
      <c r="S609" s="24">
        <f t="shared" si="1229"/>
        <v>36</v>
      </c>
      <c r="T609" s="24">
        <f t="shared" si="4"/>
        <v>2</v>
      </c>
      <c r="Z609" s="25">
        <f t="shared" si="12"/>
        <v>0.2722792628</v>
      </c>
    </row>
    <row r="610">
      <c r="A610" s="16" t="s">
        <v>35</v>
      </c>
      <c r="B610" s="17">
        <v>9.0</v>
      </c>
      <c r="C610" s="24">
        <f t="shared" si="1214"/>
        <v>517.1094053</v>
      </c>
      <c r="D610" s="25">
        <v>0.05</v>
      </c>
      <c r="E610" s="24">
        <f t="shared" si="1215"/>
        <v>52.72467215</v>
      </c>
      <c r="F610" s="25">
        <v>0.02</v>
      </c>
      <c r="G610" s="24">
        <f t="shared" si="1216"/>
        <v>66.48549497</v>
      </c>
      <c r="H610" s="25">
        <v>0.05</v>
      </c>
      <c r="I610" s="24">
        <f t="shared" si="1217"/>
        <v>0</v>
      </c>
      <c r="J610" s="25">
        <v>0.02</v>
      </c>
      <c r="K610" s="25">
        <v>0.0</v>
      </c>
      <c r="L610" s="24" t="str">
        <f t="shared" ref="L610:O610" si="1230">IF(L609="", "", 1 + MROUND(IFERROR(MINIFS(OFFSET(L609, -1, 0, -$B610, 1), OFFSET(L609, -1, 0, -$B610, 1), "&gt;0"), L609) + (LN(1 + $Z610) ^ U$2) * U$3, 1))</f>
        <v/>
      </c>
      <c r="M610" s="24" t="str">
        <f t="shared" si="1230"/>
        <v/>
      </c>
      <c r="N610" s="24">
        <f t="shared" si="1230"/>
        <v>34</v>
      </c>
      <c r="O610" s="24">
        <f t="shared" si="1230"/>
        <v>149</v>
      </c>
      <c r="P610" s="24">
        <f t="shared" ref="P610:S610" si="1231">L610*$Y$2</f>
        <v>0</v>
      </c>
      <c r="Q610" s="24">
        <f t="shared" si="1231"/>
        <v>0</v>
      </c>
      <c r="R610" s="24">
        <f t="shared" si="1231"/>
        <v>8.5</v>
      </c>
      <c r="S610" s="24">
        <f t="shared" si="1231"/>
        <v>37.25</v>
      </c>
      <c r="T610" s="24">
        <f t="shared" si="4"/>
        <v>2</v>
      </c>
      <c r="Z610" s="25">
        <f t="shared" si="12"/>
        <v>0.316809037</v>
      </c>
    </row>
    <row r="611">
      <c r="A611" s="16" t="s">
        <v>35</v>
      </c>
      <c r="B611" s="17">
        <v>10.0</v>
      </c>
      <c r="C611" s="24">
        <f t="shared" si="1214"/>
        <v>542.9648756</v>
      </c>
      <c r="D611" s="25">
        <v>0.05</v>
      </c>
      <c r="E611" s="24">
        <f t="shared" si="1215"/>
        <v>53.77916559</v>
      </c>
      <c r="F611" s="25">
        <v>0.02</v>
      </c>
      <c r="G611" s="24">
        <f t="shared" si="1216"/>
        <v>69.80976972</v>
      </c>
      <c r="H611" s="25">
        <v>0.05</v>
      </c>
      <c r="I611" s="24">
        <f t="shared" si="1217"/>
        <v>0</v>
      </c>
      <c r="J611" s="25">
        <v>0.02</v>
      </c>
      <c r="K611" s="25">
        <v>0.0</v>
      </c>
      <c r="L611" s="24" t="str">
        <f t="shared" ref="L611:O611" si="1232">IF(L610="", "", 1 + MROUND(IFERROR(MINIFS(OFFSET(L610, -1, 0, -$B611, 1), OFFSET(L610, -1, 0, -$B611, 1), "&gt;0"), L610) + (LN(1 + $Z611) ^ U$2) * U$3, 1))</f>
        <v/>
      </c>
      <c r="M611" s="24" t="str">
        <f t="shared" si="1232"/>
        <v/>
      </c>
      <c r="N611" s="24">
        <f t="shared" si="1232"/>
        <v>39</v>
      </c>
      <c r="O611" s="24">
        <f t="shared" si="1232"/>
        <v>154</v>
      </c>
      <c r="P611" s="24">
        <f t="shared" ref="P611:S611" si="1233">L611*$Y$2</f>
        <v>0</v>
      </c>
      <c r="Q611" s="24">
        <f t="shared" si="1233"/>
        <v>0</v>
      </c>
      <c r="R611" s="24">
        <f t="shared" si="1233"/>
        <v>9.75</v>
      </c>
      <c r="S611" s="24">
        <f t="shared" si="1233"/>
        <v>38.5</v>
      </c>
      <c r="T611" s="24">
        <f t="shared" si="4"/>
        <v>2</v>
      </c>
      <c r="Z611" s="25">
        <f t="shared" si="12"/>
        <v>0.3628973533</v>
      </c>
    </row>
    <row r="612">
      <c r="A612" s="16" t="s">
        <v>35</v>
      </c>
      <c r="B612" s="17">
        <v>11.0</v>
      </c>
      <c r="C612" s="24">
        <f t="shared" si="1214"/>
        <v>570.1131194</v>
      </c>
      <c r="D612" s="25">
        <v>0.05</v>
      </c>
      <c r="E612" s="24">
        <f t="shared" si="1215"/>
        <v>54.8547489</v>
      </c>
      <c r="F612" s="25">
        <v>0.02</v>
      </c>
      <c r="G612" s="24">
        <f t="shared" si="1216"/>
        <v>73.3002582</v>
      </c>
      <c r="H612" s="25">
        <v>0.05</v>
      </c>
      <c r="I612" s="24">
        <f t="shared" si="1217"/>
        <v>0</v>
      </c>
      <c r="J612" s="25">
        <v>0.02</v>
      </c>
      <c r="K612" s="25">
        <v>0.0</v>
      </c>
      <c r="L612" s="24" t="str">
        <f t="shared" ref="L612:O612" si="1234">IF(L611="", "", 1 + MROUND(IFERROR(MINIFS(OFFSET(L611, -1, 0, -$B612, 1), OFFSET(L611, -1, 0, -$B612, 1), "&gt;0"), L611) + (LN(1 + $Z612) ^ U$2) * U$3, 1))</f>
        <v/>
      </c>
      <c r="M612" s="24" t="str">
        <f t="shared" si="1234"/>
        <v/>
      </c>
      <c r="N612" s="24">
        <f t="shared" si="1234"/>
        <v>45</v>
      </c>
      <c r="O612" s="24">
        <f t="shared" si="1234"/>
        <v>160</v>
      </c>
      <c r="P612" s="24">
        <f t="shared" ref="P612:S612" si="1235">L612*$Y$2</f>
        <v>0</v>
      </c>
      <c r="Q612" s="24">
        <f t="shared" si="1235"/>
        <v>0</v>
      </c>
      <c r="R612" s="24">
        <f t="shared" si="1235"/>
        <v>11.25</v>
      </c>
      <c r="S612" s="24">
        <f t="shared" si="1235"/>
        <v>40</v>
      </c>
      <c r="T612" s="24">
        <f t="shared" si="4"/>
        <v>2</v>
      </c>
      <c r="Z612" s="25">
        <f t="shared" si="12"/>
        <v>0.4105987606</v>
      </c>
    </row>
    <row r="613">
      <c r="A613" s="16" t="s">
        <v>35</v>
      </c>
      <c r="B613" s="17">
        <v>12.0</v>
      </c>
      <c r="C613" s="24">
        <f t="shared" si="1214"/>
        <v>598.6187753</v>
      </c>
      <c r="D613" s="25">
        <v>0.05</v>
      </c>
      <c r="E613" s="24">
        <f t="shared" si="1215"/>
        <v>55.95184388</v>
      </c>
      <c r="F613" s="25">
        <v>0.02</v>
      </c>
      <c r="G613" s="24">
        <f t="shared" si="1216"/>
        <v>76.96527112</v>
      </c>
      <c r="H613" s="25">
        <v>0.05</v>
      </c>
      <c r="I613" s="24">
        <f t="shared" si="1217"/>
        <v>0</v>
      </c>
      <c r="J613" s="25">
        <v>0.02</v>
      </c>
      <c r="K613" s="25">
        <v>0.0</v>
      </c>
      <c r="L613" s="24" t="str">
        <f t="shared" ref="L613:O613" si="1236">IF(L612="", "", 1 + MROUND(IFERROR(MINIFS(OFFSET(L612, -1, 0, -$B613, 1), OFFSET(L612, -1, 0, -$B613, 1), "&gt;0"), L612) + (LN(1 + $Z613) ^ U$2) * U$3, 1))</f>
        <v/>
      </c>
      <c r="M613" s="24" t="str">
        <f t="shared" si="1236"/>
        <v/>
      </c>
      <c r="N613" s="24">
        <f t="shared" si="1236"/>
        <v>51</v>
      </c>
      <c r="O613" s="24">
        <f t="shared" si="1236"/>
        <v>166</v>
      </c>
      <c r="P613" s="24">
        <f t="shared" ref="P613:S613" si="1237">L613*$Y$2</f>
        <v>0</v>
      </c>
      <c r="Q613" s="24">
        <f t="shared" si="1237"/>
        <v>0</v>
      </c>
      <c r="R613" s="24">
        <f t="shared" si="1237"/>
        <v>12.75</v>
      </c>
      <c r="S613" s="24">
        <f t="shared" si="1237"/>
        <v>41.5</v>
      </c>
      <c r="T613" s="24">
        <f t="shared" si="4"/>
        <v>2</v>
      </c>
      <c r="Z613" s="25">
        <f t="shared" si="12"/>
        <v>0.4599697172</v>
      </c>
    </row>
    <row r="614">
      <c r="A614" s="16" t="s">
        <v>35</v>
      </c>
      <c r="B614" s="17">
        <v>13.0</v>
      </c>
      <c r="C614" s="24">
        <f t="shared" si="1214"/>
        <v>628.5497141</v>
      </c>
      <c r="D614" s="25">
        <v>0.05</v>
      </c>
      <c r="E614" s="24">
        <f t="shared" si="1215"/>
        <v>57.07088076</v>
      </c>
      <c r="F614" s="25">
        <v>0.02</v>
      </c>
      <c r="G614" s="24">
        <f t="shared" si="1216"/>
        <v>80.81353467</v>
      </c>
      <c r="H614" s="25">
        <v>0.05</v>
      </c>
      <c r="I614" s="24">
        <f t="shared" si="1217"/>
        <v>0</v>
      </c>
      <c r="J614" s="25">
        <v>0.02</v>
      </c>
      <c r="K614" s="25">
        <v>0.0</v>
      </c>
      <c r="L614" s="24" t="str">
        <f t="shared" ref="L614:O614" si="1238">IF(L613="", "", 1 + MROUND(IFERROR(MINIFS(OFFSET(L613, -1, 0, -$B614, 1), OFFSET(L613, -1, 0, -$B614, 1), "&gt;0"), L613) + (LN(1 + $Z614) ^ U$2) * U$3, 1))</f>
        <v/>
      </c>
      <c r="M614" s="24" t="str">
        <f t="shared" si="1238"/>
        <v/>
      </c>
      <c r="N614" s="24">
        <f t="shared" si="1238"/>
        <v>57</v>
      </c>
      <c r="O614" s="24">
        <f t="shared" si="1238"/>
        <v>172</v>
      </c>
      <c r="P614" s="24">
        <f t="shared" ref="P614:S614" si="1239">L614*$Y$2</f>
        <v>0</v>
      </c>
      <c r="Q614" s="24">
        <f t="shared" si="1239"/>
        <v>0</v>
      </c>
      <c r="R614" s="24">
        <f t="shared" si="1239"/>
        <v>14.25</v>
      </c>
      <c r="S614" s="24">
        <f t="shared" si="1239"/>
        <v>43</v>
      </c>
      <c r="T614" s="24">
        <f t="shared" si="4"/>
        <v>2</v>
      </c>
      <c r="Z614" s="25">
        <f t="shared" si="12"/>
        <v>0.5110686573</v>
      </c>
    </row>
    <row r="615">
      <c r="A615" s="16" t="s">
        <v>35</v>
      </c>
      <c r="B615" s="17">
        <v>14.0</v>
      </c>
      <c r="C615" s="24">
        <f t="shared" si="1214"/>
        <v>659.9771998</v>
      </c>
      <c r="D615" s="25">
        <v>0.05</v>
      </c>
      <c r="E615" s="24">
        <f t="shared" si="1215"/>
        <v>58.21229837</v>
      </c>
      <c r="F615" s="25">
        <v>0.02</v>
      </c>
      <c r="G615" s="24">
        <f t="shared" si="1216"/>
        <v>84.8542114</v>
      </c>
      <c r="H615" s="25">
        <v>0.05</v>
      </c>
      <c r="I615" s="24">
        <f t="shared" si="1217"/>
        <v>0</v>
      </c>
      <c r="J615" s="25">
        <v>0.02</v>
      </c>
      <c r="K615" s="25">
        <v>0.0</v>
      </c>
      <c r="L615" s="24" t="str">
        <f t="shared" ref="L615:O615" si="1240">IF(L614="", "", 1 + MROUND(IFERROR(MINIFS(OFFSET(L614, -1, 0, -$B615, 1), OFFSET(L614, -1, 0, -$B615, 1), "&gt;0"), L614) + (LN(1 + $Z615) ^ U$2) * U$3, 1))</f>
        <v/>
      </c>
      <c r="M615" s="24" t="str">
        <f t="shared" si="1240"/>
        <v/>
      </c>
      <c r="N615" s="24">
        <f t="shared" si="1240"/>
        <v>64</v>
      </c>
      <c r="O615" s="24">
        <f t="shared" si="1240"/>
        <v>179</v>
      </c>
      <c r="P615" s="24">
        <f t="shared" ref="P615:S615" si="1241">L615*$Y$2</f>
        <v>0</v>
      </c>
      <c r="Q615" s="24">
        <f t="shared" si="1241"/>
        <v>0</v>
      </c>
      <c r="R615" s="24">
        <f t="shared" si="1241"/>
        <v>16</v>
      </c>
      <c r="S615" s="24">
        <f t="shared" si="1241"/>
        <v>44.75</v>
      </c>
      <c r="T615" s="24">
        <f t="shared" si="4"/>
        <v>2</v>
      </c>
      <c r="Z615" s="25">
        <f t="shared" si="12"/>
        <v>0.5639560604</v>
      </c>
    </row>
    <row r="616">
      <c r="A616" s="16" t="s">
        <v>35</v>
      </c>
      <c r="B616" s="17">
        <v>15.0</v>
      </c>
      <c r="C616" s="24">
        <f t="shared" si="1214"/>
        <v>692.9760598</v>
      </c>
      <c r="D616" s="25">
        <v>0.05</v>
      </c>
      <c r="E616" s="24">
        <f t="shared" si="1215"/>
        <v>59.37654434</v>
      </c>
      <c r="F616" s="25">
        <v>0.02</v>
      </c>
      <c r="G616" s="24">
        <f t="shared" si="1216"/>
        <v>89.09692197</v>
      </c>
      <c r="H616" s="25">
        <v>0.05</v>
      </c>
      <c r="I616" s="24">
        <f t="shared" si="1217"/>
        <v>0</v>
      </c>
      <c r="J616" s="25">
        <v>0.02</v>
      </c>
      <c r="K616" s="25">
        <v>0.0</v>
      </c>
      <c r="L616" s="24" t="str">
        <f t="shared" ref="L616:O616" si="1242">IF(L615="", "", 1 + MROUND(IFERROR(MINIFS(OFFSET(L615, -1, 0, -$B616, 1), OFFSET(L615, -1, 0, -$B616, 1), "&gt;0"), L615) + (LN(1 + $Z616) ^ U$2) * U$3, 1))</f>
        <v/>
      </c>
      <c r="M616" s="24" t="str">
        <f t="shared" si="1242"/>
        <v/>
      </c>
      <c r="N616" s="24">
        <f t="shared" si="1242"/>
        <v>71</v>
      </c>
      <c r="O616" s="24">
        <f t="shared" si="1242"/>
        <v>186</v>
      </c>
      <c r="P616" s="24">
        <f t="shared" ref="P616:S616" si="1243">L616*$Y$2</f>
        <v>0</v>
      </c>
      <c r="Q616" s="24">
        <f t="shared" si="1243"/>
        <v>0</v>
      </c>
      <c r="R616" s="24">
        <f t="shared" si="1243"/>
        <v>17.75</v>
      </c>
      <c r="S616" s="24">
        <f t="shared" si="1243"/>
        <v>46.5</v>
      </c>
      <c r="T616" s="24">
        <f t="shared" si="4"/>
        <v>3</v>
      </c>
      <c r="Z616" s="25">
        <f t="shared" si="12"/>
        <v>0.6186945225</v>
      </c>
    </row>
    <row r="617">
      <c r="A617" s="16" t="s">
        <v>35</v>
      </c>
      <c r="B617" s="17">
        <v>16.0</v>
      </c>
      <c r="C617" s="24">
        <f t="shared" si="1214"/>
        <v>727.6248628</v>
      </c>
      <c r="D617" s="25">
        <v>0.05</v>
      </c>
      <c r="E617" s="24">
        <f t="shared" si="1215"/>
        <v>60.56407522</v>
      </c>
      <c r="F617" s="25">
        <v>0.02</v>
      </c>
      <c r="G617" s="24">
        <f t="shared" si="1216"/>
        <v>93.55176807</v>
      </c>
      <c r="H617" s="25">
        <v>0.05</v>
      </c>
      <c r="I617" s="24">
        <f t="shared" si="1217"/>
        <v>0</v>
      </c>
      <c r="J617" s="25">
        <v>0.02</v>
      </c>
      <c r="K617" s="25">
        <v>0.0</v>
      </c>
      <c r="L617" s="24" t="str">
        <f t="shared" ref="L617:O617" si="1244">IF(L616="", "", 1 + MROUND(IFERROR(MINIFS(OFFSET(L616, -1, 0, -$B617, 1), OFFSET(L616, -1, 0, -$B617, 1), "&gt;0"), L616) + (LN(1 + $Z617) ^ U$2) * U$3, 1))</f>
        <v/>
      </c>
      <c r="M617" s="24" t="str">
        <f t="shared" si="1244"/>
        <v/>
      </c>
      <c r="N617" s="24">
        <f t="shared" si="1244"/>
        <v>78</v>
      </c>
      <c r="O617" s="24">
        <f t="shared" si="1244"/>
        <v>193</v>
      </c>
      <c r="P617" s="24">
        <f t="shared" ref="P617:S617" si="1245">L617*$Y$2</f>
        <v>0</v>
      </c>
      <c r="Q617" s="24">
        <f t="shared" si="1245"/>
        <v>0</v>
      </c>
      <c r="R617" s="24">
        <f t="shared" si="1245"/>
        <v>19.5</v>
      </c>
      <c r="S617" s="24">
        <f t="shared" si="1245"/>
        <v>48.25</v>
      </c>
      <c r="T617" s="24">
        <f t="shared" si="4"/>
        <v>3</v>
      </c>
      <c r="Z617" s="25">
        <f t="shared" si="12"/>
        <v>0.6753488308</v>
      </c>
    </row>
    <row r="618">
      <c r="A618" s="16" t="s">
        <v>35</v>
      </c>
      <c r="B618" s="17">
        <v>17.0</v>
      </c>
      <c r="C618" s="24">
        <f t="shared" si="1214"/>
        <v>764.0061059</v>
      </c>
      <c r="D618" s="25">
        <v>0.05</v>
      </c>
      <c r="E618" s="24">
        <f t="shared" si="1215"/>
        <v>61.77535673</v>
      </c>
      <c r="F618" s="25">
        <v>0.02</v>
      </c>
      <c r="G618" s="24">
        <f t="shared" si="1216"/>
        <v>98.22935648</v>
      </c>
      <c r="H618" s="25">
        <v>0.05</v>
      </c>
      <c r="I618" s="24">
        <f t="shared" si="1217"/>
        <v>0</v>
      </c>
      <c r="J618" s="25">
        <v>0.02</v>
      </c>
      <c r="K618" s="25">
        <v>0.0</v>
      </c>
      <c r="L618" s="24" t="str">
        <f t="shared" ref="L618:O618" si="1246">IF(L617="", "", 1 + MROUND(IFERROR(MINIFS(OFFSET(L617, -1, 0, -$B618, 1), OFFSET(L617, -1, 0, -$B618, 1), "&gt;0"), L617) + (LN(1 + $Z618) ^ U$2) * U$3, 1))</f>
        <v/>
      </c>
      <c r="M618" s="24" t="str">
        <f t="shared" si="1246"/>
        <v/>
      </c>
      <c r="N618" s="24">
        <f t="shared" si="1246"/>
        <v>86</v>
      </c>
      <c r="O618" s="24">
        <f t="shared" si="1246"/>
        <v>201</v>
      </c>
      <c r="P618" s="24">
        <f t="shared" ref="P618:S618" si="1247">L618*$Y$2</f>
        <v>0</v>
      </c>
      <c r="Q618" s="24">
        <f t="shared" si="1247"/>
        <v>0</v>
      </c>
      <c r="R618" s="24">
        <f t="shared" si="1247"/>
        <v>21.5</v>
      </c>
      <c r="S618" s="24">
        <f t="shared" si="1247"/>
        <v>50.25</v>
      </c>
      <c r="T618" s="24">
        <f t="shared" si="4"/>
        <v>3</v>
      </c>
      <c r="Z618" s="25">
        <f t="shared" si="12"/>
        <v>0.7339860398</v>
      </c>
    </row>
    <row r="619">
      <c r="A619" s="16" t="s">
        <v>35</v>
      </c>
      <c r="B619" s="17">
        <v>18.0</v>
      </c>
      <c r="C619" s="24">
        <f t="shared" si="1214"/>
        <v>802.2064112</v>
      </c>
      <c r="D619" s="25">
        <v>0.05</v>
      </c>
      <c r="E619" s="24">
        <f t="shared" si="1215"/>
        <v>63.01086386</v>
      </c>
      <c r="F619" s="25">
        <v>0.02</v>
      </c>
      <c r="G619" s="24">
        <f t="shared" si="1216"/>
        <v>103.1408243</v>
      </c>
      <c r="H619" s="25">
        <v>0.05</v>
      </c>
      <c r="I619" s="24">
        <f t="shared" si="1217"/>
        <v>0</v>
      </c>
      <c r="J619" s="25">
        <v>0.02</v>
      </c>
      <c r="K619" s="25">
        <v>0.0</v>
      </c>
      <c r="L619" s="24" t="str">
        <f t="shared" ref="L619:O619" si="1248">IF(L618="", "", 1 + MROUND(IFERROR(MINIFS(OFFSET(L618, -1, 0, -$B619, 1), OFFSET(L618, -1, 0, -$B619, 1), "&gt;0"), L618) + (LN(1 + $Z619) ^ U$2) * U$3, 1))</f>
        <v/>
      </c>
      <c r="M619" s="24" t="str">
        <f t="shared" si="1248"/>
        <v/>
      </c>
      <c r="N619" s="24">
        <f t="shared" si="1248"/>
        <v>94</v>
      </c>
      <c r="O619" s="24">
        <f t="shared" si="1248"/>
        <v>209</v>
      </c>
      <c r="P619" s="24">
        <f t="shared" ref="P619:S619" si="1249">L619*$Y$2</f>
        <v>0</v>
      </c>
      <c r="Q619" s="24">
        <f t="shared" si="1249"/>
        <v>0</v>
      </c>
      <c r="R619" s="24">
        <f t="shared" si="1249"/>
        <v>23.5</v>
      </c>
      <c r="S619" s="24">
        <f t="shared" si="1249"/>
        <v>52.25</v>
      </c>
      <c r="T619" s="24">
        <f t="shared" si="4"/>
        <v>3</v>
      </c>
      <c r="Z619" s="25">
        <f t="shared" si="12"/>
        <v>0.7946755512</v>
      </c>
    </row>
    <row r="620">
      <c r="A620" s="16" t="s">
        <v>35</v>
      </c>
      <c r="B620" s="17">
        <v>19.0</v>
      </c>
      <c r="C620" s="24">
        <f t="shared" si="1214"/>
        <v>842.3167318</v>
      </c>
      <c r="D620" s="25">
        <v>0.05</v>
      </c>
      <c r="E620" s="24">
        <f t="shared" si="1215"/>
        <v>64.27108114</v>
      </c>
      <c r="F620" s="25">
        <v>0.02</v>
      </c>
      <c r="G620" s="24">
        <f t="shared" si="1216"/>
        <v>108.2978655</v>
      </c>
      <c r="H620" s="25">
        <v>0.05</v>
      </c>
      <c r="I620" s="24">
        <f t="shared" si="1217"/>
        <v>0</v>
      </c>
      <c r="J620" s="25">
        <v>0.02</v>
      </c>
      <c r="K620" s="25">
        <v>0.0</v>
      </c>
      <c r="L620" s="24" t="str">
        <f t="shared" ref="L620:O620" si="1250">IF(L619="", "", 1 + MROUND(IFERROR(MINIFS(OFFSET(L619, -1, 0, -$B620, 1), OFFSET(L619, -1, 0, -$B620, 1), "&gt;0"), L619) + (LN(1 + $Z620) ^ U$2) * U$3, 1))</f>
        <v/>
      </c>
      <c r="M620" s="24" t="str">
        <f t="shared" si="1250"/>
        <v/>
      </c>
      <c r="N620" s="24">
        <f t="shared" si="1250"/>
        <v>102</v>
      </c>
      <c r="O620" s="24">
        <f t="shared" si="1250"/>
        <v>217</v>
      </c>
      <c r="P620" s="24">
        <f t="shared" ref="P620:S620" si="1251">L620*$Y$2</f>
        <v>0</v>
      </c>
      <c r="Q620" s="24">
        <f t="shared" si="1251"/>
        <v>0</v>
      </c>
      <c r="R620" s="24">
        <f t="shared" si="1251"/>
        <v>25.5</v>
      </c>
      <c r="S620" s="24">
        <f t="shared" si="1251"/>
        <v>54.25</v>
      </c>
      <c r="T620" s="24">
        <f t="shared" si="4"/>
        <v>3</v>
      </c>
      <c r="Z620" s="25">
        <f t="shared" si="12"/>
        <v>0.8574891955</v>
      </c>
    </row>
    <row r="621">
      <c r="A621" s="16" t="s">
        <v>35</v>
      </c>
      <c r="B621" s="17">
        <v>20.0</v>
      </c>
      <c r="C621" s="24">
        <f t="shared" si="1214"/>
        <v>884.4325684</v>
      </c>
      <c r="D621" s="25">
        <v>0.05</v>
      </c>
      <c r="E621" s="24">
        <f t="shared" si="1215"/>
        <v>65.55650276</v>
      </c>
      <c r="F621" s="25">
        <v>0.02</v>
      </c>
      <c r="G621" s="24">
        <f t="shared" si="1216"/>
        <v>113.7127588</v>
      </c>
      <c r="H621" s="25">
        <v>0.05</v>
      </c>
      <c r="I621" s="24">
        <f t="shared" si="1217"/>
        <v>0</v>
      </c>
      <c r="J621" s="25">
        <v>0.02</v>
      </c>
      <c r="K621" s="25">
        <v>0.0</v>
      </c>
      <c r="L621" s="24" t="str">
        <f t="shared" ref="L621:O621" si="1252">IF(L620="", "", 1 + MROUND(IFERROR(MINIFS(OFFSET(L620, -1, 0, -$B621, 1), OFFSET(L620, -1, 0, -$B621, 1), "&gt;0"), L620) + (LN(1 + $Z621) ^ U$2) * U$3, 1))</f>
        <v/>
      </c>
      <c r="M621" s="24" t="str">
        <f t="shared" si="1252"/>
        <v/>
      </c>
      <c r="N621" s="24">
        <f t="shared" si="1252"/>
        <v>110</v>
      </c>
      <c r="O621" s="24">
        <f t="shared" si="1252"/>
        <v>225</v>
      </c>
      <c r="P621" s="24">
        <f t="shared" ref="P621:S621" si="1253">L621*$Y$2</f>
        <v>0</v>
      </c>
      <c r="Q621" s="24">
        <f t="shared" si="1253"/>
        <v>0</v>
      </c>
      <c r="R621" s="24">
        <f t="shared" si="1253"/>
        <v>27.5</v>
      </c>
      <c r="S621" s="24">
        <f t="shared" si="1253"/>
        <v>56.25</v>
      </c>
      <c r="T621" s="24">
        <f t="shared" si="4"/>
        <v>3</v>
      </c>
      <c r="Z621" s="25">
        <f t="shared" si="12"/>
        <v>0.9225013174</v>
      </c>
    </row>
    <row r="622">
      <c r="A622" s="16" t="s">
        <v>35</v>
      </c>
      <c r="B622" s="17">
        <v>21.0</v>
      </c>
      <c r="C622" s="24">
        <f t="shared" si="1214"/>
        <v>928.6541968</v>
      </c>
      <c r="D622" s="25">
        <v>0.05</v>
      </c>
      <c r="E622" s="24">
        <f t="shared" si="1215"/>
        <v>66.86763282</v>
      </c>
      <c r="F622" s="25">
        <v>0.02</v>
      </c>
      <c r="G622" s="24">
        <f t="shared" si="1216"/>
        <v>119.3983967</v>
      </c>
      <c r="H622" s="25">
        <v>0.05</v>
      </c>
      <c r="I622" s="24">
        <f t="shared" si="1217"/>
        <v>0</v>
      </c>
      <c r="J622" s="25">
        <v>0.02</v>
      </c>
      <c r="K622" s="25">
        <v>0.0</v>
      </c>
      <c r="L622" s="24" t="str">
        <f t="shared" ref="L622:O622" si="1254">IF(L621="", "", 1 + MROUND(IFERROR(MINIFS(OFFSET(L621, -1, 0, -$B622, 1), OFFSET(L621, -1, 0, -$B622, 1), "&gt;0"), L621) + (LN(1 + $Z622) ^ U$2) * U$3, 1))</f>
        <v/>
      </c>
      <c r="M622" s="24" t="str">
        <f t="shared" si="1254"/>
        <v/>
      </c>
      <c r="N622" s="24">
        <f t="shared" si="1254"/>
        <v>119</v>
      </c>
      <c r="O622" s="24">
        <f t="shared" si="1254"/>
        <v>234</v>
      </c>
      <c r="P622" s="24">
        <f t="shared" ref="P622:S622" si="1255">L622*$Y$2</f>
        <v>0</v>
      </c>
      <c r="Q622" s="24">
        <f t="shared" si="1255"/>
        <v>0</v>
      </c>
      <c r="R622" s="24">
        <f t="shared" si="1255"/>
        <v>29.75</v>
      </c>
      <c r="S622" s="24">
        <f t="shared" si="1255"/>
        <v>58.5</v>
      </c>
      <c r="T622" s="24">
        <f t="shared" si="4"/>
        <v>3</v>
      </c>
      <c r="Z622" s="25">
        <f t="shared" si="12"/>
        <v>0.9897888635</v>
      </c>
    </row>
    <row r="623">
      <c r="A623" s="16" t="s">
        <v>35</v>
      </c>
      <c r="B623" s="17">
        <v>22.0</v>
      </c>
      <c r="C623" s="24">
        <f t="shared" si="1214"/>
        <v>975.0869066</v>
      </c>
      <c r="D623" s="25">
        <v>0.05</v>
      </c>
      <c r="E623" s="24">
        <f t="shared" si="1215"/>
        <v>68.20498548</v>
      </c>
      <c r="F623" s="25">
        <v>0.02</v>
      </c>
      <c r="G623" s="24">
        <f t="shared" si="1216"/>
        <v>125.3683166</v>
      </c>
      <c r="H623" s="25">
        <v>0.05</v>
      </c>
      <c r="I623" s="24">
        <f t="shared" si="1217"/>
        <v>0</v>
      </c>
      <c r="J623" s="25">
        <v>0.02</v>
      </c>
      <c r="K623" s="25">
        <v>0.0</v>
      </c>
      <c r="L623" s="24" t="str">
        <f t="shared" ref="L623:O623" si="1256">IF(L622="", "", 1 + MROUND(IFERROR(MINIFS(OFFSET(L622, -1, 0, -$B623, 1), OFFSET(L622, -1, 0, -$B623, 1), "&gt;0"), L622) + (LN(1 + $Z623) ^ U$2) * U$3, 1))</f>
        <v/>
      </c>
      <c r="M623" s="24" t="str">
        <f t="shared" si="1256"/>
        <v/>
      </c>
      <c r="N623" s="24">
        <f t="shared" si="1256"/>
        <v>128</v>
      </c>
      <c r="O623" s="24">
        <f t="shared" si="1256"/>
        <v>243</v>
      </c>
      <c r="P623" s="24">
        <f t="shared" ref="P623:S623" si="1257">L623*$Y$2</f>
        <v>0</v>
      </c>
      <c r="Q623" s="24">
        <f t="shared" si="1257"/>
        <v>0</v>
      </c>
      <c r="R623" s="24">
        <f t="shared" si="1257"/>
        <v>32</v>
      </c>
      <c r="S623" s="24">
        <f t="shared" si="1257"/>
        <v>60.75</v>
      </c>
      <c r="T623" s="24">
        <f t="shared" si="4"/>
        <v>3</v>
      </c>
      <c r="Z623" s="25">
        <f t="shared" si="12"/>
        <v>1.059431474</v>
      </c>
    </row>
    <row r="624">
      <c r="A624" s="16" t="s">
        <v>35</v>
      </c>
      <c r="B624" s="17">
        <v>23.0</v>
      </c>
      <c r="C624" s="24">
        <f t="shared" si="1214"/>
        <v>1023.841252</v>
      </c>
      <c r="D624" s="25">
        <v>0.05</v>
      </c>
      <c r="E624" s="24">
        <f t="shared" si="1215"/>
        <v>69.56908518</v>
      </c>
      <c r="F624" s="25">
        <v>0.02</v>
      </c>
      <c r="G624" s="24">
        <f t="shared" si="1216"/>
        <v>131.6367324</v>
      </c>
      <c r="H624" s="25">
        <v>0.05</v>
      </c>
      <c r="I624" s="24">
        <f t="shared" si="1217"/>
        <v>0</v>
      </c>
      <c r="J624" s="25">
        <v>0.02</v>
      </c>
      <c r="K624" s="25">
        <v>0.0</v>
      </c>
      <c r="L624" s="24" t="str">
        <f t="shared" ref="L624:O624" si="1258">IF(L623="", "", 1 + MROUND(IFERROR(MINIFS(OFFSET(L623, -1, 0, -$B624, 1), OFFSET(L623, -1, 0, -$B624, 1), "&gt;0"), L623) + (LN(1 + $Z624) ^ U$2) * U$3, 1))</f>
        <v/>
      </c>
      <c r="M624" s="24" t="str">
        <f t="shared" si="1258"/>
        <v/>
      </c>
      <c r="N624" s="24">
        <f t="shared" si="1258"/>
        <v>137</v>
      </c>
      <c r="O624" s="24">
        <f t="shared" si="1258"/>
        <v>252</v>
      </c>
      <c r="P624" s="24">
        <f t="shared" ref="P624:S624" si="1259">L624*$Y$2</f>
        <v>0</v>
      </c>
      <c r="Q624" s="24">
        <f t="shared" si="1259"/>
        <v>0</v>
      </c>
      <c r="R624" s="24">
        <f t="shared" si="1259"/>
        <v>34.25</v>
      </c>
      <c r="S624" s="24">
        <f t="shared" si="1259"/>
        <v>63</v>
      </c>
      <c r="T624" s="24">
        <f t="shared" si="4"/>
        <v>3</v>
      </c>
      <c r="Z624" s="25">
        <f t="shared" si="12"/>
        <v>1.131511575</v>
      </c>
    </row>
    <row r="625">
      <c r="A625" s="16" t="s">
        <v>35</v>
      </c>
      <c r="B625" s="17">
        <v>24.0</v>
      </c>
      <c r="C625" s="24">
        <f t="shared" si="1214"/>
        <v>1075.033315</v>
      </c>
      <c r="D625" s="25">
        <v>0.05</v>
      </c>
      <c r="E625" s="24">
        <f t="shared" si="1215"/>
        <v>70.96046689</v>
      </c>
      <c r="F625" s="25">
        <v>0.02</v>
      </c>
      <c r="G625" s="24">
        <f t="shared" si="1216"/>
        <v>138.218569</v>
      </c>
      <c r="H625" s="25">
        <v>0.05</v>
      </c>
      <c r="I625" s="24">
        <f t="shared" si="1217"/>
        <v>0</v>
      </c>
      <c r="J625" s="25">
        <v>0.02</v>
      </c>
      <c r="K625" s="25">
        <v>0.0</v>
      </c>
      <c r="L625" s="24" t="str">
        <f t="shared" ref="L625:O625" si="1260">IF(L624="", "", 1 + MROUND(IFERROR(MINIFS(OFFSET(L624, -1, 0, -$B625, 1), OFFSET(L624, -1, 0, -$B625, 1), "&gt;0"), L624) + (LN(1 + $Z625) ^ U$2) * U$3, 1))</f>
        <v/>
      </c>
      <c r="M625" s="24" t="str">
        <f t="shared" si="1260"/>
        <v/>
      </c>
      <c r="N625" s="24">
        <f t="shared" si="1260"/>
        <v>146</v>
      </c>
      <c r="O625" s="24">
        <f t="shared" si="1260"/>
        <v>261</v>
      </c>
      <c r="P625" s="24">
        <f t="shared" ref="P625:S625" si="1261">L625*$Y$2</f>
        <v>0</v>
      </c>
      <c r="Q625" s="24">
        <f t="shared" si="1261"/>
        <v>0</v>
      </c>
      <c r="R625" s="24">
        <f t="shared" si="1261"/>
        <v>36.5</v>
      </c>
      <c r="S625" s="24">
        <f t="shared" si="1261"/>
        <v>65.25</v>
      </c>
      <c r="T625" s="24">
        <f t="shared" si="4"/>
        <v>3</v>
      </c>
      <c r="Z625" s="25">
        <f t="shared" si="12"/>
        <v>1.20611448</v>
      </c>
    </row>
    <row r="626">
      <c r="A626" s="16" t="s">
        <v>35</v>
      </c>
      <c r="B626" s="17">
        <v>25.0</v>
      </c>
      <c r="C626" s="24">
        <f t="shared" si="1214"/>
        <v>1128.78498</v>
      </c>
      <c r="D626" s="25">
        <v>0.05</v>
      </c>
      <c r="E626" s="24">
        <f t="shared" si="1215"/>
        <v>72.37967623</v>
      </c>
      <c r="F626" s="25">
        <v>0.02</v>
      </c>
      <c r="G626" s="24">
        <f t="shared" si="1216"/>
        <v>145.1294975</v>
      </c>
      <c r="H626" s="25">
        <v>0.05</v>
      </c>
      <c r="I626" s="24">
        <f t="shared" si="1217"/>
        <v>0</v>
      </c>
      <c r="J626" s="25">
        <v>0.02</v>
      </c>
      <c r="K626" s="25">
        <v>0.0</v>
      </c>
      <c r="L626" s="24" t="str">
        <f t="shared" ref="L626:O626" si="1262">IF(L625="", "", 1 + MROUND(IFERROR(MINIFS(OFFSET(L625, -1, 0, -$B626, 1), OFFSET(L625, -1, 0, -$B626, 1), "&gt;0"), L625) + (LN(1 + $Z626) ^ U$2) * U$3, 1))</f>
        <v/>
      </c>
      <c r="M626" s="24" t="str">
        <f t="shared" si="1262"/>
        <v/>
      </c>
      <c r="N626" s="24">
        <f t="shared" si="1262"/>
        <v>156</v>
      </c>
      <c r="O626" s="24">
        <f t="shared" si="1262"/>
        <v>271</v>
      </c>
      <c r="P626" s="24">
        <f t="shared" ref="P626:S626" si="1263">L626*$Y$2</f>
        <v>0</v>
      </c>
      <c r="Q626" s="24">
        <f t="shared" si="1263"/>
        <v>0</v>
      </c>
      <c r="R626" s="24">
        <f t="shared" si="1263"/>
        <v>39</v>
      </c>
      <c r="S626" s="24">
        <f t="shared" si="1263"/>
        <v>67.75</v>
      </c>
      <c r="T626" s="24">
        <f t="shared" si="4"/>
        <v>4</v>
      </c>
      <c r="Z626" s="25">
        <f t="shared" si="12"/>
        <v>1.283328487</v>
      </c>
    </row>
    <row r="627">
      <c r="A627" s="16" t="s">
        <v>35</v>
      </c>
      <c r="B627" s="17">
        <v>26.0</v>
      </c>
      <c r="C627" s="24">
        <f t="shared" si="1214"/>
        <v>1185.224229</v>
      </c>
      <c r="D627" s="25">
        <v>0.05</v>
      </c>
      <c r="E627" s="24">
        <f t="shared" si="1215"/>
        <v>73.82726975</v>
      </c>
      <c r="F627" s="25">
        <v>0.02</v>
      </c>
      <c r="G627" s="24">
        <f t="shared" si="1216"/>
        <v>152.3859723</v>
      </c>
      <c r="H627" s="25">
        <v>0.05</v>
      </c>
      <c r="I627" s="24">
        <f t="shared" si="1217"/>
        <v>0</v>
      </c>
      <c r="J627" s="25">
        <v>0.02</v>
      </c>
      <c r="K627" s="25">
        <v>0.0</v>
      </c>
      <c r="L627" s="24" t="str">
        <f t="shared" ref="L627:O627" si="1264">IF(L626="", "", 1 + MROUND(IFERROR(MINIFS(OFFSET(L626, -1, 0, -$B627, 1), OFFSET(L626, -1, 0, -$B627, 1), "&gt;0"), L626) + (LN(1 + $Z627) ^ U$2) * U$3, 1))</f>
        <v/>
      </c>
      <c r="M627" s="24" t="str">
        <f t="shared" si="1264"/>
        <v/>
      </c>
      <c r="N627" s="24">
        <f t="shared" si="1264"/>
        <v>166</v>
      </c>
      <c r="O627" s="24">
        <f t="shared" si="1264"/>
        <v>281</v>
      </c>
      <c r="P627" s="24">
        <f t="shared" ref="P627:S627" si="1265">L627*$Y$2</f>
        <v>0</v>
      </c>
      <c r="Q627" s="24">
        <f t="shared" si="1265"/>
        <v>0</v>
      </c>
      <c r="R627" s="24">
        <f t="shared" si="1265"/>
        <v>41.5</v>
      </c>
      <c r="S627" s="24">
        <f t="shared" si="1265"/>
        <v>70.25</v>
      </c>
      <c r="T627" s="24">
        <f t="shared" si="4"/>
        <v>4</v>
      </c>
      <c r="Z627" s="25">
        <f t="shared" si="12"/>
        <v>1.363244984</v>
      </c>
    </row>
    <row r="628">
      <c r="A628" s="16" t="s">
        <v>35</v>
      </c>
      <c r="B628" s="17">
        <v>27.0</v>
      </c>
      <c r="C628" s="24">
        <f t="shared" si="1214"/>
        <v>1244.485441</v>
      </c>
      <c r="D628" s="25">
        <v>0.05</v>
      </c>
      <c r="E628" s="24">
        <f t="shared" si="1215"/>
        <v>75.30381515</v>
      </c>
      <c r="F628" s="25">
        <v>0.02</v>
      </c>
      <c r="G628" s="24">
        <f t="shared" si="1216"/>
        <v>160.005271</v>
      </c>
      <c r="H628" s="25">
        <v>0.05</v>
      </c>
      <c r="I628" s="24">
        <f t="shared" si="1217"/>
        <v>0</v>
      </c>
      <c r="J628" s="25">
        <v>0.02</v>
      </c>
      <c r="K628" s="25">
        <v>0.0</v>
      </c>
      <c r="L628" s="24" t="str">
        <f t="shared" ref="L628:O628" si="1266">IF(L627="", "", 1 + MROUND(IFERROR(MINIFS(OFFSET(L627, -1, 0, -$B628, 1), OFFSET(L627, -1, 0, -$B628, 1), "&gt;0"), L627) + (LN(1 + $Z628) ^ U$2) * U$3, 1))</f>
        <v/>
      </c>
      <c r="M628" s="24" t="str">
        <f t="shared" si="1266"/>
        <v/>
      </c>
      <c r="N628" s="24">
        <f t="shared" si="1266"/>
        <v>176</v>
      </c>
      <c r="O628" s="24">
        <f t="shared" si="1266"/>
        <v>291</v>
      </c>
      <c r="P628" s="24">
        <f t="shared" ref="P628:S628" si="1267">L628*$Y$2</f>
        <v>0</v>
      </c>
      <c r="Q628" s="24">
        <f t="shared" si="1267"/>
        <v>0</v>
      </c>
      <c r="R628" s="24">
        <f t="shared" si="1267"/>
        <v>44</v>
      </c>
      <c r="S628" s="24">
        <f t="shared" si="1267"/>
        <v>72.75</v>
      </c>
      <c r="T628" s="24">
        <f t="shared" si="4"/>
        <v>4</v>
      </c>
      <c r="Z628" s="25">
        <f t="shared" si="12"/>
        <v>1.445958559</v>
      </c>
    </row>
    <row r="629">
      <c r="A629" s="16" t="s">
        <v>35</v>
      </c>
      <c r="B629" s="17">
        <v>28.0</v>
      </c>
      <c r="C629" s="24">
        <f t="shared" si="1214"/>
        <v>1306.709713</v>
      </c>
      <c r="D629" s="25">
        <v>0.05</v>
      </c>
      <c r="E629" s="24">
        <f t="shared" si="1215"/>
        <v>76.80989145</v>
      </c>
      <c r="F629" s="25">
        <v>0.02</v>
      </c>
      <c r="G629" s="24">
        <f t="shared" si="1216"/>
        <v>168.0055345</v>
      </c>
      <c r="H629" s="25">
        <v>0.05</v>
      </c>
      <c r="I629" s="24">
        <f t="shared" si="1217"/>
        <v>0</v>
      </c>
      <c r="J629" s="25">
        <v>0.02</v>
      </c>
      <c r="K629" s="25">
        <v>0.0</v>
      </c>
      <c r="L629" s="24" t="str">
        <f t="shared" ref="L629:O629" si="1268">IF(L628="", "", 1 + MROUND(IFERROR(MINIFS(OFFSET(L628, -1, 0, -$B629, 1), OFFSET(L628, -1, 0, -$B629, 1), "&gt;0"), L628) + (LN(1 + $Z629) ^ U$2) * U$3, 1))</f>
        <v/>
      </c>
      <c r="M629" s="24" t="str">
        <f t="shared" si="1268"/>
        <v/>
      </c>
      <c r="N629" s="24">
        <f t="shared" si="1268"/>
        <v>186</v>
      </c>
      <c r="O629" s="24">
        <f t="shared" si="1268"/>
        <v>301</v>
      </c>
      <c r="P629" s="24">
        <f t="shared" ref="P629:S629" si="1269">L629*$Y$2</f>
        <v>0</v>
      </c>
      <c r="Q629" s="24">
        <f t="shared" si="1269"/>
        <v>0</v>
      </c>
      <c r="R629" s="24">
        <f t="shared" si="1269"/>
        <v>46.5</v>
      </c>
      <c r="S629" s="24">
        <f t="shared" si="1269"/>
        <v>75.25</v>
      </c>
      <c r="T629" s="24">
        <f t="shared" si="4"/>
        <v>4</v>
      </c>
      <c r="Z629" s="25">
        <f t="shared" si="12"/>
        <v>1.531567108</v>
      </c>
    </row>
    <row r="630">
      <c r="A630" s="16" t="s">
        <v>35</v>
      </c>
      <c r="B630" s="17">
        <v>29.0</v>
      </c>
      <c r="C630" s="24">
        <f t="shared" si="1214"/>
        <v>1372.045198</v>
      </c>
      <c r="D630" s="25">
        <v>0.05</v>
      </c>
      <c r="E630" s="24">
        <f t="shared" si="1215"/>
        <v>78.34608928</v>
      </c>
      <c r="F630" s="25">
        <v>0.02</v>
      </c>
      <c r="G630" s="24">
        <f t="shared" si="1216"/>
        <v>176.4058112</v>
      </c>
      <c r="H630" s="25">
        <v>0.05</v>
      </c>
      <c r="I630" s="24">
        <f t="shared" si="1217"/>
        <v>0</v>
      </c>
      <c r="J630" s="25">
        <v>0.02</v>
      </c>
      <c r="K630" s="25">
        <v>0.0</v>
      </c>
      <c r="L630" s="24" t="str">
        <f t="shared" ref="L630:O630" si="1270">IF(L629="", "", 1 + MROUND(IFERROR(MINIFS(OFFSET(L629, -1, 0, -$B630, 1), OFFSET(L629, -1, 0, -$B630, 1), "&gt;0"), L629) + (LN(1 + $Z630) ^ U$2) * U$3, 1))</f>
        <v/>
      </c>
      <c r="M630" s="24" t="str">
        <f t="shared" si="1270"/>
        <v/>
      </c>
      <c r="N630" s="24">
        <f t="shared" si="1270"/>
        <v>197</v>
      </c>
      <c r="O630" s="24">
        <f t="shared" si="1270"/>
        <v>312</v>
      </c>
      <c r="P630" s="24">
        <f t="shared" ref="P630:S630" si="1271">L630*$Y$2</f>
        <v>0</v>
      </c>
      <c r="Q630" s="24">
        <f t="shared" si="1271"/>
        <v>0</v>
      </c>
      <c r="R630" s="24">
        <f t="shared" si="1271"/>
        <v>49.25</v>
      </c>
      <c r="S630" s="24">
        <f t="shared" si="1271"/>
        <v>78</v>
      </c>
      <c r="T630" s="24">
        <f t="shared" si="4"/>
        <v>4</v>
      </c>
      <c r="Z630" s="25">
        <f t="shared" si="12"/>
        <v>1.620171957</v>
      </c>
    </row>
    <row r="631">
      <c r="A631" s="16" t="s">
        <v>35</v>
      </c>
      <c r="B631" s="17">
        <v>30.0</v>
      </c>
      <c r="C631" s="24">
        <f t="shared" si="1214"/>
        <v>1440.647458</v>
      </c>
      <c r="D631" s="25">
        <v>0.05</v>
      </c>
      <c r="E631" s="24">
        <f t="shared" si="1215"/>
        <v>79.91301106</v>
      </c>
      <c r="F631" s="25">
        <v>0.02</v>
      </c>
      <c r="G631" s="24">
        <f t="shared" si="1216"/>
        <v>185.2261018</v>
      </c>
      <c r="H631" s="25">
        <v>0.05</v>
      </c>
      <c r="I631" s="24">
        <f t="shared" si="1217"/>
        <v>0</v>
      </c>
      <c r="J631" s="25">
        <v>0.02</v>
      </c>
      <c r="K631" s="25">
        <v>0.0</v>
      </c>
      <c r="L631" s="24" t="str">
        <f t="shared" ref="L631:O631" si="1272">IF(L630="", "", 1 + MROUND(IFERROR(MINIFS(OFFSET(L630, -1, 0, -$B631, 1), OFFSET(L630, -1, 0, -$B631, 1), "&gt;0"), L630) + (LN(1 + $Z631) ^ U$2) * U$3, 1))</f>
        <v/>
      </c>
      <c r="M631" s="24" t="str">
        <f t="shared" si="1272"/>
        <v/>
      </c>
      <c r="N631" s="24">
        <f t="shared" si="1272"/>
        <v>208</v>
      </c>
      <c r="O631" s="24">
        <f t="shared" si="1272"/>
        <v>323</v>
      </c>
      <c r="P631" s="24">
        <f t="shared" ref="P631:S631" si="1273">L631*$Y$2</f>
        <v>0</v>
      </c>
      <c r="Q631" s="24">
        <f t="shared" si="1273"/>
        <v>0</v>
      </c>
      <c r="R631" s="24">
        <f t="shared" si="1273"/>
        <v>52</v>
      </c>
      <c r="S631" s="24">
        <f t="shared" si="1273"/>
        <v>80.75</v>
      </c>
      <c r="T631" s="24">
        <f t="shared" si="4"/>
        <v>4</v>
      </c>
      <c r="Z631" s="25">
        <f t="shared" si="12"/>
        <v>1.711877976</v>
      </c>
    </row>
    <row r="632">
      <c r="A632" s="16" t="s">
        <v>35</v>
      </c>
      <c r="B632" s="17">
        <v>31.0</v>
      </c>
      <c r="C632" s="24">
        <f t="shared" si="1214"/>
        <v>1512.679831</v>
      </c>
      <c r="D632" s="25">
        <v>0.05</v>
      </c>
      <c r="E632" s="24">
        <f t="shared" si="1215"/>
        <v>81.51127128</v>
      </c>
      <c r="F632" s="25">
        <v>0.02</v>
      </c>
      <c r="G632" s="24">
        <f t="shared" si="1216"/>
        <v>194.4874069</v>
      </c>
      <c r="H632" s="25">
        <v>0.05</v>
      </c>
      <c r="I632" s="24">
        <f t="shared" si="1217"/>
        <v>0</v>
      </c>
      <c r="J632" s="25">
        <v>0.02</v>
      </c>
      <c r="K632" s="25">
        <v>0.0</v>
      </c>
      <c r="L632" s="24" t="str">
        <f t="shared" ref="L632:O632" si="1274">IF(L631="", "", 1 + MROUND(IFERROR(MINIFS(OFFSET(L631, -1, 0, -$B632, 1), OFFSET(L631, -1, 0, -$B632, 1), "&gt;0"), L631) + (LN(1 + $Z632) ^ U$2) * U$3, 1))</f>
        <v/>
      </c>
      <c r="M632" s="24" t="str">
        <f t="shared" si="1274"/>
        <v/>
      </c>
      <c r="N632" s="24">
        <f t="shared" si="1274"/>
        <v>219</v>
      </c>
      <c r="O632" s="24">
        <f t="shared" si="1274"/>
        <v>334</v>
      </c>
      <c r="P632" s="24">
        <f t="shared" ref="P632:S632" si="1275">L632*$Y$2</f>
        <v>0</v>
      </c>
      <c r="Q632" s="24">
        <f t="shared" si="1275"/>
        <v>0</v>
      </c>
      <c r="R632" s="24">
        <f t="shared" si="1275"/>
        <v>54.75</v>
      </c>
      <c r="S632" s="24">
        <f t="shared" si="1275"/>
        <v>83.5</v>
      </c>
      <c r="T632" s="24">
        <f t="shared" si="4"/>
        <v>4</v>
      </c>
      <c r="Z632" s="25">
        <f t="shared" si="12"/>
        <v>1.806793705</v>
      </c>
    </row>
    <row r="633">
      <c r="A633" s="16" t="s">
        <v>35</v>
      </c>
      <c r="B633" s="17">
        <v>32.0</v>
      </c>
      <c r="C633" s="24">
        <f t="shared" si="1214"/>
        <v>1588.313823</v>
      </c>
      <c r="D633" s="25">
        <v>0.05</v>
      </c>
      <c r="E633" s="24">
        <f t="shared" si="1215"/>
        <v>83.14149671</v>
      </c>
      <c r="F633" s="25">
        <v>0.02</v>
      </c>
      <c r="G633" s="24">
        <f t="shared" si="1216"/>
        <v>204.2117772</v>
      </c>
      <c r="H633" s="25">
        <v>0.05</v>
      </c>
      <c r="I633" s="24">
        <f t="shared" si="1217"/>
        <v>0</v>
      </c>
      <c r="J633" s="25">
        <v>0.02</v>
      </c>
      <c r="K633" s="25">
        <v>0.0</v>
      </c>
      <c r="L633" s="24" t="str">
        <f t="shared" ref="L633:O633" si="1276">IF(L632="", "", 1 + MROUND(IFERROR(MINIFS(OFFSET(L632, -1, 0, -$B633, 1), OFFSET(L632, -1, 0, -$B633, 1), "&gt;0"), L632) + (LN(1 + $Z633) ^ U$2) * U$3, 1))</f>
        <v/>
      </c>
      <c r="M633" s="24" t="str">
        <f t="shared" si="1276"/>
        <v/>
      </c>
      <c r="N633" s="24">
        <f t="shared" si="1276"/>
        <v>230</v>
      </c>
      <c r="O633" s="24">
        <f t="shared" si="1276"/>
        <v>345</v>
      </c>
      <c r="P633" s="24">
        <f t="shared" ref="P633:S633" si="1277">L633*$Y$2</f>
        <v>0</v>
      </c>
      <c r="Q633" s="24">
        <f t="shared" si="1277"/>
        <v>0</v>
      </c>
      <c r="R633" s="24">
        <f t="shared" si="1277"/>
        <v>57.5</v>
      </c>
      <c r="S633" s="24">
        <f t="shared" si="1277"/>
        <v>86.25</v>
      </c>
      <c r="T633" s="24">
        <f t="shared" si="4"/>
        <v>4</v>
      </c>
      <c r="Z633" s="25">
        <f t="shared" si="12"/>
        <v>1.905031484</v>
      </c>
    </row>
    <row r="634">
      <c r="A634" s="16" t="s">
        <v>35</v>
      </c>
      <c r="B634" s="17">
        <v>33.0</v>
      </c>
      <c r="C634" s="24">
        <f t="shared" si="1214"/>
        <v>1667.729514</v>
      </c>
      <c r="D634" s="25">
        <v>0.05</v>
      </c>
      <c r="E634" s="24">
        <f t="shared" si="1215"/>
        <v>84.80432664</v>
      </c>
      <c r="F634" s="25">
        <v>0.02</v>
      </c>
      <c r="G634" s="24">
        <f t="shared" si="1216"/>
        <v>214.4223661</v>
      </c>
      <c r="H634" s="25">
        <v>0.05</v>
      </c>
      <c r="I634" s="24">
        <f t="shared" si="1217"/>
        <v>0</v>
      </c>
      <c r="J634" s="25">
        <v>0.02</v>
      </c>
      <c r="K634" s="25">
        <v>0.0</v>
      </c>
      <c r="L634" s="24" t="str">
        <f t="shared" ref="L634:O634" si="1278">IF(L633="", "", 1 + MROUND(IFERROR(MINIFS(OFFSET(L633, -1, 0, -$B634, 1), OFFSET(L633, -1, 0, -$B634, 1), "&gt;0"), L633) + (LN(1 + $Z634) ^ U$2) * U$3, 1))</f>
        <v/>
      </c>
      <c r="M634" s="24" t="str">
        <f t="shared" si="1278"/>
        <v/>
      </c>
      <c r="N634" s="24">
        <f t="shared" si="1278"/>
        <v>242</v>
      </c>
      <c r="O634" s="24">
        <f t="shared" si="1278"/>
        <v>357</v>
      </c>
      <c r="P634" s="24">
        <f t="shared" ref="P634:S634" si="1279">L634*$Y$2</f>
        <v>0</v>
      </c>
      <c r="Q634" s="24">
        <f t="shared" si="1279"/>
        <v>0</v>
      </c>
      <c r="R634" s="24">
        <f t="shared" si="1279"/>
        <v>60.5</v>
      </c>
      <c r="S634" s="24">
        <f t="shared" si="1279"/>
        <v>89.25</v>
      </c>
      <c r="T634" s="24">
        <f t="shared" si="4"/>
        <v>4</v>
      </c>
      <c r="Z634" s="25">
        <f t="shared" si="12"/>
        <v>2.006707586</v>
      </c>
    </row>
    <row r="635">
      <c r="A635" s="16" t="s">
        <v>35</v>
      </c>
      <c r="B635" s="17">
        <v>34.0</v>
      </c>
      <c r="C635" s="24">
        <f t="shared" si="1214"/>
        <v>1751.11599</v>
      </c>
      <c r="D635" s="25">
        <v>0.05</v>
      </c>
      <c r="E635" s="24">
        <f t="shared" si="1215"/>
        <v>86.50041318</v>
      </c>
      <c r="F635" s="25">
        <v>0.02</v>
      </c>
      <c r="G635" s="24">
        <f t="shared" si="1216"/>
        <v>225.1434844</v>
      </c>
      <c r="H635" s="25">
        <v>0.05</v>
      </c>
      <c r="I635" s="24">
        <f t="shared" si="1217"/>
        <v>0</v>
      </c>
      <c r="J635" s="25">
        <v>0.02</v>
      </c>
      <c r="K635" s="25">
        <v>0.0</v>
      </c>
      <c r="L635" s="24" t="str">
        <f t="shared" ref="L635:O635" si="1280">IF(L634="", "", 1 + MROUND(IFERROR(MINIFS(OFFSET(L634, -1, 0, -$B635, 1), OFFSET(L634, -1, 0, -$B635, 1), "&gt;0"), L634) + (LN(1 + $Z635) ^ U$2) * U$3, 1))</f>
        <v/>
      </c>
      <c r="M635" s="24" t="str">
        <f t="shared" si="1280"/>
        <v/>
      </c>
      <c r="N635" s="24">
        <f t="shared" si="1280"/>
        <v>254</v>
      </c>
      <c r="O635" s="24">
        <f t="shared" si="1280"/>
        <v>369</v>
      </c>
      <c r="P635" s="24">
        <f t="shared" ref="P635:S635" si="1281">L635*$Y$2</f>
        <v>0</v>
      </c>
      <c r="Q635" s="24">
        <f t="shared" si="1281"/>
        <v>0</v>
      </c>
      <c r="R635" s="24">
        <f t="shared" si="1281"/>
        <v>63.5</v>
      </c>
      <c r="S635" s="24">
        <f t="shared" si="1281"/>
        <v>92.25</v>
      </c>
      <c r="T635" s="24">
        <f t="shared" si="4"/>
        <v>4</v>
      </c>
      <c r="Z635" s="25">
        <f t="shared" si="12"/>
        <v>2.111942352</v>
      </c>
    </row>
    <row r="636">
      <c r="A636" s="16" t="s">
        <v>35</v>
      </c>
      <c r="B636" s="17">
        <v>35.0</v>
      </c>
      <c r="C636" s="24">
        <f t="shared" si="1214"/>
        <v>1838.671789</v>
      </c>
      <c r="D636" s="25">
        <v>0.05</v>
      </c>
      <c r="E636" s="24">
        <f t="shared" si="1215"/>
        <v>88.23042144</v>
      </c>
      <c r="F636" s="25">
        <v>0.02</v>
      </c>
      <c r="G636" s="24">
        <f t="shared" si="1216"/>
        <v>236.4006586</v>
      </c>
      <c r="H636" s="25">
        <v>0.05</v>
      </c>
      <c r="I636" s="24">
        <f t="shared" si="1217"/>
        <v>0</v>
      </c>
      <c r="J636" s="25">
        <v>0.02</v>
      </c>
      <c r="K636" s="25">
        <v>0.0</v>
      </c>
      <c r="L636" s="24" t="str">
        <f t="shared" ref="L636:O636" si="1282">IF(L635="", "", 1 + MROUND(IFERROR(MINIFS(OFFSET(L635, -1, 0, -$B636, 1), OFFSET(L635, -1, 0, -$B636, 1), "&gt;0"), L635) + (LN(1 + $Z636) ^ U$2) * U$3, 1))</f>
        <v/>
      </c>
      <c r="M636" s="24" t="str">
        <f t="shared" si="1282"/>
        <v/>
      </c>
      <c r="N636" s="24">
        <f t="shared" si="1282"/>
        <v>266</v>
      </c>
      <c r="O636" s="24">
        <f t="shared" si="1282"/>
        <v>381</v>
      </c>
      <c r="P636" s="24">
        <f t="shared" ref="P636:S636" si="1283">L636*$Y$2</f>
        <v>0</v>
      </c>
      <c r="Q636" s="24">
        <f t="shared" si="1283"/>
        <v>0</v>
      </c>
      <c r="R636" s="24">
        <f t="shared" si="1283"/>
        <v>66.5</v>
      </c>
      <c r="S636" s="24">
        <f t="shared" si="1283"/>
        <v>95.25</v>
      </c>
      <c r="T636" s="24">
        <f t="shared" si="4"/>
        <v>5</v>
      </c>
      <c r="Z636" s="25">
        <f t="shared" si="12"/>
        <v>2.220860334</v>
      </c>
    </row>
    <row r="637">
      <c r="A637" s="16" t="s">
        <v>35</v>
      </c>
      <c r="B637" s="17">
        <v>36.0</v>
      </c>
      <c r="C637" s="24">
        <f t="shared" si="1214"/>
        <v>1930.605379</v>
      </c>
      <c r="D637" s="25">
        <v>0.05</v>
      </c>
      <c r="E637" s="24">
        <f t="shared" si="1215"/>
        <v>89.99502987</v>
      </c>
      <c r="F637" s="25">
        <v>0.02</v>
      </c>
      <c r="G637" s="24">
        <f t="shared" si="1216"/>
        <v>248.2206915</v>
      </c>
      <c r="H637" s="25">
        <v>0.05</v>
      </c>
      <c r="I637" s="24">
        <f t="shared" si="1217"/>
        <v>0</v>
      </c>
      <c r="J637" s="25">
        <v>0.02</v>
      </c>
      <c r="K637" s="25">
        <v>0.0</v>
      </c>
      <c r="L637" s="24" t="str">
        <f t="shared" ref="L637:O637" si="1284">IF(L636="", "", 1 + MROUND(IFERROR(MINIFS(OFFSET(L636, -1, 0, -$B637, 1), OFFSET(L636, -1, 0, -$B637, 1), "&gt;0"), L636) + (LN(1 + $Z637) ^ U$2) * U$3, 1))</f>
        <v/>
      </c>
      <c r="M637" s="24" t="str">
        <f t="shared" si="1284"/>
        <v/>
      </c>
      <c r="N637" s="24">
        <f t="shared" si="1284"/>
        <v>278</v>
      </c>
      <c r="O637" s="24">
        <f t="shared" si="1284"/>
        <v>393</v>
      </c>
      <c r="P637" s="24">
        <f t="shared" ref="P637:S637" si="1285">L637*$Y$2</f>
        <v>0</v>
      </c>
      <c r="Q637" s="24">
        <f t="shared" si="1285"/>
        <v>0</v>
      </c>
      <c r="R637" s="24">
        <f t="shared" si="1285"/>
        <v>69.5</v>
      </c>
      <c r="S637" s="24">
        <f t="shared" si="1285"/>
        <v>98.25</v>
      </c>
      <c r="T637" s="24">
        <f t="shared" si="4"/>
        <v>5</v>
      </c>
      <c r="Z637" s="25">
        <f t="shared" si="12"/>
        <v>2.333590446</v>
      </c>
    </row>
    <row r="638">
      <c r="A638" s="16" t="s">
        <v>35</v>
      </c>
      <c r="B638" s="17">
        <v>37.0</v>
      </c>
      <c r="C638" s="24">
        <f t="shared" si="1214"/>
        <v>2027.135648</v>
      </c>
      <c r="D638" s="25">
        <v>0.05</v>
      </c>
      <c r="E638" s="24">
        <f t="shared" si="1215"/>
        <v>91.79493047</v>
      </c>
      <c r="F638" s="25">
        <v>0.02</v>
      </c>
      <c r="G638" s="24">
        <f t="shared" si="1216"/>
        <v>260.6317261</v>
      </c>
      <c r="H638" s="25">
        <v>0.05</v>
      </c>
      <c r="I638" s="24">
        <f t="shared" si="1217"/>
        <v>0</v>
      </c>
      <c r="J638" s="25">
        <v>0.02</v>
      </c>
      <c r="K638" s="25">
        <v>0.0</v>
      </c>
      <c r="L638" s="24" t="str">
        <f t="shared" ref="L638:O638" si="1286">IF(L637="", "", 1 + MROUND(IFERROR(MINIFS(OFFSET(L637, -1, 0, -$B638, 1), OFFSET(L637, -1, 0, -$B638, 1), "&gt;0"), L637) + (LN(1 + $Z638) ^ U$2) * U$3, 1))</f>
        <v/>
      </c>
      <c r="M638" s="24" t="str">
        <f t="shared" si="1286"/>
        <v/>
      </c>
      <c r="N638" s="24">
        <f t="shared" si="1286"/>
        <v>291</v>
      </c>
      <c r="O638" s="24">
        <f t="shared" si="1286"/>
        <v>406</v>
      </c>
      <c r="P638" s="24">
        <f t="shared" ref="P638:S638" si="1287">L638*$Y$2</f>
        <v>0</v>
      </c>
      <c r="Q638" s="24">
        <f t="shared" si="1287"/>
        <v>0</v>
      </c>
      <c r="R638" s="24">
        <f t="shared" si="1287"/>
        <v>72.75</v>
      </c>
      <c r="S638" s="24">
        <f t="shared" si="1287"/>
        <v>101.5</v>
      </c>
      <c r="T638" s="24">
        <f t="shared" si="4"/>
        <v>5</v>
      </c>
      <c r="Z638" s="25">
        <f t="shared" si="12"/>
        <v>2.450266111</v>
      </c>
    </row>
    <row r="639">
      <c r="A639" s="16" t="s">
        <v>35</v>
      </c>
      <c r="B639" s="17">
        <v>38.0</v>
      </c>
      <c r="C639" s="24">
        <f t="shared" si="1214"/>
        <v>2128.49243</v>
      </c>
      <c r="D639" s="25">
        <v>0.05</v>
      </c>
      <c r="E639" s="24">
        <f t="shared" si="1215"/>
        <v>93.63082908</v>
      </c>
      <c r="F639" s="25">
        <v>0.02</v>
      </c>
      <c r="G639" s="24">
        <f t="shared" si="1216"/>
        <v>273.6633124</v>
      </c>
      <c r="H639" s="25">
        <v>0.05</v>
      </c>
      <c r="I639" s="24">
        <f t="shared" si="1217"/>
        <v>0</v>
      </c>
      <c r="J639" s="25">
        <v>0.02</v>
      </c>
      <c r="K639" s="25">
        <v>0.0</v>
      </c>
      <c r="L639" s="24" t="str">
        <f t="shared" ref="L639:O639" si="1288">IF(L638="", "", 1 + MROUND(IFERROR(MINIFS(OFFSET(L638, -1, 0, -$B639, 1), OFFSET(L638, -1, 0, -$B639, 1), "&gt;0"), L638) + (LN(1 + $Z639) ^ U$2) * U$3, 1))</f>
        <v/>
      </c>
      <c r="M639" s="24" t="str">
        <f t="shared" si="1288"/>
        <v/>
      </c>
      <c r="N639" s="24">
        <f t="shared" si="1288"/>
        <v>304</v>
      </c>
      <c r="O639" s="24">
        <f t="shared" si="1288"/>
        <v>419</v>
      </c>
      <c r="P639" s="24">
        <f t="shared" ref="P639:S639" si="1289">L639*$Y$2</f>
        <v>0</v>
      </c>
      <c r="Q639" s="24">
        <f t="shared" si="1289"/>
        <v>0</v>
      </c>
      <c r="R639" s="24">
        <f t="shared" si="1289"/>
        <v>76</v>
      </c>
      <c r="S639" s="24">
        <f t="shared" si="1289"/>
        <v>104.75</v>
      </c>
      <c r="T639" s="24">
        <f t="shared" si="4"/>
        <v>5</v>
      </c>
      <c r="Z639" s="25">
        <f t="shared" si="12"/>
        <v>2.571025425</v>
      </c>
    </row>
    <row r="640">
      <c r="A640" s="16" t="s">
        <v>35</v>
      </c>
      <c r="B640" s="17">
        <v>39.0</v>
      </c>
      <c r="C640" s="24">
        <f t="shared" si="1214"/>
        <v>2234.917051</v>
      </c>
      <c r="D640" s="25">
        <v>0.05</v>
      </c>
      <c r="E640" s="24">
        <f t="shared" si="1215"/>
        <v>95.50344566</v>
      </c>
      <c r="F640" s="25">
        <v>0.02</v>
      </c>
      <c r="G640" s="24">
        <f t="shared" si="1216"/>
        <v>287.346478</v>
      </c>
      <c r="H640" s="25">
        <v>0.05</v>
      </c>
      <c r="I640" s="24">
        <f t="shared" si="1217"/>
        <v>0</v>
      </c>
      <c r="J640" s="25">
        <v>0.02</v>
      </c>
      <c r="K640" s="25">
        <v>0.0</v>
      </c>
      <c r="L640" s="24" t="str">
        <f t="shared" ref="L640:O640" si="1290">IF(L639="", "", 1 + MROUND(IFERROR(MINIFS(OFFSET(L639, -1, 0, -$B640, 1), OFFSET(L639, -1, 0, -$B640, 1), "&gt;0"), L639) + (LN(1 + $Z640) ^ U$2) * U$3, 1))</f>
        <v/>
      </c>
      <c r="M640" s="24" t="str">
        <f t="shared" si="1290"/>
        <v/>
      </c>
      <c r="N640" s="24">
        <f t="shared" si="1290"/>
        <v>317</v>
      </c>
      <c r="O640" s="24">
        <f t="shared" si="1290"/>
        <v>432</v>
      </c>
      <c r="P640" s="24">
        <f t="shared" ref="P640:S640" si="1291">L640*$Y$2</f>
        <v>0</v>
      </c>
      <c r="Q640" s="24">
        <f t="shared" si="1291"/>
        <v>0</v>
      </c>
      <c r="R640" s="24">
        <f t="shared" si="1291"/>
        <v>79.25</v>
      </c>
      <c r="S640" s="24">
        <f t="shared" si="1291"/>
        <v>108</v>
      </c>
      <c r="T640" s="24">
        <f t="shared" si="4"/>
        <v>5</v>
      </c>
      <c r="Z640" s="25">
        <f t="shared" si="12"/>
        <v>2.696011315</v>
      </c>
    </row>
    <row r="641">
      <c r="A641" s="16" t="s">
        <v>35</v>
      </c>
      <c r="B641" s="17">
        <v>40.0</v>
      </c>
      <c r="C641" s="24">
        <f t="shared" si="1214"/>
        <v>2346.662904</v>
      </c>
      <c r="D641" s="25">
        <v>0.05</v>
      </c>
      <c r="E641" s="24">
        <f t="shared" si="1215"/>
        <v>97.41351457</v>
      </c>
      <c r="F641" s="25">
        <v>0.02</v>
      </c>
      <c r="G641" s="24">
        <f t="shared" si="1216"/>
        <v>301.7138019</v>
      </c>
      <c r="H641" s="25">
        <v>0.05</v>
      </c>
      <c r="I641" s="24">
        <f t="shared" si="1217"/>
        <v>0</v>
      </c>
      <c r="J641" s="25">
        <v>0.02</v>
      </c>
      <c r="K641" s="25">
        <v>0.0</v>
      </c>
      <c r="L641" s="24" t="str">
        <f t="shared" ref="L641:O641" si="1292">IF(L640="", "", 1 + MROUND(IFERROR(MINIFS(OFFSET(L640, -1, 0, -$B641, 1), OFFSET(L640, -1, 0, -$B641, 1), "&gt;0"), L640) + (LN(1 + $Z641) ^ U$2) * U$3, 1))</f>
        <v/>
      </c>
      <c r="M641" s="24" t="str">
        <f t="shared" si="1292"/>
        <v/>
      </c>
      <c r="N641" s="24">
        <f t="shared" si="1292"/>
        <v>330</v>
      </c>
      <c r="O641" s="24">
        <f t="shared" si="1292"/>
        <v>445</v>
      </c>
      <c r="P641" s="24">
        <f t="shared" ref="P641:S641" si="1293">L641*$Y$2</f>
        <v>0</v>
      </c>
      <c r="Q641" s="24">
        <f t="shared" si="1293"/>
        <v>0</v>
      </c>
      <c r="R641" s="24">
        <f t="shared" si="1293"/>
        <v>82.5</v>
      </c>
      <c r="S641" s="24">
        <f t="shared" si="1293"/>
        <v>111.25</v>
      </c>
      <c r="T641" s="24">
        <f t="shared" si="4"/>
        <v>5</v>
      </c>
      <c r="Z641" s="25">
        <f t="shared" si="12"/>
        <v>2.825371711</v>
      </c>
    </row>
    <row r="642">
      <c r="A642" s="16" t="s">
        <v>35</v>
      </c>
      <c r="B642" s="17">
        <v>41.0</v>
      </c>
      <c r="C642" s="24">
        <f t="shared" si="1214"/>
        <v>2463.996049</v>
      </c>
      <c r="D642" s="25">
        <v>0.05</v>
      </c>
      <c r="E642" s="24">
        <f t="shared" si="1215"/>
        <v>99.36178486</v>
      </c>
      <c r="F642" s="25">
        <v>0.02</v>
      </c>
      <c r="G642" s="24">
        <f t="shared" si="1216"/>
        <v>316.799492</v>
      </c>
      <c r="H642" s="25">
        <v>0.05</v>
      </c>
      <c r="I642" s="24">
        <f t="shared" si="1217"/>
        <v>0</v>
      </c>
      <c r="J642" s="25">
        <v>0.02</v>
      </c>
      <c r="K642" s="25">
        <v>0.0</v>
      </c>
      <c r="L642" s="24" t="str">
        <f t="shared" ref="L642:O642" si="1294">IF(L641="", "", 1 + MROUND(IFERROR(MINIFS(OFFSET(L641, -1, 0, -$B642, 1), OFFSET(L641, -1, 0, -$B642, 1), "&gt;0"), L641) + (LN(1 + $Z642) ^ U$2) * U$3, 1))</f>
        <v/>
      </c>
      <c r="M642" s="24" t="str">
        <f t="shared" si="1294"/>
        <v/>
      </c>
      <c r="N642" s="24">
        <f t="shared" si="1294"/>
        <v>344</v>
      </c>
      <c r="O642" s="24">
        <f t="shared" si="1294"/>
        <v>459</v>
      </c>
      <c r="P642" s="24">
        <f t="shared" ref="P642:S642" si="1295">L642*$Y$2</f>
        <v>0</v>
      </c>
      <c r="Q642" s="24">
        <f t="shared" si="1295"/>
        <v>0</v>
      </c>
      <c r="R642" s="24">
        <f t="shared" si="1295"/>
        <v>86</v>
      </c>
      <c r="S642" s="24">
        <f t="shared" si="1295"/>
        <v>114.75</v>
      </c>
      <c r="T642" s="24">
        <f t="shared" si="4"/>
        <v>5</v>
      </c>
      <c r="Z642" s="25">
        <f t="shared" si="12"/>
        <v>2.959259721</v>
      </c>
    </row>
    <row r="643">
      <c r="A643" s="16" t="s">
        <v>35</v>
      </c>
      <c r="B643" s="17">
        <v>42.0</v>
      </c>
      <c r="C643" s="24">
        <f t="shared" si="1214"/>
        <v>2587.195852</v>
      </c>
      <c r="D643" s="25">
        <v>0.05</v>
      </c>
      <c r="E643" s="24">
        <f t="shared" si="1215"/>
        <v>101.3490206</v>
      </c>
      <c r="F643" s="25">
        <v>0.02</v>
      </c>
      <c r="G643" s="24">
        <f t="shared" si="1216"/>
        <v>332.6394666</v>
      </c>
      <c r="H643" s="25">
        <v>0.05</v>
      </c>
      <c r="I643" s="24">
        <f t="shared" si="1217"/>
        <v>0</v>
      </c>
      <c r="J643" s="25">
        <v>0.02</v>
      </c>
      <c r="K643" s="25">
        <v>0.0</v>
      </c>
      <c r="L643" s="24" t="str">
        <f t="shared" ref="L643:O643" si="1296">IF(L642="", "", 1 + MROUND(IFERROR(MINIFS(OFFSET(L642, -1, 0, -$B643, 1), OFFSET(L642, -1, 0, -$B643, 1), "&gt;0"), L642) + (LN(1 + $Z643) ^ U$2) * U$3, 1))</f>
        <v/>
      </c>
      <c r="M643" s="24" t="str">
        <f t="shared" si="1296"/>
        <v/>
      </c>
      <c r="N643" s="24">
        <f t="shared" si="1296"/>
        <v>358</v>
      </c>
      <c r="O643" s="24">
        <f t="shared" si="1296"/>
        <v>473</v>
      </c>
      <c r="P643" s="24">
        <f t="shared" ref="P643:S643" si="1297">L643*$Y$2</f>
        <v>0</v>
      </c>
      <c r="Q643" s="24">
        <f t="shared" si="1297"/>
        <v>0</v>
      </c>
      <c r="R643" s="24">
        <f t="shared" si="1297"/>
        <v>89.5</v>
      </c>
      <c r="S643" s="24">
        <f t="shared" si="1297"/>
        <v>118.25</v>
      </c>
      <c r="T643" s="24">
        <f t="shared" si="4"/>
        <v>5</v>
      </c>
      <c r="Z643" s="25">
        <f t="shared" si="12"/>
        <v>3.097833811</v>
      </c>
    </row>
    <row r="644">
      <c r="A644" s="16" t="s">
        <v>35</v>
      </c>
      <c r="B644" s="17">
        <v>43.0</v>
      </c>
      <c r="C644" s="24">
        <f t="shared" si="1214"/>
        <v>2716.555644</v>
      </c>
      <c r="D644" s="25">
        <v>0.05</v>
      </c>
      <c r="E644" s="24">
        <f t="shared" si="1215"/>
        <v>103.376001</v>
      </c>
      <c r="F644" s="25">
        <v>0.02</v>
      </c>
      <c r="G644" s="24">
        <f t="shared" si="1216"/>
        <v>349.27144</v>
      </c>
      <c r="H644" s="25">
        <v>0.05</v>
      </c>
      <c r="I644" s="24">
        <f t="shared" si="1217"/>
        <v>0</v>
      </c>
      <c r="J644" s="25">
        <v>0.02</v>
      </c>
      <c r="K644" s="25">
        <v>0.0</v>
      </c>
      <c r="L644" s="24" t="str">
        <f t="shared" ref="L644:O644" si="1298">IF(L643="", "", 1 + MROUND(IFERROR(MINIFS(OFFSET(L643, -1, 0, -$B644, 1), OFFSET(L643, -1, 0, -$B644, 1), "&gt;0"), L643) + (LN(1 + $Z644) ^ U$2) * U$3, 1))</f>
        <v/>
      </c>
      <c r="M644" s="24" t="str">
        <f t="shared" si="1298"/>
        <v/>
      </c>
      <c r="N644" s="24">
        <f t="shared" si="1298"/>
        <v>372</v>
      </c>
      <c r="O644" s="24">
        <f t="shared" si="1298"/>
        <v>487</v>
      </c>
      <c r="P644" s="24">
        <f t="shared" ref="P644:S644" si="1299">L644*$Y$2</f>
        <v>0</v>
      </c>
      <c r="Q644" s="24">
        <f t="shared" si="1299"/>
        <v>0</v>
      </c>
      <c r="R644" s="24">
        <f t="shared" si="1299"/>
        <v>93</v>
      </c>
      <c r="S644" s="24">
        <f t="shared" si="1299"/>
        <v>121.75</v>
      </c>
      <c r="T644" s="24">
        <f t="shared" si="4"/>
        <v>5</v>
      </c>
      <c r="Z644" s="25">
        <f t="shared" si="12"/>
        <v>3.241257995</v>
      </c>
    </row>
    <row r="645">
      <c r="A645" s="16" t="s">
        <v>35</v>
      </c>
      <c r="B645" s="17">
        <v>44.0</v>
      </c>
      <c r="C645" s="24">
        <f t="shared" si="1214"/>
        <v>2852.383427</v>
      </c>
      <c r="D645" s="25">
        <v>0.05</v>
      </c>
      <c r="E645" s="24">
        <f t="shared" si="1215"/>
        <v>105.443521</v>
      </c>
      <c r="F645" s="25">
        <v>0.02</v>
      </c>
      <c r="G645" s="24">
        <f t="shared" si="1216"/>
        <v>366.735012</v>
      </c>
      <c r="H645" s="25">
        <v>0.05</v>
      </c>
      <c r="I645" s="24">
        <f t="shared" si="1217"/>
        <v>0</v>
      </c>
      <c r="J645" s="25">
        <v>0.02</v>
      </c>
      <c r="K645" s="25">
        <v>0.0</v>
      </c>
      <c r="L645" s="24" t="str">
        <f t="shared" ref="L645:O645" si="1300">IF(L644="", "", 1 + MROUND(IFERROR(MINIFS(OFFSET(L644, -1, 0, -$B645, 1), OFFSET(L644, -1, 0, -$B645, 1), "&gt;0"), L644) + (LN(1 + $Z645) ^ U$2) * U$3, 1))</f>
        <v/>
      </c>
      <c r="M645" s="24" t="str">
        <f t="shared" si="1300"/>
        <v/>
      </c>
      <c r="N645" s="24">
        <f t="shared" si="1300"/>
        <v>386</v>
      </c>
      <c r="O645" s="24">
        <f t="shared" si="1300"/>
        <v>501</v>
      </c>
      <c r="P645" s="24">
        <f t="shared" ref="P645:S645" si="1301">L645*$Y$2</f>
        <v>0</v>
      </c>
      <c r="Q645" s="24">
        <f t="shared" si="1301"/>
        <v>0</v>
      </c>
      <c r="R645" s="24">
        <f t="shared" si="1301"/>
        <v>96.5</v>
      </c>
      <c r="S645" s="24">
        <f t="shared" si="1301"/>
        <v>125.25</v>
      </c>
      <c r="T645" s="24">
        <f t="shared" si="4"/>
        <v>5</v>
      </c>
      <c r="Z645" s="25">
        <f t="shared" si="12"/>
        <v>3.389702025</v>
      </c>
    </row>
    <row r="646">
      <c r="A646" s="16" t="s">
        <v>35</v>
      </c>
      <c r="B646" s="17">
        <v>45.0</v>
      </c>
      <c r="C646" s="24">
        <f t="shared" si="1214"/>
        <v>2995.002598</v>
      </c>
      <c r="D646" s="25">
        <v>0.05</v>
      </c>
      <c r="E646" s="24">
        <f t="shared" si="1215"/>
        <v>107.5523914</v>
      </c>
      <c r="F646" s="25">
        <v>0.02</v>
      </c>
      <c r="G646" s="24">
        <f t="shared" si="1216"/>
        <v>385.0717626</v>
      </c>
      <c r="H646" s="25">
        <v>0.05</v>
      </c>
      <c r="I646" s="24">
        <f t="shared" si="1217"/>
        <v>0</v>
      </c>
      <c r="J646" s="25">
        <v>0.02</v>
      </c>
      <c r="K646" s="25">
        <v>0.0</v>
      </c>
      <c r="L646" s="24" t="str">
        <f t="shared" ref="L646:O646" si="1302">IF(L645="", "", 1 + MROUND(IFERROR(MINIFS(OFFSET(L645, -1, 0, -$B646, 1), OFFSET(L645, -1, 0, -$B646, 1), "&gt;0"), L645) + (LN(1 + $Z646) ^ U$2) * U$3, 1))</f>
        <v/>
      </c>
      <c r="M646" s="24" t="str">
        <f t="shared" si="1302"/>
        <v/>
      </c>
      <c r="N646" s="24">
        <f t="shared" si="1302"/>
        <v>400</v>
      </c>
      <c r="O646" s="24">
        <f t="shared" si="1302"/>
        <v>515</v>
      </c>
      <c r="P646" s="24">
        <f t="shared" ref="P646:S646" si="1303">L646*$Y$2</f>
        <v>0</v>
      </c>
      <c r="Q646" s="24">
        <f t="shared" si="1303"/>
        <v>0</v>
      </c>
      <c r="R646" s="24">
        <f t="shared" si="1303"/>
        <v>100</v>
      </c>
      <c r="S646" s="24">
        <f t="shared" si="1303"/>
        <v>128.75</v>
      </c>
      <c r="T646" s="24">
        <f t="shared" si="4"/>
        <v>6</v>
      </c>
      <c r="Z646" s="25">
        <f t="shared" si="12"/>
        <v>3.543341595</v>
      </c>
    </row>
    <row r="647">
      <c r="A647" s="16" t="s">
        <v>35</v>
      </c>
      <c r="B647" s="17">
        <v>46.0</v>
      </c>
      <c r="C647" s="24">
        <f t="shared" si="1214"/>
        <v>3144.752728</v>
      </c>
      <c r="D647" s="25">
        <v>0.05</v>
      </c>
      <c r="E647" s="24">
        <f t="shared" si="1215"/>
        <v>109.7034392</v>
      </c>
      <c r="F647" s="25">
        <v>0.02</v>
      </c>
      <c r="G647" s="24">
        <f t="shared" si="1216"/>
        <v>404.3253507</v>
      </c>
      <c r="H647" s="25">
        <v>0.05</v>
      </c>
      <c r="I647" s="24">
        <f t="shared" si="1217"/>
        <v>0</v>
      </c>
      <c r="J647" s="25">
        <v>0.02</v>
      </c>
      <c r="K647" s="25">
        <v>0.0</v>
      </c>
      <c r="L647" s="24" t="str">
        <f t="shared" ref="L647:O647" si="1304">IF(L646="", "", 1 + MROUND(IFERROR(MINIFS(OFFSET(L646, -1, 0, -$B647, 1), OFFSET(L646, -1, 0, -$B647, 1), "&gt;0"), L646) + (LN(1 + $Z647) ^ U$2) * U$3, 1))</f>
        <v/>
      </c>
      <c r="M647" s="24" t="str">
        <f t="shared" si="1304"/>
        <v/>
      </c>
      <c r="N647" s="24">
        <f t="shared" si="1304"/>
        <v>415</v>
      </c>
      <c r="O647" s="24">
        <f t="shared" si="1304"/>
        <v>530</v>
      </c>
      <c r="P647" s="24">
        <f t="shared" ref="P647:S647" si="1305">L647*$Y$2</f>
        <v>0</v>
      </c>
      <c r="Q647" s="24">
        <f t="shared" si="1305"/>
        <v>0</v>
      </c>
      <c r="R647" s="24">
        <f t="shared" si="1305"/>
        <v>103.75</v>
      </c>
      <c r="S647" s="24">
        <f t="shared" si="1305"/>
        <v>132.5</v>
      </c>
      <c r="T647" s="24">
        <f t="shared" si="4"/>
        <v>6</v>
      </c>
      <c r="Z647" s="25">
        <f t="shared" si="12"/>
        <v>3.702358551</v>
      </c>
    </row>
    <row r="648">
      <c r="A648" s="16" t="s">
        <v>35</v>
      </c>
      <c r="B648" s="17">
        <v>47.0</v>
      </c>
      <c r="C648" s="24">
        <f t="shared" si="1214"/>
        <v>3301.990364</v>
      </c>
      <c r="D648" s="25">
        <v>0.05</v>
      </c>
      <c r="E648" s="24">
        <f t="shared" si="1215"/>
        <v>111.897508</v>
      </c>
      <c r="F648" s="25">
        <v>0.02</v>
      </c>
      <c r="G648" s="24">
        <f t="shared" si="1216"/>
        <v>424.5416182</v>
      </c>
      <c r="H648" s="25">
        <v>0.05</v>
      </c>
      <c r="I648" s="24">
        <f t="shared" si="1217"/>
        <v>0</v>
      </c>
      <c r="J648" s="25">
        <v>0.02</v>
      </c>
      <c r="K648" s="25">
        <v>0.0</v>
      </c>
      <c r="L648" s="24" t="str">
        <f t="shared" ref="L648:O648" si="1306">IF(L647="", "", 1 + MROUND(IFERROR(MINIFS(OFFSET(L647, -1, 0, -$B648, 1), OFFSET(L647, -1, 0, -$B648, 1), "&gt;0"), L647) + (LN(1 + $Z648) ^ U$2) * U$3, 1))</f>
        <v/>
      </c>
      <c r="M648" s="24" t="str">
        <f t="shared" si="1306"/>
        <v/>
      </c>
      <c r="N648" s="24">
        <f t="shared" si="1306"/>
        <v>430</v>
      </c>
      <c r="O648" s="24">
        <f t="shared" si="1306"/>
        <v>545</v>
      </c>
      <c r="P648" s="24">
        <f t="shared" ref="P648:S648" si="1307">L648*$Y$2</f>
        <v>0</v>
      </c>
      <c r="Q648" s="24">
        <f t="shared" si="1307"/>
        <v>0</v>
      </c>
      <c r="R648" s="24">
        <f t="shared" si="1307"/>
        <v>107.5</v>
      </c>
      <c r="S648" s="24">
        <f t="shared" si="1307"/>
        <v>136.25</v>
      </c>
      <c r="T648" s="24">
        <f t="shared" si="4"/>
        <v>6</v>
      </c>
      <c r="Z648" s="25">
        <f t="shared" si="12"/>
        <v>3.866941101</v>
      </c>
    </row>
    <row r="649">
      <c r="A649" s="16" t="s">
        <v>35</v>
      </c>
      <c r="B649" s="17">
        <v>48.0</v>
      </c>
      <c r="C649" s="24">
        <f t="shared" si="1214"/>
        <v>3467.089882</v>
      </c>
      <c r="D649" s="25">
        <v>0.05</v>
      </c>
      <c r="E649" s="24">
        <f t="shared" si="1215"/>
        <v>114.1354582</v>
      </c>
      <c r="F649" s="25">
        <v>0.02</v>
      </c>
      <c r="G649" s="24">
        <f t="shared" si="1216"/>
        <v>445.7686992</v>
      </c>
      <c r="H649" s="25">
        <v>0.05</v>
      </c>
      <c r="I649" s="24">
        <f t="shared" si="1217"/>
        <v>0</v>
      </c>
      <c r="J649" s="25">
        <v>0.02</v>
      </c>
      <c r="K649" s="25">
        <v>0.0</v>
      </c>
      <c r="L649" s="24" t="str">
        <f t="shared" ref="L649:O649" si="1308">IF(L648="", "", 1 + MROUND(IFERROR(MINIFS(OFFSET(L648, -1, 0, -$B649, 1), OFFSET(L648, -1, 0, -$B649, 1), "&gt;0"), L648) + (LN(1 + $Z649) ^ U$2) * U$3, 1))</f>
        <v/>
      </c>
      <c r="M649" s="24" t="str">
        <f t="shared" si="1308"/>
        <v/>
      </c>
      <c r="N649" s="24">
        <f t="shared" si="1308"/>
        <v>445</v>
      </c>
      <c r="O649" s="24">
        <f t="shared" si="1308"/>
        <v>560</v>
      </c>
      <c r="P649" s="24">
        <f t="shared" ref="P649:S649" si="1309">L649*$Y$2</f>
        <v>0</v>
      </c>
      <c r="Q649" s="24">
        <f t="shared" si="1309"/>
        <v>0</v>
      </c>
      <c r="R649" s="24">
        <f t="shared" si="1309"/>
        <v>111.25</v>
      </c>
      <c r="S649" s="24">
        <f t="shared" si="1309"/>
        <v>140</v>
      </c>
      <c r="T649" s="24">
        <f t="shared" si="4"/>
        <v>6</v>
      </c>
      <c r="Z649" s="25">
        <f t="shared" si="12"/>
        <v>4.037284039</v>
      </c>
    </row>
    <row r="650">
      <c r="A650" s="16" t="s">
        <v>35</v>
      </c>
      <c r="B650" s="17">
        <v>49.0</v>
      </c>
      <c r="C650" s="24">
        <f t="shared" si="1214"/>
        <v>3640.444376</v>
      </c>
      <c r="D650" s="25">
        <v>0.05</v>
      </c>
      <c r="E650" s="24">
        <f t="shared" si="1215"/>
        <v>116.4181673</v>
      </c>
      <c r="F650" s="25">
        <v>0.02</v>
      </c>
      <c r="G650" s="24">
        <f t="shared" si="1216"/>
        <v>468.0571341</v>
      </c>
      <c r="H650" s="25">
        <v>0.05</v>
      </c>
      <c r="I650" s="24">
        <f t="shared" si="1217"/>
        <v>0</v>
      </c>
      <c r="J650" s="25">
        <v>0.02</v>
      </c>
      <c r="K650" s="25">
        <v>0.0</v>
      </c>
      <c r="L650" s="24" t="str">
        <f t="shared" ref="L650:O650" si="1310">IF(L649="", "", 1 + MROUND(IFERROR(MINIFS(OFFSET(L649, -1, 0, -$B650, 1), OFFSET(L649, -1, 0, -$B650, 1), "&gt;0"), L649) + (LN(1 + $Z650) ^ U$2) * U$3, 1))</f>
        <v/>
      </c>
      <c r="M650" s="24" t="str">
        <f t="shared" si="1310"/>
        <v/>
      </c>
      <c r="N650" s="24">
        <f t="shared" si="1310"/>
        <v>460</v>
      </c>
      <c r="O650" s="24">
        <f t="shared" si="1310"/>
        <v>575</v>
      </c>
      <c r="P650" s="24">
        <f t="shared" ref="P650:S650" si="1311">L650*$Y$2</f>
        <v>0</v>
      </c>
      <c r="Q650" s="24">
        <f t="shared" si="1311"/>
        <v>0</v>
      </c>
      <c r="R650" s="24">
        <f t="shared" si="1311"/>
        <v>115</v>
      </c>
      <c r="S650" s="24">
        <f t="shared" si="1311"/>
        <v>143.75</v>
      </c>
      <c r="T650" s="24">
        <f t="shared" si="4"/>
        <v>6</v>
      </c>
      <c r="Z650" s="25">
        <f t="shared" si="12"/>
        <v>4.213588981</v>
      </c>
    </row>
    <row r="651">
      <c r="A651" s="16" t="s">
        <v>35</v>
      </c>
      <c r="B651" s="17">
        <v>50.0</v>
      </c>
      <c r="C651" s="24">
        <f t="shared" si="1214"/>
        <v>3822.466595</v>
      </c>
      <c r="D651" s="25">
        <v>0.05</v>
      </c>
      <c r="E651" s="24">
        <f t="shared" si="1215"/>
        <v>118.7465307</v>
      </c>
      <c r="F651" s="25">
        <v>0.02</v>
      </c>
      <c r="G651" s="24">
        <f t="shared" si="1216"/>
        <v>491.4599908</v>
      </c>
      <c r="H651" s="25">
        <v>0.05</v>
      </c>
      <c r="I651" s="24">
        <f t="shared" si="1217"/>
        <v>0</v>
      </c>
      <c r="J651" s="25">
        <v>0.02</v>
      </c>
      <c r="K651" s="25">
        <v>0.0</v>
      </c>
      <c r="L651" s="24" t="str">
        <f t="shared" ref="L651:O651" si="1312">IF(L650="", "", 1 + MROUND(IFERROR(MINIFS(OFFSET(L650, -1, 0, -$B651, 1), OFFSET(L650, -1, 0, -$B651, 1), "&gt;0"), L650) + (LN(1 + $Z651) ^ U$2) * U$3, 1))</f>
        <v/>
      </c>
      <c r="M651" s="24" t="str">
        <f t="shared" si="1312"/>
        <v/>
      </c>
      <c r="N651" s="24">
        <f t="shared" si="1312"/>
        <v>475</v>
      </c>
      <c r="O651" s="24">
        <f t="shared" si="1312"/>
        <v>590</v>
      </c>
      <c r="P651" s="24">
        <f t="shared" ref="P651:S651" si="1313">L651*$Y$2</f>
        <v>0</v>
      </c>
      <c r="Q651" s="24">
        <f t="shared" si="1313"/>
        <v>0</v>
      </c>
      <c r="R651" s="24">
        <f t="shared" si="1313"/>
        <v>118.75</v>
      </c>
      <c r="S651" s="24">
        <f t="shared" si="1313"/>
        <v>147.5</v>
      </c>
      <c r="T651" s="24">
        <f t="shared" si="4"/>
        <v>6</v>
      </c>
      <c r="Z651" s="25">
        <f t="shared" si="12"/>
        <v>4.396064595</v>
      </c>
    </row>
    <row r="652">
      <c r="A652" s="16" t="s">
        <v>35</v>
      </c>
      <c r="B652" s="17">
        <v>51.0</v>
      </c>
      <c r="C652" s="24">
        <f t="shared" si="1214"/>
        <v>4013.589925</v>
      </c>
      <c r="D652" s="25">
        <v>0.05</v>
      </c>
      <c r="E652" s="24">
        <f t="shared" si="1215"/>
        <v>121.1214613</v>
      </c>
      <c r="F652" s="25">
        <v>0.02</v>
      </c>
      <c r="G652" s="24">
        <f t="shared" si="1216"/>
        <v>516.0329904</v>
      </c>
      <c r="H652" s="25">
        <v>0.05</v>
      </c>
      <c r="I652" s="24">
        <f t="shared" si="1217"/>
        <v>0</v>
      </c>
      <c r="J652" s="25">
        <v>0.02</v>
      </c>
      <c r="K652" s="25">
        <v>0.0</v>
      </c>
      <c r="L652" s="24" t="str">
        <f t="shared" ref="L652:O652" si="1314">IF(L651="", "", 1 + MROUND(IFERROR(MINIFS(OFFSET(L651, -1, 0, -$B652, 1), OFFSET(L651, -1, 0, -$B652, 1), "&gt;0"), L651) + (LN(1 + $Z652) ^ U$2) * U$3, 1))</f>
        <v/>
      </c>
      <c r="M652" s="24" t="str">
        <f t="shared" si="1314"/>
        <v/>
      </c>
      <c r="N652" s="24">
        <f t="shared" si="1314"/>
        <v>491</v>
      </c>
      <c r="O652" s="24">
        <f t="shared" si="1314"/>
        <v>606</v>
      </c>
      <c r="P652" s="24">
        <f t="shared" ref="P652:S652" si="1315">L652*$Y$2</f>
        <v>0</v>
      </c>
      <c r="Q652" s="24">
        <f t="shared" si="1315"/>
        <v>0</v>
      </c>
      <c r="R652" s="24">
        <f t="shared" si="1315"/>
        <v>122.75</v>
      </c>
      <c r="S652" s="24">
        <f t="shared" si="1315"/>
        <v>151.5</v>
      </c>
      <c r="T652" s="24">
        <f t="shared" si="4"/>
        <v>6</v>
      </c>
      <c r="Z652" s="25">
        <f t="shared" si="12"/>
        <v>4.584926856</v>
      </c>
    </row>
    <row r="653">
      <c r="A653" s="16" t="s">
        <v>35</v>
      </c>
      <c r="B653" s="17">
        <v>52.0</v>
      </c>
      <c r="C653" s="24">
        <f t="shared" si="1214"/>
        <v>4214.269421</v>
      </c>
      <c r="D653" s="25">
        <v>0.05</v>
      </c>
      <c r="E653" s="24">
        <f t="shared" si="1215"/>
        <v>123.5438905</v>
      </c>
      <c r="F653" s="25">
        <v>0.02</v>
      </c>
      <c r="G653" s="24">
        <f t="shared" si="1216"/>
        <v>541.8346399</v>
      </c>
      <c r="H653" s="25">
        <v>0.05</v>
      </c>
      <c r="I653" s="24">
        <f t="shared" si="1217"/>
        <v>0</v>
      </c>
      <c r="J653" s="25">
        <v>0.02</v>
      </c>
      <c r="K653" s="25">
        <v>0.0</v>
      </c>
      <c r="L653" s="24" t="str">
        <f t="shared" ref="L653:O653" si="1316">IF(L652="", "", 1 + MROUND(IFERROR(MINIFS(OFFSET(L652, -1, 0, -$B653, 1), OFFSET(L652, -1, 0, -$B653, 1), "&gt;0"), L652) + (LN(1 + $Z653) ^ U$2) * U$3, 1))</f>
        <v/>
      </c>
      <c r="M653" s="24" t="str">
        <f t="shared" si="1316"/>
        <v/>
      </c>
      <c r="N653" s="24">
        <f t="shared" si="1316"/>
        <v>507</v>
      </c>
      <c r="O653" s="24">
        <f t="shared" si="1316"/>
        <v>622</v>
      </c>
      <c r="P653" s="24">
        <f t="shared" ref="P653:S653" si="1317">L653*$Y$2</f>
        <v>0</v>
      </c>
      <c r="Q653" s="24">
        <f t="shared" si="1317"/>
        <v>0</v>
      </c>
      <c r="R653" s="24">
        <f t="shared" si="1317"/>
        <v>126.75</v>
      </c>
      <c r="S653" s="24">
        <f t="shared" si="1317"/>
        <v>155.5</v>
      </c>
      <c r="T653" s="24">
        <f t="shared" si="4"/>
        <v>6</v>
      </c>
      <c r="Z653" s="25">
        <f t="shared" si="12"/>
        <v>4.780399296</v>
      </c>
    </row>
    <row r="654">
      <c r="A654" s="16" t="s">
        <v>35</v>
      </c>
      <c r="B654" s="17">
        <v>53.0</v>
      </c>
      <c r="C654" s="24">
        <f t="shared" si="1214"/>
        <v>4424.982892</v>
      </c>
      <c r="D654" s="25">
        <v>0.05</v>
      </c>
      <c r="E654" s="24">
        <f t="shared" si="1215"/>
        <v>126.0147683</v>
      </c>
      <c r="F654" s="25">
        <v>0.02</v>
      </c>
      <c r="G654" s="24">
        <f t="shared" si="1216"/>
        <v>568.9263719</v>
      </c>
      <c r="H654" s="25">
        <v>0.05</v>
      </c>
      <c r="I654" s="24">
        <f t="shared" si="1217"/>
        <v>0</v>
      </c>
      <c r="J654" s="25">
        <v>0.02</v>
      </c>
      <c r="K654" s="25">
        <v>0.0</v>
      </c>
      <c r="L654" s="24" t="str">
        <f t="shared" ref="L654:O654" si="1318">IF(L653="", "", 1 + MROUND(IFERROR(MINIFS(OFFSET(L653, -1, 0, -$B654, 1), OFFSET(L653, -1, 0, -$B654, 1), "&gt;0"), L653) + (LN(1 + $Z654) ^ U$2) * U$3, 1))</f>
        <v/>
      </c>
      <c r="M654" s="24" t="str">
        <f t="shared" si="1318"/>
        <v/>
      </c>
      <c r="N654" s="24">
        <f t="shared" si="1318"/>
        <v>523</v>
      </c>
      <c r="O654" s="24">
        <f t="shared" si="1318"/>
        <v>638</v>
      </c>
      <c r="P654" s="24">
        <f t="shared" ref="P654:S654" si="1319">L654*$Y$2</f>
        <v>0</v>
      </c>
      <c r="Q654" s="24">
        <f t="shared" si="1319"/>
        <v>0</v>
      </c>
      <c r="R654" s="24">
        <f t="shared" si="1319"/>
        <v>130.75</v>
      </c>
      <c r="S654" s="24">
        <f t="shared" si="1319"/>
        <v>159.5</v>
      </c>
      <c r="T654" s="24">
        <f t="shared" si="4"/>
        <v>6</v>
      </c>
      <c r="Z654" s="25">
        <f t="shared" si="12"/>
        <v>4.982713271</v>
      </c>
    </row>
    <row r="655">
      <c r="A655" s="16" t="s">
        <v>35</v>
      </c>
      <c r="B655" s="17">
        <v>54.0</v>
      </c>
      <c r="C655" s="24">
        <f t="shared" si="1214"/>
        <v>4646.232037</v>
      </c>
      <c r="D655" s="25">
        <v>0.05</v>
      </c>
      <c r="E655" s="24">
        <f t="shared" si="1215"/>
        <v>128.5350637</v>
      </c>
      <c r="F655" s="25">
        <v>0.02</v>
      </c>
      <c r="G655" s="24">
        <f t="shared" si="1216"/>
        <v>597.3726905</v>
      </c>
      <c r="H655" s="25">
        <v>0.05</v>
      </c>
      <c r="I655" s="24">
        <f t="shared" si="1217"/>
        <v>0</v>
      </c>
      <c r="J655" s="25">
        <v>0.02</v>
      </c>
      <c r="K655" s="25">
        <v>0.0</v>
      </c>
      <c r="L655" s="24" t="str">
        <f t="shared" ref="L655:O655" si="1320">IF(L654="", "", 1 + MROUND(IFERROR(MINIFS(OFFSET(L654, -1, 0, -$B655, 1), OFFSET(L654, -1, 0, -$B655, 1), "&gt;0"), L654) + (LN(1 + $Z655) ^ U$2) * U$3, 1))</f>
        <v/>
      </c>
      <c r="M655" s="24" t="str">
        <f t="shared" si="1320"/>
        <v/>
      </c>
      <c r="N655" s="24">
        <f t="shared" si="1320"/>
        <v>539</v>
      </c>
      <c r="O655" s="24">
        <f t="shared" si="1320"/>
        <v>654</v>
      </c>
      <c r="P655" s="24">
        <f t="shared" ref="P655:S655" si="1321">L655*$Y$2</f>
        <v>0</v>
      </c>
      <c r="Q655" s="24">
        <f t="shared" si="1321"/>
        <v>0</v>
      </c>
      <c r="R655" s="24">
        <f t="shared" si="1321"/>
        <v>134.75</v>
      </c>
      <c r="S655" s="24">
        <f t="shared" si="1321"/>
        <v>163.5</v>
      </c>
      <c r="T655" s="24">
        <f t="shared" si="4"/>
        <v>6</v>
      </c>
      <c r="Z655" s="25">
        <f t="shared" si="12"/>
        <v>5.192108235</v>
      </c>
    </row>
    <row r="656">
      <c r="A656" s="16" t="s">
        <v>35</v>
      </c>
      <c r="B656" s="17">
        <v>55.0</v>
      </c>
      <c r="C656" s="24">
        <f t="shared" si="1214"/>
        <v>4878.543639</v>
      </c>
      <c r="D656" s="25">
        <v>0.05</v>
      </c>
      <c r="E656" s="24">
        <f t="shared" si="1215"/>
        <v>131.105765</v>
      </c>
      <c r="F656" s="25">
        <v>0.02</v>
      </c>
      <c r="G656" s="24">
        <f t="shared" si="1216"/>
        <v>627.241325</v>
      </c>
      <c r="H656" s="25">
        <v>0.05</v>
      </c>
      <c r="I656" s="24">
        <f t="shared" si="1217"/>
        <v>0</v>
      </c>
      <c r="J656" s="25">
        <v>0.02</v>
      </c>
      <c r="K656" s="25">
        <v>0.0</v>
      </c>
      <c r="L656" s="24" t="str">
        <f t="shared" ref="L656:O656" si="1322">IF(L655="", "", 1 + MROUND(IFERROR(MINIFS(OFFSET(L655, -1, 0, -$B656, 1), OFFSET(L655, -1, 0, -$B656, 1), "&gt;0"), L655) + (LN(1 + $Z656) ^ U$2) * U$3, 1))</f>
        <v/>
      </c>
      <c r="M656" s="24" t="str">
        <f t="shared" si="1322"/>
        <v/>
      </c>
      <c r="N656" s="24">
        <f t="shared" si="1322"/>
        <v>555</v>
      </c>
      <c r="O656" s="24">
        <f t="shared" si="1322"/>
        <v>670</v>
      </c>
      <c r="P656" s="24">
        <f t="shared" ref="P656:S656" si="1323">L656*$Y$2</f>
        <v>0</v>
      </c>
      <c r="Q656" s="24">
        <f t="shared" si="1323"/>
        <v>0</v>
      </c>
      <c r="R656" s="24">
        <f t="shared" si="1323"/>
        <v>138.75</v>
      </c>
      <c r="S656" s="24">
        <f t="shared" si="1323"/>
        <v>167.5</v>
      </c>
      <c r="T656" s="24">
        <f t="shared" si="4"/>
        <v>7</v>
      </c>
      <c r="Z656" s="25">
        <f t="shared" si="12"/>
        <v>5.408832024</v>
      </c>
    </row>
    <row r="657">
      <c r="A657" s="16" t="s">
        <v>35</v>
      </c>
      <c r="B657" s="17">
        <v>56.0</v>
      </c>
      <c r="C657" s="24">
        <f t="shared" si="1214"/>
        <v>5122.470821</v>
      </c>
      <c r="D657" s="25">
        <v>0.05</v>
      </c>
      <c r="E657" s="24">
        <f t="shared" si="1215"/>
        <v>133.7278803</v>
      </c>
      <c r="F657" s="25">
        <v>0.02</v>
      </c>
      <c r="G657" s="24">
        <f t="shared" si="1216"/>
        <v>658.6033912</v>
      </c>
      <c r="H657" s="25">
        <v>0.05</v>
      </c>
      <c r="I657" s="24">
        <f t="shared" si="1217"/>
        <v>0</v>
      </c>
      <c r="J657" s="25">
        <v>0.02</v>
      </c>
      <c r="K657" s="25">
        <v>0.0</v>
      </c>
      <c r="L657" s="24" t="str">
        <f t="shared" ref="L657:O657" si="1324">IF(L656="", "", 1 + MROUND(IFERROR(MINIFS(OFFSET(L656, -1, 0, -$B657, 1), OFFSET(L656, -1, 0, -$B657, 1), "&gt;0"), L656) + (LN(1 + $Z657) ^ U$2) * U$3, 1))</f>
        <v/>
      </c>
      <c r="M657" s="24" t="str">
        <f t="shared" si="1324"/>
        <v/>
      </c>
      <c r="N657" s="24">
        <f t="shared" si="1324"/>
        <v>572</v>
      </c>
      <c r="O657" s="24">
        <f t="shared" si="1324"/>
        <v>687</v>
      </c>
      <c r="P657" s="24">
        <f t="shared" ref="P657:S657" si="1325">L657*$Y$2</f>
        <v>0</v>
      </c>
      <c r="Q657" s="24">
        <f t="shared" si="1325"/>
        <v>0</v>
      </c>
      <c r="R657" s="24">
        <f t="shared" si="1325"/>
        <v>143</v>
      </c>
      <c r="S657" s="24">
        <f t="shared" si="1325"/>
        <v>171.75</v>
      </c>
      <c r="T657" s="24">
        <f t="shared" si="4"/>
        <v>7</v>
      </c>
      <c r="Z657" s="25">
        <f t="shared" si="12"/>
        <v>5.633141145</v>
      </c>
    </row>
    <row r="658">
      <c r="A658" s="16" t="s">
        <v>35</v>
      </c>
      <c r="B658" s="17">
        <v>57.0</v>
      </c>
      <c r="C658" s="24">
        <f t="shared" si="1214"/>
        <v>5378.594362</v>
      </c>
      <c r="D658" s="25">
        <v>0.05</v>
      </c>
      <c r="E658" s="24">
        <f t="shared" si="1215"/>
        <v>136.4024379</v>
      </c>
      <c r="F658" s="25">
        <v>0.02</v>
      </c>
      <c r="G658" s="24">
        <f t="shared" si="1216"/>
        <v>691.5335608</v>
      </c>
      <c r="H658" s="25">
        <v>0.05</v>
      </c>
      <c r="I658" s="24">
        <f t="shared" si="1217"/>
        <v>0</v>
      </c>
      <c r="J658" s="25">
        <v>0.02</v>
      </c>
      <c r="K658" s="25">
        <v>0.0</v>
      </c>
      <c r="L658" s="24" t="str">
        <f t="shared" ref="L658:O658" si="1326">IF(L657="", "", 1 + MROUND(IFERROR(MINIFS(OFFSET(L657, -1, 0, -$B658, 1), OFFSET(L657, -1, 0, -$B658, 1), "&gt;0"), L657) + (LN(1 + $Z658) ^ U$2) * U$3, 1))</f>
        <v/>
      </c>
      <c r="M658" s="24" t="str">
        <f t="shared" si="1326"/>
        <v/>
      </c>
      <c r="N658" s="24">
        <f t="shared" si="1326"/>
        <v>589</v>
      </c>
      <c r="O658" s="24">
        <f t="shared" si="1326"/>
        <v>704</v>
      </c>
      <c r="P658" s="24">
        <f t="shared" ref="P658:S658" si="1327">L658*$Y$2</f>
        <v>0</v>
      </c>
      <c r="Q658" s="24">
        <f t="shared" si="1327"/>
        <v>0</v>
      </c>
      <c r="R658" s="24">
        <f t="shared" si="1327"/>
        <v>147.25</v>
      </c>
      <c r="S658" s="24">
        <f t="shared" si="1327"/>
        <v>176</v>
      </c>
      <c r="T658" s="24">
        <f t="shared" si="4"/>
        <v>7</v>
      </c>
      <c r="Z658" s="25">
        <f t="shared" si="12"/>
        <v>5.865301085</v>
      </c>
    </row>
    <row r="659">
      <c r="A659" s="16" t="s">
        <v>35</v>
      </c>
      <c r="B659" s="17">
        <v>58.0</v>
      </c>
      <c r="C659" s="24">
        <f t="shared" si="1214"/>
        <v>5647.52408</v>
      </c>
      <c r="D659" s="25">
        <v>0.05</v>
      </c>
      <c r="E659" s="24">
        <f t="shared" si="1215"/>
        <v>139.1304866</v>
      </c>
      <c r="F659" s="25">
        <v>0.02</v>
      </c>
      <c r="G659" s="24">
        <f t="shared" si="1216"/>
        <v>726.1102388</v>
      </c>
      <c r="H659" s="25">
        <v>0.05</v>
      </c>
      <c r="I659" s="24">
        <f t="shared" si="1217"/>
        <v>0</v>
      </c>
      <c r="J659" s="25">
        <v>0.02</v>
      </c>
      <c r="K659" s="25">
        <v>0.0</v>
      </c>
      <c r="L659" s="24" t="str">
        <f t="shared" ref="L659:O659" si="1328">IF(L658="", "", 1 + MROUND(IFERROR(MINIFS(OFFSET(L658, -1, 0, -$B659, 1), OFFSET(L658, -1, 0, -$B659, 1), "&gt;0"), L658) + (LN(1 + $Z659) ^ U$2) * U$3, 1))</f>
        <v/>
      </c>
      <c r="M659" s="24" t="str">
        <f t="shared" si="1328"/>
        <v/>
      </c>
      <c r="N659" s="24">
        <f t="shared" si="1328"/>
        <v>606</v>
      </c>
      <c r="O659" s="24">
        <f t="shared" si="1328"/>
        <v>721</v>
      </c>
      <c r="P659" s="24">
        <f t="shared" ref="P659:S659" si="1329">L659*$Y$2</f>
        <v>0</v>
      </c>
      <c r="Q659" s="24">
        <f t="shared" si="1329"/>
        <v>0</v>
      </c>
      <c r="R659" s="24">
        <f t="shared" si="1329"/>
        <v>151.5</v>
      </c>
      <c r="S659" s="24">
        <f t="shared" si="1329"/>
        <v>180.25</v>
      </c>
      <c r="T659" s="24">
        <f t="shared" si="4"/>
        <v>7</v>
      </c>
      <c r="Z659" s="25">
        <f t="shared" si="12"/>
        <v>6.105586623</v>
      </c>
    </row>
    <row r="660">
      <c r="A660" s="16" t="s">
        <v>35</v>
      </c>
      <c r="B660" s="17">
        <v>59.0</v>
      </c>
      <c r="C660" s="24">
        <f t="shared" si="1214"/>
        <v>5929.900284</v>
      </c>
      <c r="D660" s="25">
        <v>0.05</v>
      </c>
      <c r="E660" s="24">
        <f t="shared" si="1215"/>
        <v>141.9130964</v>
      </c>
      <c r="F660" s="25">
        <v>0.02</v>
      </c>
      <c r="G660" s="24">
        <f t="shared" si="1216"/>
        <v>762.4157508</v>
      </c>
      <c r="H660" s="25">
        <v>0.05</v>
      </c>
      <c r="I660" s="24">
        <f t="shared" si="1217"/>
        <v>0</v>
      </c>
      <c r="J660" s="25">
        <v>0.02</v>
      </c>
      <c r="K660" s="25">
        <v>0.0</v>
      </c>
      <c r="L660" s="24" t="str">
        <f t="shared" ref="L660:O660" si="1330">IF(L659="", "", 1 + MROUND(IFERROR(MINIFS(OFFSET(L659, -1, 0, -$B660, 1), OFFSET(L659, -1, 0, -$B660, 1), "&gt;0"), L659) + (LN(1 + $Z660) ^ U$2) * U$3, 1))</f>
        <v/>
      </c>
      <c r="M660" s="24" t="str">
        <f t="shared" si="1330"/>
        <v/>
      </c>
      <c r="N660" s="24">
        <f t="shared" si="1330"/>
        <v>623</v>
      </c>
      <c r="O660" s="24">
        <f t="shared" si="1330"/>
        <v>738</v>
      </c>
      <c r="P660" s="24">
        <f t="shared" ref="P660:S660" si="1331">L660*$Y$2</f>
        <v>0</v>
      </c>
      <c r="Q660" s="24">
        <f t="shared" si="1331"/>
        <v>0</v>
      </c>
      <c r="R660" s="24">
        <f t="shared" si="1331"/>
        <v>155.75</v>
      </c>
      <c r="S660" s="24">
        <f t="shared" si="1331"/>
        <v>184.5</v>
      </c>
      <c r="T660" s="24">
        <f t="shared" si="4"/>
        <v>7</v>
      </c>
      <c r="Z660" s="25">
        <f t="shared" si="12"/>
        <v>6.354282154</v>
      </c>
    </row>
    <row r="661">
      <c r="A661" s="16" t="s">
        <v>35</v>
      </c>
      <c r="B661" s="17">
        <v>60.0</v>
      </c>
      <c r="C661" s="24">
        <f t="shared" si="1214"/>
        <v>6226.395298</v>
      </c>
      <c r="D661" s="25">
        <v>0.05</v>
      </c>
      <c r="E661" s="24">
        <f t="shared" si="1215"/>
        <v>144.7513583</v>
      </c>
      <c r="F661" s="25">
        <v>0.02</v>
      </c>
      <c r="G661" s="24">
        <f t="shared" si="1216"/>
        <v>800.5365383</v>
      </c>
      <c r="H661" s="25">
        <v>0.05</v>
      </c>
      <c r="I661" s="24">
        <f t="shared" si="1217"/>
        <v>0</v>
      </c>
      <c r="J661" s="25">
        <v>0.02</v>
      </c>
      <c r="K661" s="25">
        <v>0.0</v>
      </c>
      <c r="L661" s="24" t="str">
        <f t="shared" ref="L661:O661" si="1332">IF(L660="", "", 1 + MROUND(IFERROR(MINIFS(OFFSET(L660, -1, 0, -$B661, 1), OFFSET(L660, -1, 0, -$B661, 1), "&gt;0"), L660) + (LN(1 + $Z661) ^ U$2) * U$3, 1))</f>
        <v/>
      </c>
      <c r="M661" s="24" t="str">
        <f t="shared" si="1332"/>
        <v/>
      </c>
      <c r="N661" s="24">
        <f t="shared" si="1332"/>
        <v>640</v>
      </c>
      <c r="O661" s="24">
        <f t="shared" si="1332"/>
        <v>755</v>
      </c>
      <c r="P661" s="24">
        <f t="shared" ref="P661:S661" si="1333">L661*$Y$2</f>
        <v>0</v>
      </c>
      <c r="Q661" s="24">
        <f t="shared" si="1333"/>
        <v>0</v>
      </c>
      <c r="R661" s="24">
        <f t="shared" si="1333"/>
        <v>160</v>
      </c>
      <c r="S661" s="24">
        <f t="shared" si="1333"/>
        <v>188.75</v>
      </c>
      <c r="T661" s="24">
        <f t="shared" si="4"/>
        <v>7</v>
      </c>
      <c r="Z661" s="25">
        <f t="shared" si="12"/>
        <v>6.61168203</v>
      </c>
    </row>
    <row r="662">
      <c r="A662" s="16" t="s">
        <v>35</v>
      </c>
      <c r="B662" s="17">
        <v>61.0</v>
      </c>
      <c r="C662" s="24">
        <f t="shared" si="1214"/>
        <v>6537.715063</v>
      </c>
      <c r="D662" s="25">
        <v>0.05</v>
      </c>
      <c r="E662" s="24">
        <f t="shared" si="1215"/>
        <v>147.6463855</v>
      </c>
      <c r="F662" s="25">
        <v>0.02</v>
      </c>
      <c r="G662" s="24">
        <f t="shared" si="1216"/>
        <v>840.5633652</v>
      </c>
      <c r="H662" s="25">
        <v>0.05</v>
      </c>
      <c r="I662" s="24">
        <f t="shared" si="1217"/>
        <v>0</v>
      </c>
      <c r="J662" s="25">
        <v>0.02</v>
      </c>
      <c r="K662" s="25">
        <v>0.0</v>
      </c>
      <c r="L662" s="24" t="str">
        <f t="shared" ref="L662:O662" si="1334">IF(L661="", "", 1 + MROUND(IFERROR(MINIFS(OFFSET(L661, -1, 0, -$B662, 1), OFFSET(L661, -1, 0, -$B662, 1), "&gt;0"), L661) + (LN(1 + $Z662) ^ U$2) * U$3, 1))</f>
        <v/>
      </c>
      <c r="M662" s="24" t="str">
        <f t="shared" si="1334"/>
        <v/>
      </c>
      <c r="N662" s="24">
        <f t="shared" si="1334"/>
        <v>658</v>
      </c>
      <c r="O662" s="24">
        <f t="shared" si="1334"/>
        <v>773</v>
      </c>
      <c r="P662" s="24">
        <f t="shared" ref="P662:S662" si="1335">L662*$Y$2</f>
        <v>0</v>
      </c>
      <c r="Q662" s="24">
        <f t="shared" si="1335"/>
        <v>0</v>
      </c>
      <c r="R662" s="24">
        <f t="shared" si="1335"/>
        <v>164.5</v>
      </c>
      <c r="S662" s="24">
        <f t="shared" si="1335"/>
        <v>193.25</v>
      </c>
      <c r="T662" s="24">
        <f t="shared" si="4"/>
        <v>7</v>
      </c>
      <c r="Z662" s="25">
        <f t="shared" si="12"/>
        <v>6.878090901</v>
      </c>
    </row>
    <row r="663">
      <c r="A663" s="16" t="s">
        <v>35</v>
      </c>
      <c r="B663" s="17">
        <v>62.0</v>
      </c>
      <c r="C663" s="24">
        <f t="shared" si="1214"/>
        <v>6864.600816</v>
      </c>
      <c r="D663" s="25">
        <v>0.05</v>
      </c>
      <c r="E663" s="24">
        <f t="shared" si="1215"/>
        <v>150.5993132</v>
      </c>
      <c r="F663" s="25">
        <v>0.02</v>
      </c>
      <c r="G663" s="24">
        <f t="shared" si="1216"/>
        <v>882.5915335</v>
      </c>
      <c r="H663" s="25">
        <v>0.05</v>
      </c>
      <c r="I663" s="24">
        <f t="shared" si="1217"/>
        <v>0</v>
      </c>
      <c r="J663" s="25">
        <v>0.02</v>
      </c>
      <c r="K663" s="25">
        <v>0.0</v>
      </c>
      <c r="L663" s="24" t="str">
        <f t="shared" ref="L663:O663" si="1336">IF(L662="", "", 1 + MROUND(IFERROR(MINIFS(OFFSET(L662, -1, 0, -$B663, 1), OFFSET(L662, -1, 0, -$B663, 1), "&gt;0"), L662) + (LN(1 + $Z663) ^ U$2) * U$3, 1))</f>
        <v/>
      </c>
      <c r="M663" s="24" t="str">
        <f t="shared" si="1336"/>
        <v/>
      </c>
      <c r="N663" s="24">
        <f t="shared" si="1336"/>
        <v>676</v>
      </c>
      <c r="O663" s="24">
        <f t="shared" si="1336"/>
        <v>791</v>
      </c>
      <c r="P663" s="24">
        <f t="shared" ref="P663:S663" si="1337">L663*$Y$2</f>
        <v>0</v>
      </c>
      <c r="Q663" s="24">
        <f t="shared" si="1337"/>
        <v>0</v>
      </c>
      <c r="R663" s="24">
        <f t="shared" si="1337"/>
        <v>169</v>
      </c>
      <c r="S663" s="24">
        <f t="shared" si="1337"/>
        <v>197.75</v>
      </c>
      <c r="T663" s="24">
        <f t="shared" si="4"/>
        <v>7</v>
      </c>
      <c r="Z663" s="25">
        <f t="shared" si="12"/>
        <v>7.153824082</v>
      </c>
    </row>
    <row r="664">
      <c r="A664" s="16" t="s">
        <v>35</v>
      </c>
      <c r="B664" s="17">
        <v>63.0</v>
      </c>
      <c r="C664" s="24">
        <f t="shared" si="1214"/>
        <v>7207.830857</v>
      </c>
      <c r="D664" s="25">
        <v>0.05</v>
      </c>
      <c r="E664" s="24">
        <f t="shared" si="1215"/>
        <v>153.6112994</v>
      </c>
      <c r="F664" s="25">
        <v>0.02</v>
      </c>
      <c r="G664" s="24">
        <f t="shared" si="1216"/>
        <v>926.7211102</v>
      </c>
      <c r="H664" s="25">
        <v>0.05</v>
      </c>
      <c r="I664" s="24">
        <f t="shared" si="1217"/>
        <v>0</v>
      </c>
      <c r="J664" s="25">
        <v>0.02</v>
      </c>
      <c r="K664" s="25">
        <v>0.0</v>
      </c>
      <c r="L664" s="24" t="str">
        <f t="shared" ref="L664:O664" si="1338">IF(L663="", "", 1 + MROUND(IFERROR(MINIFS(OFFSET(L663, -1, 0, -$B664, 1), OFFSET(L663, -1, 0, -$B664, 1), "&gt;0"), L663) + (LN(1 + $Z664) ^ U$2) * U$3, 1))</f>
        <v/>
      </c>
      <c r="M664" s="24" t="str">
        <f t="shared" si="1338"/>
        <v/>
      </c>
      <c r="N664" s="24">
        <f t="shared" si="1338"/>
        <v>694</v>
      </c>
      <c r="O664" s="24">
        <f t="shared" si="1338"/>
        <v>809</v>
      </c>
      <c r="P664" s="24">
        <f t="shared" ref="P664:S664" si="1339">L664*$Y$2</f>
        <v>0</v>
      </c>
      <c r="Q664" s="24">
        <f t="shared" si="1339"/>
        <v>0</v>
      </c>
      <c r="R664" s="24">
        <f t="shared" si="1339"/>
        <v>173.5</v>
      </c>
      <c r="S664" s="24">
        <f t="shared" si="1339"/>
        <v>202.25</v>
      </c>
      <c r="T664" s="24">
        <f t="shared" si="4"/>
        <v>7</v>
      </c>
      <c r="Z664" s="25">
        <f t="shared" si="12"/>
        <v>7.439207925</v>
      </c>
    </row>
    <row r="665">
      <c r="A665" s="16" t="s">
        <v>35</v>
      </c>
      <c r="B665" s="17">
        <v>64.0</v>
      </c>
      <c r="C665" s="24">
        <f t="shared" si="1214"/>
        <v>7568.2224</v>
      </c>
      <c r="D665" s="25">
        <v>0.05</v>
      </c>
      <c r="E665" s="24">
        <f t="shared" si="1215"/>
        <v>156.6835254</v>
      </c>
      <c r="F665" s="25">
        <v>0.02</v>
      </c>
      <c r="G665" s="24">
        <f t="shared" si="1216"/>
        <v>973.0571657</v>
      </c>
      <c r="H665" s="25">
        <v>0.05</v>
      </c>
      <c r="I665" s="24">
        <f t="shared" si="1217"/>
        <v>0</v>
      </c>
      <c r="J665" s="25">
        <v>0.02</v>
      </c>
      <c r="K665" s="25">
        <v>0.0</v>
      </c>
      <c r="L665" s="24" t="str">
        <f t="shared" ref="L665:O665" si="1340">IF(L664="", "", 1 + MROUND(IFERROR(MINIFS(OFFSET(L664, -1, 0, -$B665, 1), OFFSET(L664, -1, 0, -$B665, 1), "&gt;0"), L664) + (LN(1 + $Z665) ^ U$2) * U$3, 1))</f>
        <v/>
      </c>
      <c r="M665" s="24" t="str">
        <f t="shared" si="1340"/>
        <v/>
      </c>
      <c r="N665" s="24">
        <f t="shared" si="1340"/>
        <v>712</v>
      </c>
      <c r="O665" s="24">
        <f t="shared" si="1340"/>
        <v>827</v>
      </c>
      <c r="P665" s="24">
        <f t="shared" ref="P665:S665" si="1341">L665*$Y$2</f>
        <v>0</v>
      </c>
      <c r="Q665" s="24">
        <f t="shared" si="1341"/>
        <v>0</v>
      </c>
      <c r="R665" s="24">
        <f t="shared" si="1341"/>
        <v>178</v>
      </c>
      <c r="S665" s="24">
        <f t="shared" si="1341"/>
        <v>206.75</v>
      </c>
      <c r="T665" s="24">
        <f t="shared" si="4"/>
        <v>7</v>
      </c>
      <c r="Z665" s="25">
        <f t="shared" si="12"/>
        <v>7.734580203</v>
      </c>
    </row>
    <row r="666">
      <c r="A666" s="16" t="s">
        <v>35</v>
      </c>
      <c r="B666" s="17">
        <v>65.0</v>
      </c>
      <c r="C666" s="24">
        <f t="shared" si="1214"/>
        <v>7946.63352</v>
      </c>
      <c r="D666" s="25">
        <v>0.05</v>
      </c>
      <c r="E666" s="24">
        <f t="shared" si="1215"/>
        <v>159.8171959</v>
      </c>
      <c r="F666" s="25">
        <v>0.02</v>
      </c>
      <c r="G666" s="24">
        <f t="shared" si="1216"/>
        <v>1021.710024</v>
      </c>
      <c r="H666" s="25">
        <v>0.05</v>
      </c>
      <c r="I666" s="24">
        <f t="shared" si="1217"/>
        <v>0</v>
      </c>
      <c r="J666" s="25">
        <v>0.02</v>
      </c>
      <c r="K666" s="25">
        <v>0.0</v>
      </c>
      <c r="L666" s="24" t="str">
        <f t="shared" ref="L666:O666" si="1342">IF(L665="", "", 1 + MROUND(IFERROR(MINIFS(OFFSET(L665, -1, 0, -$B666, 1), OFFSET(L665, -1, 0, -$B666, 1), "&gt;0"), L665) + (LN(1 + $Z666) ^ U$2) * U$3, 1))</f>
        <v/>
      </c>
      <c r="M666" s="24" t="str">
        <f t="shared" si="1342"/>
        <v/>
      </c>
      <c r="N666" s="24">
        <f t="shared" si="1342"/>
        <v>730</v>
      </c>
      <c r="O666" s="24">
        <f t="shared" si="1342"/>
        <v>845</v>
      </c>
      <c r="P666" s="24">
        <f t="shared" ref="P666:S666" si="1343">L666*$Y$2</f>
        <v>0</v>
      </c>
      <c r="Q666" s="24">
        <f t="shared" si="1343"/>
        <v>0</v>
      </c>
      <c r="R666" s="24">
        <f t="shared" si="1343"/>
        <v>182.5</v>
      </c>
      <c r="S666" s="24">
        <f t="shared" si="1343"/>
        <v>211.25</v>
      </c>
      <c r="T666" s="24">
        <f t="shared" si="4"/>
        <v>8</v>
      </c>
      <c r="Z666" s="25">
        <f t="shared" si="12"/>
        <v>8.04029051</v>
      </c>
    </row>
    <row r="667">
      <c r="A667" s="16" t="s">
        <v>35</v>
      </c>
      <c r="B667" s="17">
        <v>66.0</v>
      </c>
      <c r="C667" s="24">
        <f t="shared" si="1214"/>
        <v>8343.965196</v>
      </c>
      <c r="D667" s="25">
        <v>0.05</v>
      </c>
      <c r="E667" s="24">
        <f t="shared" si="1215"/>
        <v>163.0135399</v>
      </c>
      <c r="F667" s="25">
        <v>0.02</v>
      </c>
      <c r="G667" s="24">
        <f t="shared" si="1216"/>
        <v>1072.795525</v>
      </c>
      <c r="H667" s="25">
        <v>0.05</v>
      </c>
      <c r="I667" s="24">
        <f t="shared" si="1217"/>
        <v>0</v>
      </c>
      <c r="J667" s="25">
        <v>0.02</v>
      </c>
      <c r="K667" s="25">
        <v>0.0</v>
      </c>
      <c r="L667" s="24" t="str">
        <f t="shared" ref="L667:O667" si="1344">IF(L666="", "", 1 + MROUND(IFERROR(MINIFS(OFFSET(L666, -1, 0, -$B667, 1), OFFSET(L666, -1, 0, -$B667, 1), "&gt;0"), L666) + (LN(1 + $Z667) ^ U$2) * U$3, 1))</f>
        <v/>
      </c>
      <c r="M667" s="24" t="str">
        <f t="shared" si="1344"/>
        <v/>
      </c>
      <c r="N667" s="24">
        <f t="shared" si="1344"/>
        <v>749</v>
      </c>
      <c r="O667" s="24">
        <f t="shared" si="1344"/>
        <v>864</v>
      </c>
      <c r="P667" s="24">
        <f t="shared" ref="P667:S667" si="1345">L667*$Y$2</f>
        <v>0</v>
      </c>
      <c r="Q667" s="24">
        <f t="shared" si="1345"/>
        <v>0</v>
      </c>
      <c r="R667" s="24">
        <f t="shared" si="1345"/>
        <v>187.25</v>
      </c>
      <c r="S667" s="24">
        <f t="shared" si="1345"/>
        <v>216</v>
      </c>
      <c r="T667" s="24">
        <f t="shared" si="4"/>
        <v>8</v>
      </c>
      <c r="Z667" s="25">
        <f t="shared" si="12"/>
        <v>8.356700677</v>
      </c>
    </row>
    <row r="668">
      <c r="A668" s="16" t="s">
        <v>35</v>
      </c>
      <c r="B668" s="17">
        <v>67.0</v>
      </c>
      <c r="C668" s="24">
        <f t="shared" si="1214"/>
        <v>8761.163455</v>
      </c>
      <c r="D668" s="25">
        <v>0.05</v>
      </c>
      <c r="E668" s="24">
        <f t="shared" si="1215"/>
        <v>166.2738107</v>
      </c>
      <c r="F668" s="25">
        <v>0.02</v>
      </c>
      <c r="G668" s="24">
        <f t="shared" si="1216"/>
        <v>1126.435301</v>
      </c>
      <c r="H668" s="25">
        <v>0.05</v>
      </c>
      <c r="I668" s="24">
        <f t="shared" si="1217"/>
        <v>0</v>
      </c>
      <c r="J668" s="25">
        <v>0.02</v>
      </c>
      <c r="K668" s="25">
        <v>0.0</v>
      </c>
      <c r="L668" s="24" t="str">
        <f t="shared" ref="L668:O668" si="1346">IF(L667="", "", 1 + MROUND(IFERROR(MINIFS(OFFSET(L667, -1, 0, -$B668, 1), OFFSET(L667, -1, 0, -$B668, 1), "&gt;0"), L667) + (LN(1 + $Z668) ^ U$2) * U$3, 1))</f>
        <v/>
      </c>
      <c r="M668" s="24" t="str">
        <f t="shared" si="1346"/>
        <v/>
      </c>
      <c r="N668" s="24">
        <f t="shared" si="1346"/>
        <v>768</v>
      </c>
      <c r="O668" s="24">
        <f t="shared" si="1346"/>
        <v>883</v>
      </c>
      <c r="P668" s="24">
        <f t="shared" ref="P668:S668" si="1347">L668*$Y$2</f>
        <v>0</v>
      </c>
      <c r="Q668" s="24">
        <f t="shared" si="1347"/>
        <v>0</v>
      </c>
      <c r="R668" s="24">
        <f t="shared" si="1347"/>
        <v>192</v>
      </c>
      <c r="S668" s="24">
        <f t="shared" si="1347"/>
        <v>220.75</v>
      </c>
      <c r="T668" s="24">
        <f t="shared" si="4"/>
        <v>8</v>
      </c>
      <c r="Z668" s="25">
        <f t="shared" si="12"/>
        <v>8.684185201</v>
      </c>
    </row>
    <row r="669">
      <c r="A669" s="16" t="s">
        <v>35</v>
      </c>
      <c r="B669" s="17">
        <v>68.0</v>
      </c>
      <c r="C669" s="24">
        <f t="shared" si="1214"/>
        <v>9199.221628</v>
      </c>
      <c r="D669" s="25">
        <v>0.05</v>
      </c>
      <c r="E669" s="24">
        <f t="shared" si="1215"/>
        <v>169.5992869</v>
      </c>
      <c r="F669" s="25">
        <v>0.02</v>
      </c>
      <c r="G669" s="24">
        <f t="shared" si="1216"/>
        <v>1182.757066</v>
      </c>
      <c r="H669" s="25">
        <v>0.05</v>
      </c>
      <c r="I669" s="24">
        <f t="shared" si="1217"/>
        <v>0</v>
      </c>
      <c r="J669" s="25">
        <v>0.02</v>
      </c>
      <c r="K669" s="25">
        <v>0.0</v>
      </c>
      <c r="L669" s="24" t="str">
        <f t="shared" ref="L669:O669" si="1348">IF(L668="", "", 1 + MROUND(IFERROR(MINIFS(OFFSET(L668, -1, 0, -$B669, 1), OFFSET(L668, -1, 0, -$B669, 1), "&gt;0"), L668) + (LN(1 + $Z669) ^ U$2) * U$3, 1))</f>
        <v/>
      </c>
      <c r="M669" s="24" t="str">
        <f t="shared" si="1348"/>
        <v/>
      </c>
      <c r="N669" s="24">
        <f t="shared" si="1348"/>
        <v>787</v>
      </c>
      <c r="O669" s="24">
        <f t="shared" si="1348"/>
        <v>902</v>
      </c>
      <c r="P669" s="24">
        <f t="shared" ref="P669:S669" si="1349">L669*$Y$2</f>
        <v>0</v>
      </c>
      <c r="Q669" s="24">
        <f t="shared" si="1349"/>
        <v>0</v>
      </c>
      <c r="R669" s="24">
        <f t="shared" si="1349"/>
        <v>196.75</v>
      </c>
      <c r="S669" s="24">
        <f t="shared" si="1349"/>
        <v>225.5</v>
      </c>
      <c r="T669" s="24">
        <f t="shared" si="4"/>
        <v>8</v>
      </c>
      <c r="Z669" s="25">
        <f t="shared" si="12"/>
        <v>9.023131683</v>
      </c>
    </row>
    <row r="670">
      <c r="A670" s="16" t="s">
        <v>35</v>
      </c>
      <c r="B670" s="17">
        <v>69.0</v>
      </c>
      <c r="C670" s="24">
        <f t="shared" si="1214"/>
        <v>9659.18271</v>
      </c>
      <c r="D670" s="25">
        <v>0.05</v>
      </c>
      <c r="E670" s="24">
        <f t="shared" si="1215"/>
        <v>172.9912726</v>
      </c>
      <c r="F670" s="25">
        <v>0.02</v>
      </c>
      <c r="G670" s="24">
        <f t="shared" si="1216"/>
        <v>1241.89492</v>
      </c>
      <c r="H670" s="25">
        <v>0.05</v>
      </c>
      <c r="I670" s="24">
        <f t="shared" si="1217"/>
        <v>0</v>
      </c>
      <c r="J670" s="25">
        <v>0.02</v>
      </c>
      <c r="K670" s="25">
        <v>0.0</v>
      </c>
      <c r="L670" s="24" t="str">
        <f t="shared" ref="L670:O670" si="1350">IF(L669="", "", 1 + MROUND(IFERROR(MINIFS(OFFSET(L669, -1, 0, -$B670, 1), OFFSET(L669, -1, 0, -$B670, 1), "&gt;0"), L669) + (LN(1 + $Z670) ^ U$2) * U$3, 1))</f>
        <v/>
      </c>
      <c r="M670" s="24" t="str">
        <f t="shared" si="1350"/>
        <v/>
      </c>
      <c r="N670" s="24">
        <f t="shared" si="1350"/>
        <v>806</v>
      </c>
      <c r="O670" s="24">
        <f t="shared" si="1350"/>
        <v>921</v>
      </c>
      <c r="P670" s="24">
        <f t="shared" ref="P670:S670" si="1351">L670*$Y$2</f>
        <v>0</v>
      </c>
      <c r="Q670" s="24">
        <f t="shared" si="1351"/>
        <v>0</v>
      </c>
      <c r="R670" s="24">
        <f t="shared" si="1351"/>
        <v>201.5</v>
      </c>
      <c r="S670" s="24">
        <f t="shared" si="1351"/>
        <v>230.25</v>
      </c>
      <c r="T670" s="24">
        <f t="shared" si="4"/>
        <v>8</v>
      </c>
      <c r="Z670" s="25">
        <f t="shared" si="12"/>
        <v>9.373941292</v>
      </c>
    </row>
    <row r="671">
      <c r="A671" s="16" t="s">
        <v>35</v>
      </c>
      <c r="B671" s="17">
        <v>70.0</v>
      </c>
      <c r="C671" s="24">
        <f t="shared" si="1214"/>
        <v>10142.14185</v>
      </c>
      <c r="D671" s="25">
        <v>0.05</v>
      </c>
      <c r="E671" s="24">
        <f t="shared" si="1215"/>
        <v>176.4510981</v>
      </c>
      <c r="F671" s="25">
        <v>0.02</v>
      </c>
      <c r="G671" s="24">
        <f t="shared" si="1216"/>
        <v>1303.989666</v>
      </c>
      <c r="H671" s="25">
        <v>0.05</v>
      </c>
      <c r="I671" s="24">
        <f t="shared" si="1217"/>
        <v>0</v>
      </c>
      <c r="J671" s="25">
        <v>0.02</v>
      </c>
      <c r="K671" s="25">
        <v>0.0</v>
      </c>
      <c r="L671" s="24" t="str">
        <f t="shared" ref="L671:O671" si="1352">IF(L670="", "", 1 + MROUND(IFERROR(MINIFS(OFFSET(L670, -1, 0, -$B671, 1), OFFSET(L670, -1, 0, -$B671, 1), "&gt;0"), L670) + (LN(1 + $Z671) ^ U$2) * U$3, 1))</f>
        <v/>
      </c>
      <c r="M671" s="24" t="str">
        <f t="shared" si="1352"/>
        <v/>
      </c>
      <c r="N671" s="24">
        <f t="shared" si="1352"/>
        <v>825</v>
      </c>
      <c r="O671" s="24">
        <f t="shared" si="1352"/>
        <v>940</v>
      </c>
      <c r="P671" s="24">
        <f t="shared" ref="P671:S671" si="1353">L671*$Y$2</f>
        <v>0</v>
      </c>
      <c r="Q671" s="24">
        <f t="shared" si="1353"/>
        <v>0</v>
      </c>
      <c r="R671" s="24">
        <f t="shared" si="1353"/>
        <v>206.25</v>
      </c>
      <c r="S671" s="24">
        <f t="shared" si="1353"/>
        <v>235</v>
      </c>
      <c r="T671" s="24">
        <f t="shared" si="4"/>
        <v>8</v>
      </c>
      <c r="Z671" s="25">
        <f t="shared" si="12"/>
        <v>9.737029237</v>
      </c>
    </row>
    <row r="672">
      <c r="A672" s="16" t="s">
        <v>35</v>
      </c>
      <c r="B672" s="17">
        <v>71.0</v>
      </c>
      <c r="C672" s="24">
        <f t="shared" si="1214"/>
        <v>10649.24894</v>
      </c>
      <c r="D672" s="25">
        <v>0.05</v>
      </c>
      <c r="E672" s="24">
        <f t="shared" si="1215"/>
        <v>179.98012</v>
      </c>
      <c r="F672" s="25">
        <v>0.02</v>
      </c>
      <c r="G672" s="24">
        <f t="shared" si="1216"/>
        <v>1369.189149</v>
      </c>
      <c r="H672" s="25">
        <v>0.05</v>
      </c>
      <c r="I672" s="24">
        <f t="shared" si="1217"/>
        <v>0</v>
      </c>
      <c r="J672" s="25">
        <v>0.02</v>
      </c>
      <c r="K672" s="25">
        <v>0.0</v>
      </c>
      <c r="L672" s="24" t="str">
        <f t="shared" ref="L672:O672" si="1354">IF(L671="", "", 1 + MROUND(IFERROR(MINIFS(OFFSET(L671, -1, 0, -$B672, 1), OFFSET(L671, -1, 0, -$B672, 1), "&gt;0"), L671) + (LN(1 + $Z672) ^ U$2) * U$3, 1))</f>
        <v/>
      </c>
      <c r="M672" s="24" t="str">
        <f t="shared" si="1354"/>
        <v/>
      </c>
      <c r="N672" s="24">
        <f t="shared" si="1354"/>
        <v>845</v>
      </c>
      <c r="O672" s="24">
        <f t="shared" si="1354"/>
        <v>960</v>
      </c>
      <c r="P672" s="24">
        <f t="shared" ref="P672:S672" si="1355">L672*$Y$2</f>
        <v>0</v>
      </c>
      <c r="Q672" s="24">
        <f t="shared" si="1355"/>
        <v>0</v>
      </c>
      <c r="R672" s="24">
        <f t="shared" si="1355"/>
        <v>211.25</v>
      </c>
      <c r="S672" s="24">
        <f t="shared" si="1355"/>
        <v>240</v>
      </c>
      <c r="T672" s="24">
        <f t="shared" si="4"/>
        <v>8</v>
      </c>
      <c r="Z672" s="25">
        <f t="shared" si="12"/>
        <v>10.11282526</v>
      </c>
    </row>
    <row r="673">
      <c r="A673" s="16" t="s">
        <v>35</v>
      </c>
      <c r="B673" s="17">
        <v>72.0</v>
      </c>
      <c r="C673" s="24">
        <f t="shared" si="1214"/>
        <v>11181.71138</v>
      </c>
      <c r="D673" s="25">
        <v>0.05</v>
      </c>
      <c r="E673" s="24">
        <f t="shared" si="1215"/>
        <v>183.5797224</v>
      </c>
      <c r="F673" s="25">
        <v>0.02</v>
      </c>
      <c r="G673" s="24">
        <f t="shared" si="1216"/>
        <v>1437.648607</v>
      </c>
      <c r="H673" s="25">
        <v>0.05</v>
      </c>
      <c r="I673" s="24">
        <f t="shared" si="1217"/>
        <v>0</v>
      </c>
      <c r="J673" s="25">
        <v>0.02</v>
      </c>
      <c r="K673" s="25">
        <v>0.0</v>
      </c>
      <c r="L673" s="24" t="str">
        <f t="shared" ref="L673:O673" si="1356">IF(L672="", "", 1 + MROUND(IFERROR(MINIFS(OFFSET(L672, -1, 0, -$B673, 1), OFFSET(L672, -1, 0, -$B673, 1), "&gt;0"), L672) + (LN(1 + $Z673) ^ U$2) * U$3, 1))</f>
        <v/>
      </c>
      <c r="M673" s="24" t="str">
        <f t="shared" si="1356"/>
        <v/>
      </c>
      <c r="N673" s="24">
        <f t="shared" si="1356"/>
        <v>865</v>
      </c>
      <c r="O673" s="24">
        <f t="shared" si="1356"/>
        <v>980</v>
      </c>
      <c r="P673" s="24">
        <f t="shared" ref="P673:S673" si="1357">L673*$Y$2</f>
        <v>0</v>
      </c>
      <c r="Q673" s="24">
        <f t="shared" si="1357"/>
        <v>0</v>
      </c>
      <c r="R673" s="24">
        <f t="shared" si="1357"/>
        <v>216.25</v>
      </c>
      <c r="S673" s="24">
        <f t="shared" si="1357"/>
        <v>245</v>
      </c>
      <c r="T673" s="24">
        <f t="shared" si="4"/>
        <v>8</v>
      </c>
      <c r="Z673" s="25">
        <f t="shared" si="12"/>
        <v>10.50177414</v>
      </c>
    </row>
    <row r="674">
      <c r="A674" s="16" t="s">
        <v>35</v>
      </c>
      <c r="B674" s="17">
        <v>73.0</v>
      </c>
      <c r="C674" s="24">
        <f t="shared" si="1214"/>
        <v>11740.79695</v>
      </c>
      <c r="D674" s="25">
        <v>0.05</v>
      </c>
      <c r="E674" s="24">
        <f t="shared" si="1215"/>
        <v>187.2513169</v>
      </c>
      <c r="F674" s="25">
        <v>0.02</v>
      </c>
      <c r="G674" s="24">
        <f t="shared" si="1216"/>
        <v>1509.531037</v>
      </c>
      <c r="H674" s="25">
        <v>0.05</v>
      </c>
      <c r="I674" s="24">
        <f t="shared" si="1217"/>
        <v>0</v>
      </c>
      <c r="J674" s="25">
        <v>0.02</v>
      </c>
      <c r="K674" s="25">
        <v>0.0</v>
      </c>
      <c r="L674" s="24" t="str">
        <f t="shared" ref="L674:O674" si="1358">IF(L673="", "", 1 + MROUND(IFERROR(MINIFS(OFFSET(L673, -1, 0, -$B674, 1), OFFSET(L673, -1, 0, -$B674, 1), "&gt;0"), L673) + (LN(1 + $Z674) ^ U$2) * U$3, 1))</f>
        <v/>
      </c>
      <c r="M674" s="24" t="str">
        <f t="shared" si="1358"/>
        <v/>
      </c>
      <c r="N674" s="24">
        <f t="shared" si="1358"/>
        <v>885</v>
      </c>
      <c r="O674" s="24">
        <f t="shared" si="1358"/>
        <v>1000</v>
      </c>
      <c r="P674" s="24">
        <f t="shared" ref="P674:S674" si="1359">L674*$Y$2</f>
        <v>0</v>
      </c>
      <c r="Q674" s="24">
        <f t="shared" si="1359"/>
        <v>0</v>
      </c>
      <c r="R674" s="24">
        <f t="shared" si="1359"/>
        <v>221.25</v>
      </c>
      <c r="S674" s="24">
        <f t="shared" si="1359"/>
        <v>250</v>
      </c>
      <c r="T674" s="24">
        <f t="shared" si="4"/>
        <v>8</v>
      </c>
      <c r="Z674" s="25">
        <f t="shared" si="12"/>
        <v>10.90433624</v>
      </c>
    </row>
    <row r="675">
      <c r="A675" s="16" t="s">
        <v>35</v>
      </c>
      <c r="B675" s="17">
        <v>74.0</v>
      </c>
      <c r="C675" s="24">
        <f t="shared" si="1214"/>
        <v>12327.8368</v>
      </c>
      <c r="D675" s="25">
        <v>0.05</v>
      </c>
      <c r="E675" s="24">
        <f t="shared" si="1215"/>
        <v>190.9963432</v>
      </c>
      <c r="F675" s="25">
        <v>0.02</v>
      </c>
      <c r="G675" s="24">
        <f t="shared" si="1216"/>
        <v>1585.007589</v>
      </c>
      <c r="H675" s="25">
        <v>0.05</v>
      </c>
      <c r="I675" s="24">
        <f t="shared" si="1217"/>
        <v>0</v>
      </c>
      <c r="J675" s="25">
        <v>0.02</v>
      </c>
      <c r="K675" s="25">
        <v>0.0</v>
      </c>
      <c r="L675" s="24" t="str">
        <f t="shared" ref="L675:O675" si="1360">IF(L674="", "", 1 + MROUND(IFERROR(MINIFS(OFFSET(L674, -1, 0, -$B675, 1), OFFSET(L674, -1, 0, -$B675, 1), "&gt;0"), L674) + (LN(1 + $Z675) ^ U$2) * U$3, 1))</f>
        <v/>
      </c>
      <c r="M675" s="24" t="str">
        <f t="shared" si="1360"/>
        <v/>
      </c>
      <c r="N675" s="24">
        <f t="shared" si="1360"/>
        <v>905</v>
      </c>
      <c r="O675" s="24">
        <f t="shared" si="1360"/>
        <v>1020</v>
      </c>
      <c r="P675" s="24">
        <f t="shared" ref="P675:S675" si="1361">L675*$Y$2</f>
        <v>0</v>
      </c>
      <c r="Q675" s="24">
        <f t="shared" si="1361"/>
        <v>0</v>
      </c>
      <c r="R675" s="24">
        <f t="shared" si="1361"/>
        <v>226.25</v>
      </c>
      <c r="S675" s="24">
        <f t="shared" si="1361"/>
        <v>255</v>
      </c>
      <c r="T675" s="24">
        <f t="shared" si="4"/>
        <v>8</v>
      </c>
      <c r="Z675" s="25">
        <f t="shared" si="12"/>
        <v>11.32098801</v>
      </c>
    </row>
    <row r="676">
      <c r="A676" s="16" t="s">
        <v>35</v>
      </c>
      <c r="B676" s="17">
        <v>75.0</v>
      </c>
      <c r="C676" s="24">
        <f t="shared" si="1214"/>
        <v>12944.22864</v>
      </c>
      <c r="D676" s="25">
        <v>0.05</v>
      </c>
      <c r="E676" s="24">
        <f t="shared" si="1215"/>
        <v>194.8162701</v>
      </c>
      <c r="F676" s="25">
        <v>0.02</v>
      </c>
      <c r="G676" s="24">
        <f t="shared" si="1216"/>
        <v>1664.257968</v>
      </c>
      <c r="H676" s="25">
        <v>0.05</v>
      </c>
      <c r="I676" s="24">
        <f t="shared" si="1217"/>
        <v>0</v>
      </c>
      <c r="J676" s="25">
        <v>0.02</v>
      </c>
      <c r="K676" s="25">
        <v>0.0</v>
      </c>
      <c r="L676" s="24" t="str">
        <f t="shared" ref="L676:O676" si="1362">IF(L675="", "", 1 + MROUND(IFERROR(MINIFS(OFFSET(L675, -1, 0, -$B676, 1), OFFSET(L675, -1, 0, -$B676, 1), "&gt;0"), L675) + (LN(1 + $Z676) ^ U$2) * U$3, 1))</f>
        <v/>
      </c>
      <c r="M676" s="24" t="str">
        <f t="shared" si="1362"/>
        <v/>
      </c>
      <c r="N676" s="24">
        <f t="shared" si="1362"/>
        <v>925</v>
      </c>
      <c r="O676" s="24">
        <f t="shared" si="1362"/>
        <v>1040</v>
      </c>
      <c r="P676" s="24">
        <f t="shared" ref="P676:S676" si="1363">L676*$Y$2</f>
        <v>0</v>
      </c>
      <c r="Q676" s="24">
        <f t="shared" si="1363"/>
        <v>0</v>
      </c>
      <c r="R676" s="24">
        <f t="shared" si="1363"/>
        <v>231.25</v>
      </c>
      <c r="S676" s="24">
        <f t="shared" si="1363"/>
        <v>260</v>
      </c>
      <c r="T676" s="24">
        <f t="shared" si="4"/>
        <v>9</v>
      </c>
      <c r="Z676" s="25">
        <f t="shared" si="12"/>
        <v>11.75222259</v>
      </c>
    </row>
    <row r="677">
      <c r="A677" s="16" t="s">
        <v>35</v>
      </c>
      <c r="B677" s="17">
        <v>76.0</v>
      </c>
      <c r="C677" s="24">
        <f t="shared" si="1214"/>
        <v>13591.44007</v>
      </c>
      <c r="D677" s="25">
        <v>0.05</v>
      </c>
      <c r="E677" s="24">
        <f t="shared" si="1215"/>
        <v>198.7125955</v>
      </c>
      <c r="F677" s="25">
        <v>0.02</v>
      </c>
      <c r="G677" s="24">
        <f t="shared" si="1216"/>
        <v>1747.470867</v>
      </c>
      <c r="H677" s="25">
        <v>0.05</v>
      </c>
      <c r="I677" s="24">
        <f t="shared" si="1217"/>
        <v>0</v>
      </c>
      <c r="J677" s="25">
        <v>0.02</v>
      </c>
      <c r="K677" s="25">
        <v>0.0</v>
      </c>
      <c r="L677" s="24" t="str">
        <f t="shared" ref="L677:O677" si="1364">IF(L676="", "", 1 + MROUND(IFERROR(MINIFS(OFFSET(L676, -1, 0, -$B677, 1), OFFSET(L676, -1, 0, -$B677, 1), "&gt;0"), L676) + (LN(1 + $Z677) ^ U$2) * U$3, 1))</f>
        <v/>
      </c>
      <c r="M677" s="24" t="str">
        <f t="shared" si="1364"/>
        <v/>
      </c>
      <c r="N677" s="24">
        <f t="shared" si="1364"/>
        <v>945</v>
      </c>
      <c r="O677" s="24">
        <f t="shared" si="1364"/>
        <v>1060</v>
      </c>
      <c r="P677" s="24">
        <f t="shared" ref="P677:S677" si="1365">L677*$Y$2</f>
        <v>0</v>
      </c>
      <c r="Q677" s="24">
        <f t="shared" si="1365"/>
        <v>0</v>
      </c>
      <c r="R677" s="24">
        <f t="shared" si="1365"/>
        <v>236.25</v>
      </c>
      <c r="S677" s="24">
        <f t="shared" si="1365"/>
        <v>265</v>
      </c>
      <c r="T677" s="24">
        <f t="shared" si="4"/>
        <v>9</v>
      </c>
      <c r="Z677" s="25">
        <f t="shared" si="12"/>
        <v>12.19855038</v>
      </c>
    </row>
    <row r="678">
      <c r="A678" s="16" t="s">
        <v>35</v>
      </c>
      <c r="B678" s="17">
        <v>77.0</v>
      </c>
      <c r="C678" s="24">
        <f t="shared" si="1214"/>
        <v>14271.01208</v>
      </c>
      <c r="D678" s="25">
        <v>0.05</v>
      </c>
      <c r="E678" s="24">
        <f t="shared" si="1215"/>
        <v>202.6868474</v>
      </c>
      <c r="F678" s="25">
        <v>0.02</v>
      </c>
      <c r="G678" s="24">
        <f t="shared" si="1216"/>
        <v>1834.84441</v>
      </c>
      <c r="H678" s="25">
        <v>0.05</v>
      </c>
      <c r="I678" s="24">
        <f t="shared" si="1217"/>
        <v>0</v>
      </c>
      <c r="J678" s="25">
        <v>0.02</v>
      </c>
      <c r="K678" s="25">
        <v>0.0</v>
      </c>
      <c r="L678" s="24" t="str">
        <f t="shared" ref="L678:O678" si="1366">IF(L677="", "", 1 + MROUND(IFERROR(MINIFS(OFFSET(L677, -1, 0, -$B678, 1), OFFSET(L677, -1, 0, -$B678, 1), "&gt;0"), L677) + (LN(1 + $Z678) ^ U$2) * U$3, 1))</f>
        <v/>
      </c>
      <c r="M678" s="24" t="str">
        <f t="shared" si="1366"/>
        <v/>
      </c>
      <c r="N678" s="24">
        <f t="shared" si="1366"/>
        <v>966</v>
      </c>
      <c r="O678" s="24">
        <f t="shared" si="1366"/>
        <v>1081</v>
      </c>
      <c r="P678" s="24">
        <f t="shared" ref="P678:S678" si="1367">L678*$Y$2</f>
        <v>0</v>
      </c>
      <c r="Q678" s="24">
        <f t="shared" si="1367"/>
        <v>0</v>
      </c>
      <c r="R678" s="24">
        <f t="shared" si="1367"/>
        <v>241.5</v>
      </c>
      <c r="S678" s="24">
        <f t="shared" si="1367"/>
        <v>270.25</v>
      </c>
      <c r="T678" s="24">
        <f t="shared" si="4"/>
        <v>9</v>
      </c>
      <c r="Z678" s="25">
        <f t="shared" si="12"/>
        <v>12.66049964</v>
      </c>
    </row>
    <row r="679">
      <c r="A679" s="16" t="s">
        <v>35</v>
      </c>
      <c r="B679" s="17">
        <v>78.0</v>
      </c>
      <c r="C679" s="24">
        <f t="shared" si="1214"/>
        <v>14984.56268</v>
      </c>
      <c r="D679" s="25">
        <v>0.05</v>
      </c>
      <c r="E679" s="24">
        <f t="shared" si="1215"/>
        <v>206.7405843</v>
      </c>
      <c r="F679" s="25">
        <v>0.02</v>
      </c>
      <c r="G679" s="24">
        <f t="shared" si="1216"/>
        <v>1926.58663</v>
      </c>
      <c r="H679" s="25">
        <v>0.05</v>
      </c>
      <c r="I679" s="24">
        <f t="shared" si="1217"/>
        <v>0</v>
      </c>
      <c r="J679" s="25">
        <v>0.02</v>
      </c>
      <c r="K679" s="25">
        <v>0.0</v>
      </c>
      <c r="L679" s="24" t="str">
        <f t="shared" ref="L679:O679" si="1368">IF(L678="", "", 1 + MROUND(IFERROR(MINIFS(OFFSET(L678, -1, 0, -$B679, 1), OFFSET(L678, -1, 0, -$B679, 1), "&gt;0"), L678) + (LN(1 + $Z679) ^ U$2) * U$3, 1))</f>
        <v/>
      </c>
      <c r="M679" s="24" t="str">
        <f t="shared" si="1368"/>
        <v/>
      </c>
      <c r="N679" s="24">
        <f t="shared" si="1368"/>
        <v>987</v>
      </c>
      <c r="O679" s="24">
        <f t="shared" si="1368"/>
        <v>1102</v>
      </c>
      <c r="P679" s="24">
        <f t="shared" ref="P679:S679" si="1369">L679*$Y$2</f>
        <v>0</v>
      </c>
      <c r="Q679" s="24">
        <f t="shared" si="1369"/>
        <v>0</v>
      </c>
      <c r="R679" s="24">
        <f t="shared" si="1369"/>
        <v>246.75</v>
      </c>
      <c r="S679" s="24">
        <f t="shared" si="1369"/>
        <v>275.5</v>
      </c>
      <c r="T679" s="24">
        <f t="shared" si="4"/>
        <v>9</v>
      </c>
      <c r="Z679" s="25">
        <f t="shared" si="12"/>
        <v>13.13861713</v>
      </c>
    </row>
    <row r="680">
      <c r="A680" s="16" t="s">
        <v>35</v>
      </c>
      <c r="B680" s="17">
        <v>79.0</v>
      </c>
      <c r="C680" s="24">
        <f t="shared" si="1214"/>
        <v>15733.79081</v>
      </c>
      <c r="D680" s="25">
        <v>0.05</v>
      </c>
      <c r="E680" s="24">
        <f t="shared" si="1215"/>
        <v>210.875396</v>
      </c>
      <c r="F680" s="25">
        <v>0.02</v>
      </c>
      <c r="G680" s="24">
        <f t="shared" si="1216"/>
        <v>2022.915962</v>
      </c>
      <c r="H680" s="25">
        <v>0.05</v>
      </c>
      <c r="I680" s="24">
        <f t="shared" si="1217"/>
        <v>0</v>
      </c>
      <c r="J680" s="25">
        <v>0.02</v>
      </c>
      <c r="K680" s="25">
        <v>0.0</v>
      </c>
      <c r="L680" s="24" t="str">
        <f t="shared" ref="L680:O680" si="1370">IF(L679="", "", 1 + MROUND(IFERROR(MINIFS(OFFSET(L679, -1, 0, -$B680, 1), OFFSET(L679, -1, 0, -$B680, 1), "&gt;0"), L679) + (LN(1 + $Z680) ^ U$2) * U$3, 1))</f>
        <v/>
      </c>
      <c r="M680" s="24" t="str">
        <f t="shared" si="1370"/>
        <v/>
      </c>
      <c r="N680" s="24">
        <f t="shared" si="1370"/>
        <v>1008</v>
      </c>
      <c r="O680" s="24">
        <f t="shared" si="1370"/>
        <v>1123</v>
      </c>
      <c r="P680" s="24">
        <f t="shared" ref="P680:S680" si="1371">L680*$Y$2</f>
        <v>0</v>
      </c>
      <c r="Q680" s="24">
        <f t="shared" si="1371"/>
        <v>0</v>
      </c>
      <c r="R680" s="24">
        <f t="shared" si="1371"/>
        <v>252</v>
      </c>
      <c r="S680" s="24">
        <f t="shared" si="1371"/>
        <v>280.75</v>
      </c>
      <c r="T680" s="24">
        <f t="shared" si="4"/>
        <v>9</v>
      </c>
      <c r="Z680" s="25">
        <f t="shared" si="12"/>
        <v>13.63346873</v>
      </c>
    </row>
    <row r="681">
      <c r="A681" s="16" t="s">
        <v>35</v>
      </c>
      <c r="B681" s="17">
        <v>80.0</v>
      </c>
      <c r="C681" s="24">
        <f t="shared" si="1214"/>
        <v>16520.48036</v>
      </c>
      <c r="D681" s="25">
        <v>0.05</v>
      </c>
      <c r="E681" s="24">
        <f t="shared" si="1215"/>
        <v>215.0929039</v>
      </c>
      <c r="F681" s="25">
        <v>0.02</v>
      </c>
      <c r="G681" s="24">
        <f t="shared" si="1216"/>
        <v>2124.06176</v>
      </c>
      <c r="H681" s="25">
        <v>0.05</v>
      </c>
      <c r="I681" s="24">
        <f t="shared" si="1217"/>
        <v>0</v>
      </c>
      <c r="J681" s="25">
        <v>0.02</v>
      </c>
      <c r="K681" s="25">
        <v>0.0</v>
      </c>
      <c r="L681" s="24" t="str">
        <f t="shared" ref="L681:O681" si="1372">IF(L680="", "", 1 + MROUND(IFERROR(MINIFS(OFFSET(L680, -1, 0, -$B681, 1), OFFSET(L680, -1, 0, -$B681, 1), "&gt;0"), L680) + (LN(1 + $Z681) ^ U$2) * U$3, 1))</f>
        <v/>
      </c>
      <c r="M681" s="24" t="str">
        <f t="shared" si="1372"/>
        <v/>
      </c>
      <c r="N681" s="24">
        <f t="shared" si="1372"/>
        <v>1029</v>
      </c>
      <c r="O681" s="24">
        <f t="shared" si="1372"/>
        <v>1144</v>
      </c>
      <c r="P681" s="24">
        <f t="shared" ref="P681:S681" si="1373">L681*$Y$2</f>
        <v>0</v>
      </c>
      <c r="Q681" s="24">
        <f t="shared" si="1373"/>
        <v>0</v>
      </c>
      <c r="R681" s="24">
        <f t="shared" si="1373"/>
        <v>257.25</v>
      </c>
      <c r="S681" s="24">
        <f t="shared" si="1373"/>
        <v>286</v>
      </c>
      <c r="T681" s="24">
        <f t="shared" si="4"/>
        <v>9</v>
      </c>
      <c r="Z681" s="25">
        <f t="shared" si="12"/>
        <v>14.14564013</v>
      </c>
    </row>
    <row r="682">
      <c r="A682" s="16" t="s">
        <v>35</v>
      </c>
      <c r="B682" s="17">
        <v>81.0</v>
      </c>
      <c r="C682" s="24">
        <f t="shared" si="1214"/>
        <v>17346.50437</v>
      </c>
      <c r="D682" s="25">
        <v>0.05</v>
      </c>
      <c r="E682" s="24">
        <f t="shared" si="1215"/>
        <v>219.394762</v>
      </c>
      <c r="F682" s="25">
        <v>0.02</v>
      </c>
      <c r="G682" s="24">
        <f t="shared" si="1216"/>
        <v>2230.264848</v>
      </c>
      <c r="H682" s="25">
        <v>0.05</v>
      </c>
      <c r="I682" s="24">
        <f t="shared" si="1217"/>
        <v>0</v>
      </c>
      <c r="J682" s="25">
        <v>0.02</v>
      </c>
      <c r="K682" s="25">
        <v>0.0</v>
      </c>
      <c r="L682" s="24" t="str">
        <f t="shared" ref="L682:O682" si="1374">IF(L681="", "", 1 + MROUND(IFERROR(MINIFS(OFFSET(L681, -1, 0, -$B682, 1), OFFSET(L681, -1, 0, -$B682, 1), "&gt;0"), L681) + (LN(1 + $Z682) ^ U$2) * U$3, 1))</f>
        <v/>
      </c>
      <c r="M682" s="24" t="str">
        <f t="shared" si="1374"/>
        <v/>
      </c>
      <c r="N682" s="24">
        <f t="shared" si="1374"/>
        <v>1050</v>
      </c>
      <c r="O682" s="24">
        <f t="shared" si="1374"/>
        <v>1165</v>
      </c>
      <c r="P682" s="24">
        <f t="shared" ref="P682:S682" si="1375">L682*$Y$2</f>
        <v>0</v>
      </c>
      <c r="Q682" s="24">
        <f t="shared" si="1375"/>
        <v>0</v>
      </c>
      <c r="R682" s="24">
        <f t="shared" si="1375"/>
        <v>262.5</v>
      </c>
      <c r="S682" s="24">
        <f t="shared" si="1375"/>
        <v>291.25</v>
      </c>
      <c r="T682" s="24">
        <f t="shared" si="4"/>
        <v>9</v>
      </c>
      <c r="Z682" s="25">
        <f t="shared" si="12"/>
        <v>14.67573754</v>
      </c>
    </row>
    <row r="683">
      <c r="A683" s="16" t="s">
        <v>35</v>
      </c>
      <c r="B683" s="17">
        <v>82.0</v>
      </c>
      <c r="C683" s="24">
        <f t="shared" si="1214"/>
        <v>18213.82959</v>
      </c>
      <c r="D683" s="25">
        <v>0.05</v>
      </c>
      <c r="E683" s="24">
        <f t="shared" si="1215"/>
        <v>223.7826573</v>
      </c>
      <c r="F683" s="25">
        <v>0.02</v>
      </c>
      <c r="G683" s="24">
        <f t="shared" si="1216"/>
        <v>2341.77809</v>
      </c>
      <c r="H683" s="25">
        <v>0.05</v>
      </c>
      <c r="I683" s="24">
        <f t="shared" si="1217"/>
        <v>0</v>
      </c>
      <c r="J683" s="25">
        <v>0.02</v>
      </c>
      <c r="K683" s="25">
        <v>0.0</v>
      </c>
      <c r="L683" s="24" t="str">
        <f t="shared" ref="L683:O683" si="1376">IF(L682="", "", 1 + MROUND(IFERROR(MINIFS(OFFSET(L682, -1, 0, -$B683, 1), OFFSET(L682, -1, 0, -$B683, 1), "&gt;0"), L682) + (LN(1 + $Z683) ^ U$2) * U$3, 1))</f>
        <v/>
      </c>
      <c r="M683" s="24" t="str">
        <f t="shared" si="1376"/>
        <v/>
      </c>
      <c r="N683" s="24">
        <f t="shared" si="1376"/>
        <v>1071</v>
      </c>
      <c r="O683" s="24">
        <f t="shared" si="1376"/>
        <v>1186</v>
      </c>
      <c r="P683" s="24">
        <f t="shared" ref="P683:S683" si="1377">L683*$Y$2</f>
        <v>0</v>
      </c>
      <c r="Q683" s="24">
        <f t="shared" si="1377"/>
        <v>0</v>
      </c>
      <c r="R683" s="24">
        <f t="shared" si="1377"/>
        <v>267.75</v>
      </c>
      <c r="S683" s="24">
        <f t="shared" si="1377"/>
        <v>296.5</v>
      </c>
      <c r="T683" s="24">
        <f t="shared" si="4"/>
        <v>9</v>
      </c>
      <c r="Z683" s="25">
        <f t="shared" si="12"/>
        <v>15.22438835</v>
      </c>
    </row>
    <row r="684">
      <c r="A684" s="16" t="s">
        <v>35</v>
      </c>
      <c r="B684" s="17">
        <v>83.0</v>
      </c>
      <c r="C684" s="24">
        <f t="shared" si="1214"/>
        <v>19124.52107</v>
      </c>
      <c r="D684" s="25">
        <v>0.05</v>
      </c>
      <c r="E684" s="24">
        <f t="shared" si="1215"/>
        <v>228.2583104</v>
      </c>
      <c r="F684" s="25">
        <v>0.02</v>
      </c>
      <c r="G684" s="24">
        <f t="shared" si="1216"/>
        <v>2458.866995</v>
      </c>
      <c r="H684" s="25">
        <v>0.05</v>
      </c>
      <c r="I684" s="24">
        <f t="shared" si="1217"/>
        <v>0</v>
      </c>
      <c r="J684" s="25">
        <v>0.02</v>
      </c>
      <c r="K684" s="25">
        <v>0.0</v>
      </c>
      <c r="L684" s="24" t="str">
        <f t="shared" ref="L684:O684" si="1378">IF(L683="", "", 1 + MROUND(IFERROR(MINIFS(OFFSET(L683, -1, 0, -$B684, 1), OFFSET(L683, -1, 0, -$B684, 1), "&gt;0"), L683) + (LN(1 + $Z684) ^ U$2) * U$3, 1))</f>
        <v/>
      </c>
      <c r="M684" s="24" t="str">
        <f t="shared" si="1378"/>
        <v/>
      </c>
      <c r="N684" s="24">
        <f t="shared" si="1378"/>
        <v>1093</v>
      </c>
      <c r="O684" s="24">
        <f t="shared" si="1378"/>
        <v>1208</v>
      </c>
      <c r="P684" s="24">
        <f t="shared" ref="P684:S684" si="1379">L684*$Y$2</f>
        <v>0</v>
      </c>
      <c r="Q684" s="24">
        <f t="shared" si="1379"/>
        <v>0</v>
      </c>
      <c r="R684" s="24">
        <f t="shared" si="1379"/>
        <v>273.25</v>
      </c>
      <c r="S684" s="24">
        <f t="shared" si="1379"/>
        <v>302</v>
      </c>
      <c r="T684" s="24">
        <f t="shared" si="4"/>
        <v>9</v>
      </c>
      <c r="Z684" s="25">
        <f t="shared" si="12"/>
        <v>15.79224195</v>
      </c>
    </row>
    <row r="685">
      <c r="A685" s="16" t="s">
        <v>35</v>
      </c>
      <c r="B685" s="17">
        <v>84.0</v>
      </c>
      <c r="C685" s="24">
        <f t="shared" si="1214"/>
        <v>20080.74713</v>
      </c>
      <c r="D685" s="25">
        <v>0.05</v>
      </c>
      <c r="E685" s="24">
        <f t="shared" si="1215"/>
        <v>232.8234766</v>
      </c>
      <c r="F685" s="25">
        <v>0.02</v>
      </c>
      <c r="G685" s="24">
        <f t="shared" si="1216"/>
        <v>2581.810345</v>
      </c>
      <c r="H685" s="25">
        <v>0.05</v>
      </c>
      <c r="I685" s="24">
        <f t="shared" si="1217"/>
        <v>0</v>
      </c>
      <c r="J685" s="25">
        <v>0.02</v>
      </c>
      <c r="K685" s="25">
        <v>0.0</v>
      </c>
      <c r="L685" s="24" t="str">
        <f t="shared" ref="L685:O685" si="1380">IF(L684="", "", 1 + MROUND(IFERROR(MINIFS(OFFSET(L684, -1, 0, -$B685, 1), OFFSET(L684, -1, 0, -$B685, 1), "&gt;0"), L684) + (LN(1 + $Z685) ^ U$2) * U$3, 1))</f>
        <v/>
      </c>
      <c r="M685" s="24" t="str">
        <f t="shared" si="1380"/>
        <v/>
      </c>
      <c r="N685" s="24">
        <f t="shared" si="1380"/>
        <v>1115</v>
      </c>
      <c r="O685" s="24">
        <f t="shared" si="1380"/>
        <v>1230</v>
      </c>
      <c r="P685" s="24">
        <f t="shared" ref="P685:S685" si="1381">L685*$Y$2</f>
        <v>0</v>
      </c>
      <c r="Q685" s="24">
        <f t="shared" si="1381"/>
        <v>0</v>
      </c>
      <c r="R685" s="24">
        <f t="shared" si="1381"/>
        <v>278.75</v>
      </c>
      <c r="S685" s="24">
        <f t="shared" si="1381"/>
        <v>307.5</v>
      </c>
      <c r="T685" s="24">
        <f t="shared" si="4"/>
        <v>9</v>
      </c>
      <c r="Z685" s="25">
        <f t="shared" si="12"/>
        <v>16.37997041</v>
      </c>
    </row>
    <row r="686">
      <c r="A686" s="16" t="s">
        <v>35</v>
      </c>
      <c r="B686" s="17">
        <v>85.0</v>
      </c>
      <c r="C686" s="24">
        <f t="shared" si="1214"/>
        <v>21084.78448</v>
      </c>
      <c r="D686" s="25">
        <v>0.05</v>
      </c>
      <c r="E686" s="24">
        <f t="shared" si="1215"/>
        <v>237.4799462</v>
      </c>
      <c r="F686" s="25">
        <v>0.02</v>
      </c>
      <c r="G686" s="24">
        <f t="shared" si="1216"/>
        <v>2710.900862</v>
      </c>
      <c r="H686" s="25">
        <v>0.05</v>
      </c>
      <c r="I686" s="24">
        <f t="shared" si="1217"/>
        <v>0</v>
      </c>
      <c r="J686" s="25">
        <v>0.02</v>
      </c>
      <c r="K686" s="25">
        <v>0.0</v>
      </c>
      <c r="L686" s="24" t="str">
        <f t="shared" ref="L686:O686" si="1382">IF(L685="", "", 1 + MROUND(IFERROR(MINIFS(OFFSET(L685, -1, 0, -$B686, 1), OFFSET(L685, -1, 0, -$B686, 1), "&gt;0"), L685) + (LN(1 + $Z686) ^ U$2) * U$3, 1))</f>
        <v/>
      </c>
      <c r="M686" s="24" t="str">
        <f t="shared" si="1382"/>
        <v/>
      </c>
      <c r="N686" s="24">
        <f t="shared" si="1382"/>
        <v>1137</v>
      </c>
      <c r="O686" s="24">
        <f t="shared" si="1382"/>
        <v>1252</v>
      </c>
      <c r="P686" s="24">
        <f t="shared" ref="P686:S686" si="1383">L686*$Y$2</f>
        <v>0</v>
      </c>
      <c r="Q686" s="24">
        <f t="shared" si="1383"/>
        <v>0</v>
      </c>
      <c r="R686" s="24">
        <f t="shared" si="1383"/>
        <v>284.25</v>
      </c>
      <c r="S686" s="24">
        <f t="shared" si="1383"/>
        <v>313</v>
      </c>
      <c r="T686" s="24">
        <f t="shared" si="4"/>
        <v>10</v>
      </c>
      <c r="Z686" s="25">
        <f t="shared" si="12"/>
        <v>16.98826938</v>
      </c>
    </row>
    <row r="687">
      <c r="A687" s="16" t="s">
        <v>35</v>
      </c>
      <c r="B687" s="17">
        <v>86.0</v>
      </c>
      <c r="C687" s="24">
        <f t="shared" si="1214"/>
        <v>22139.02371</v>
      </c>
      <c r="D687" s="25">
        <v>0.05</v>
      </c>
      <c r="E687" s="24">
        <f t="shared" si="1215"/>
        <v>242.2295451</v>
      </c>
      <c r="F687" s="25">
        <v>0.02</v>
      </c>
      <c r="G687" s="24">
        <f t="shared" si="1216"/>
        <v>2846.445905</v>
      </c>
      <c r="H687" s="25">
        <v>0.05</v>
      </c>
      <c r="I687" s="24">
        <f t="shared" si="1217"/>
        <v>0</v>
      </c>
      <c r="J687" s="25">
        <v>0.02</v>
      </c>
      <c r="K687" s="25">
        <v>0.0</v>
      </c>
      <c r="L687" s="24" t="str">
        <f t="shared" ref="L687:O687" si="1384">IF(L686="", "", 1 + MROUND(IFERROR(MINIFS(OFFSET(L686, -1, 0, -$B687, 1), OFFSET(L686, -1, 0, -$B687, 1), "&gt;0"), L686) + (LN(1 + $Z687) ^ U$2) * U$3, 1))</f>
        <v/>
      </c>
      <c r="M687" s="24" t="str">
        <f t="shared" si="1384"/>
        <v/>
      </c>
      <c r="N687" s="24">
        <f t="shared" si="1384"/>
        <v>1159</v>
      </c>
      <c r="O687" s="24">
        <f t="shared" si="1384"/>
        <v>1274</v>
      </c>
      <c r="P687" s="24">
        <f t="shared" ref="P687:S687" si="1385">L687*$Y$2</f>
        <v>0</v>
      </c>
      <c r="Q687" s="24">
        <f t="shared" si="1385"/>
        <v>0</v>
      </c>
      <c r="R687" s="24">
        <f t="shared" si="1385"/>
        <v>289.75</v>
      </c>
      <c r="S687" s="24">
        <f t="shared" si="1385"/>
        <v>318.5</v>
      </c>
      <c r="T687" s="24">
        <f t="shared" si="4"/>
        <v>10</v>
      </c>
      <c r="Z687" s="25">
        <f t="shared" si="12"/>
        <v>17.61785881</v>
      </c>
    </row>
    <row r="688">
      <c r="A688" s="16" t="s">
        <v>35</v>
      </c>
      <c r="B688" s="17">
        <v>87.0</v>
      </c>
      <c r="C688" s="24">
        <f t="shared" si="1214"/>
        <v>23245.97489</v>
      </c>
      <c r="D688" s="25">
        <v>0.05</v>
      </c>
      <c r="E688" s="24">
        <f t="shared" si="1215"/>
        <v>247.074136</v>
      </c>
      <c r="F688" s="25">
        <v>0.02</v>
      </c>
      <c r="G688" s="24">
        <f t="shared" si="1216"/>
        <v>2988.7682</v>
      </c>
      <c r="H688" s="25">
        <v>0.05</v>
      </c>
      <c r="I688" s="24">
        <f t="shared" si="1217"/>
        <v>0</v>
      </c>
      <c r="J688" s="25">
        <v>0.02</v>
      </c>
      <c r="K688" s="25">
        <v>0.0</v>
      </c>
      <c r="L688" s="24" t="str">
        <f t="shared" ref="L688:O688" si="1386">IF(L687="", "", 1 + MROUND(IFERROR(MINIFS(OFFSET(L687, -1, 0, -$B688, 1), OFFSET(L687, -1, 0, -$B688, 1), "&gt;0"), L687) + (LN(1 + $Z688) ^ U$2) * U$3, 1))</f>
        <v/>
      </c>
      <c r="M688" s="24" t="str">
        <f t="shared" si="1386"/>
        <v/>
      </c>
      <c r="N688" s="24">
        <f t="shared" si="1386"/>
        <v>1181</v>
      </c>
      <c r="O688" s="24">
        <f t="shared" si="1386"/>
        <v>1296</v>
      </c>
      <c r="P688" s="24">
        <f t="shared" ref="P688:S688" si="1387">L688*$Y$2</f>
        <v>0</v>
      </c>
      <c r="Q688" s="24">
        <f t="shared" si="1387"/>
        <v>0</v>
      </c>
      <c r="R688" s="24">
        <f t="shared" si="1387"/>
        <v>295.25</v>
      </c>
      <c r="S688" s="24">
        <f t="shared" si="1387"/>
        <v>324</v>
      </c>
      <c r="T688" s="24">
        <f t="shared" si="4"/>
        <v>10</v>
      </c>
      <c r="Z688" s="25">
        <f t="shared" si="12"/>
        <v>18.26948387</v>
      </c>
    </row>
    <row r="689">
      <c r="A689" s="16" t="s">
        <v>35</v>
      </c>
      <c r="B689" s="17">
        <v>88.0</v>
      </c>
      <c r="C689" s="24">
        <f t="shared" si="1214"/>
        <v>24408.27364</v>
      </c>
      <c r="D689" s="25">
        <v>0.05</v>
      </c>
      <c r="E689" s="24">
        <f t="shared" si="1215"/>
        <v>252.0156187</v>
      </c>
      <c r="F689" s="25">
        <v>0.02</v>
      </c>
      <c r="G689" s="24">
        <f t="shared" si="1216"/>
        <v>3138.20661</v>
      </c>
      <c r="H689" s="25">
        <v>0.05</v>
      </c>
      <c r="I689" s="24">
        <f t="shared" si="1217"/>
        <v>0</v>
      </c>
      <c r="J689" s="25">
        <v>0.02</v>
      </c>
      <c r="K689" s="25">
        <v>0.0</v>
      </c>
      <c r="L689" s="24" t="str">
        <f t="shared" ref="L689:O689" si="1388">IF(L688="", "", 1 + MROUND(IFERROR(MINIFS(OFFSET(L688, -1, 0, -$B689, 1), OFFSET(L688, -1, 0, -$B689, 1), "&gt;0"), L688) + (LN(1 + $Z689) ^ U$2) * U$3, 1))</f>
        <v/>
      </c>
      <c r="M689" s="24" t="str">
        <f t="shared" si="1388"/>
        <v/>
      </c>
      <c r="N689" s="24">
        <f t="shared" si="1388"/>
        <v>1204</v>
      </c>
      <c r="O689" s="24">
        <f t="shared" si="1388"/>
        <v>1319</v>
      </c>
      <c r="P689" s="24">
        <f t="shared" ref="P689:S689" si="1389">L689*$Y$2</f>
        <v>0</v>
      </c>
      <c r="Q689" s="24">
        <f t="shared" si="1389"/>
        <v>0</v>
      </c>
      <c r="R689" s="24">
        <f t="shared" si="1389"/>
        <v>301</v>
      </c>
      <c r="S689" s="24">
        <f t="shared" si="1389"/>
        <v>329.75</v>
      </c>
      <c r="T689" s="24">
        <f t="shared" si="4"/>
        <v>10</v>
      </c>
      <c r="Z689" s="25">
        <f t="shared" si="12"/>
        <v>18.9439158</v>
      </c>
    </row>
    <row r="690">
      <c r="A690" s="16" t="s">
        <v>35</v>
      </c>
      <c r="B690" s="17">
        <v>89.0</v>
      </c>
      <c r="C690" s="24">
        <f t="shared" si="1214"/>
        <v>25628.68732</v>
      </c>
      <c r="D690" s="25">
        <v>0.05</v>
      </c>
      <c r="E690" s="24">
        <f t="shared" si="1215"/>
        <v>257.0559311</v>
      </c>
      <c r="F690" s="25">
        <v>0.02</v>
      </c>
      <c r="G690" s="24">
        <f t="shared" si="1216"/>
        <v>3295.116941</v>
      </c>
      <c r="H690" s="25">
        <v>0.05</v>
      </c>
      <c r="I690" s="24">
        <f t="shared" si="1217"/>
        <v>0</v>
      </c>
      <c r="J690" s="25">
        <v>0.02</v>
      </c>
      <c r="K690" s="25">
        <v>0.0</v>
      </c>
      <c r="L690" s="24" t="str">
        <f t="shared" ref="L690:O690" si="1390">IF(L689="", "", 1 + MROUND(IFERROR(MINIFS(OFFSET(L689, -1, 0, -$B690, 1), OFFSET(L689, -1, 0, -$B690, 1), "&gt;0"), L689) + (LN(1 + $Z690) ^ U$2) * U$3, 1))</f>
        <v/>
      </c>
      <c r="M690" s="24" t="str">
        <f t="shared" si="1390"/>
        <v/>
      </c>
      <c r="N690" s="24">
        <f t="shared" si="1390"/>
        <v>1227</v>
      </c>
      <c r="O690" s="24">
        <f t="shared" si="1390"/>
        <v>1342</v>
      </c>
      <c r="P690" s="24">
        <f t="shared" ref="P690:S690" si="1391">L690*$Y$2</f>
        <v>0</v>
      </c>
      <c r="Q690" s="24">
        <f t="shared" si="1391"/>
        <v>0</v>
      </c>
      <c r="R690" s="24">
        <f t="shared" si="1391"/>
        <v>306.75</v>
      </c>
      <c r="S690" s="24">
        <f t="shared" si="1391"/>
        <v>335.5</v>
      </c>
      <c r="T690" s="24">
        <f t="shared" si="4"/>
        <v>10</v>
      </c>
      <c r="Z690" s="25">
        <f t="shared" si="12"/>
        <v>19.64195285</v>
      </c>
    </row>
    <row r="691">
      <c r="A691" s="16" t="s">
        <v>35</v>
      </c>
      <c r="B691" s="17">
        <v>90.0</v>
      </c>
      <c r="C691" s="24">
        <f t="shared" si="1214"/>
        <v>26910.12168</v>
      </c>
      <c r="D691" s="25">
        <v>0.05</v>
      </c>
      <c r="E691" s="24">
        <f t="shared" si="1215"/>
        <v>262.1970497</v>
      </c>
      <c r="F691" s="25">
        <v>0.02</v>
      </c>
      <c r="G691" s="24">
        <f t="shared" si="1216"/>
        <v>3459.872788</v>
      </c>
      <c r="H691" s="25">
        <v>0.05</v>
      </c>
      <c r="I691" s="24">
        <f t="shared" si="1217"/>
        <v>0</v>
      </c>
      <c r="J691" s="25">
        <v>0.02</v>
      </c>
      <c r="K691" s="25">
        <v>0.0</v>
      </c>
      <c r="L691" s="24" t="str">
        <f t="shared" ref="L691:O691" si="1392">IF(L690="", "", 1 + MROUND(IFERROR(MINIFS(OFFSET(L690, -1, 0, -$B691, 1), OFFSET(L690, -1, 0, -$B691, 1), "&gt;0"), L690) + (LN(1 + $Z691) ^ U$2) * U$3, 1))</f>
        <v/>
      </c>
      <c r="M691" s="24" t="str">
        <f t="shared" si="1392"/>
        <v/>
      </c>
      <c r="N691" s="24">
        <f t="shared" si="1392"/>
        <v>1250</v>
      </c>
      <c r="O691" s="24">
        <f t="shared" si="1392"/>
        <v>1365</v>
      </c>
      <c r="P691" s="24">
        <f t="shared" ref="P691:S691" si="1393">L691*$Y$2</f>
        <v>0</v>
      </c>
      <c r="Q691" s="24">
        <f t="shared" si="1393"/>
        <v>0</v>
      </c>
      <c r="R691" s="24">
        <f t="shared" si="1393"/>
        <v>312.5</v>
      </c>
      <c r="S691" s="24">
        <f t="shared" si="1393"/>
        <v>341.25</v>
      </c>
      <c r="T691" s="24">
        <f t="shared" si="4"/>
        <v>10</v>
      </c>
      <c r="Z691" s="25">
        <f t="shared" si="12"/>
        <v>20.3644212</v>
      </c>
    </row>
    <row r="692">
      <c r="A692" s="16" t="s">
        <v>35</v>
      </c>
      <c r="B692" s="17">
        <v>91.0</v>
      </c>
      <c r="C692" s="24">
        <f t="shared" si="1214"/>
        <v>28255.62777</v>
      </c>
      <c r="D692" s="25">
        <v>0.05</v>
      </c>
      <c r="E692" s="24">
        <f t="shared" si="1215"/>
        <v>267.4409907</v>
      </c>
      <c r="F692" s="25">
        <v>0.02</v>
      </c>
      <c r="G692" s="24">
        <f t="shared" si="1216"/>
        <v>3632.866427</v>
      </c>
      <c r="H692" s="25">
        <v>0.05</v>
      </c>
      <c r="I692" s="24">
        <f t="shared" si="1217"/>
        <v>0</v>
      </c>
      <c r="J692" s="25">
        <v>0.02</v>
      </c>
      <c r="K692" s="25">
        <v>0.0</v>
      </c>
      <c r="L692" s="24" t="str">
        <f t="shared" ref="L692:O692" si="1394">IF(L691="", "", 1 + MROUND(IFERROR(MINIFS(OFFSET(L691, -1, 0, -$B692, 1), OFFSET(L691, -1, 0, -$B692, 1), "&gt;0"), L691) + (LN(1 + $Z692) ^ U$2) * U$3, 1))</f>
        <v/>
      </c>
      <c r="M692" s="24" t="str">
        <f t="shared" si="1394"/>
        <v/>
      </c>
      <c r="N692" s="24">
        <f t="shared" si="1394"/>
        <v>1273</v>
      </c>
      <c r="O692" s="24">
        <f t="shared" si="1394"/>
        <v>1388</v>
      </c>
      <c r="P692" s="24">
        <f t="shared" ref="P692:S692" si="1395">L692*$Y$2</f>
        <v>0</v>
      </c>
      <c r="Q692" s="24">
        <f t="shared" si="1395"/>
        <v>0</v>
      </c>
      <c r="R692" s="24">
        <f t="shared" si="1395"/>
        <v>318.25</v>
      </c>
      <c r="S692" s="24">
        <f t="shared" si="1395"/>
        <v>347</v>
      </c>
      <c r="T692" s="24">
        <f t="shared" si="4"/>
        <v>10</v>
      </c>
      <c r="Z692" s="25">
        <f t="shared" si="12"/>
        <v>21.11217595</v>
      </c>
    </row>
    <row r="693">
      <c r="A693" s="16" t="s">
        <v>35</v>
      </c>
      <c r="B693" s="17">
        <v>92.0</v>
      </c>
      <c r="C693" s="24">
        <f t="shared" si="1214"/>
        <v>29668.40916</v>
      </c>
      <c r="D693" s="25">
        <v>0.05</v>
      </c>
      <c r="E693" s="24">
        <f t="shared" si="1215"/>
        <v>272.7898105</v>
      </c>
      <c r="F693" s="25">
        <v>0.02</v>
      </c>
      <c r="G693" s="24">
        <f t="shared" si="1216"/>
        <v>3814.509749</v>
      </c>
      <c r="H693" s="25">
        <v>0.05</v>
      </c>
      <c r="I693" s="24">
        <f t="shared" si="1217"/>
        <v>0</v>
      </c>
      <c r="J693" s="25">
        <v>0.02</v>
      </c>
      <c r="K693" s="25">
        <v>0.0</v>
      </c>
      <c r="L693" s="24" t="str">
        <f t="shared" ref="L693:O693" si="1396">IF(L692="", "", 1 + MROUND(IFERROR(MINIFS(OFFSET(L692, -1, 0, -$B693, 1), OFFSET(L692, -1, 0, -$B693, 1), "&gt;0"), L692) + (LN(1 + $Z693) ^ U$2) * U$3, 1))</f>
        <v/>
      </c>
      <c r="M693" s="24" t="str">
        <f t="shared" si="1396"/>
        <v/>
      </c>
      <c r="N693" s="24">
        <f t="shared" si="1396"/>
        <v>1296</v>
      </c>
      <c r="O693" s="24">
        <f t="shared" si="1396"/>
        <v>1411</v>
      </c>
      <c r="P693" s="24">
        <f t="shared" ref="P693:S693" si="1397">L693*$Y$2</f>
        <v>0</v>
      </c>
      <c r="Q693" s="24">
        <f t="shared" si="1397"/>
        <v>0</v>
      </c>
      <c r="R693" s="24">
        <f t="shared" si="1397"/>
        <v>324</v>
      </c>
      <c r="S693" s="24">
        <f t="shared" si="1397"/>
        <v>352.75</v>
      </c>
      <c r="T693" s="24">
        <f t="shared" si="4"/>
        <v>10</v>
      </c>
      <c r="Z693" s="25">
        <f t="shared" si="12"/>
        <v>21.8861021</v>
      </c>
    </row>
    <row r="694">
      <c r="A694" s="16" t="s">
        <v>35</v>
      </c>
      <c r="B694" s="17">
        <v>93.0</v>
      </c>
      <c r="C694" s="24">
        <f t="shared" si="1214"/>
        <v>31151.82961</v>
      </c>
      <c r="D694" s="25">
        <v>0.05</v>
      </c>
      <c r="E694" s="24">
        <f t="shared" si="1215"/>
        <v>278.2456067</v>
      </c>
      <c r="F694" s="25">
        <v>0.02</v>
      </c>
      <c r="G694" s="24">
        <f t="shared" si="1216"/>
        <v>4005.235236</v>
      </c>
      <c r="H694" s="25">
        <v>0.05</v>
      </c>
      <c r="I694" s="24">
        <f t="shared" si="1217"/>
        <v>0</v>
      </c>
      <c r="J694" s="25">
        <v>0.02</v>
      </c>
      <c r="K694" s="25">
        <v>0.0</v>
      </c>
      <c r="L694" s="24" t="str">
        <f t="shared" ref="L694:O694" si="1398">IF(L693="", "", 1 + MROUND(IFERROR(MINIFS(OFFSET(L693, -1, 0, -$B694, 1), OFFSET(L693, -1, 0, -$B694, 1), "&gt;0"), L693) + (LN(1 + $Z694) ^ U$2) * U$3, 1))</f>
        <v/>
      </c>
      <c r="M694" s="24" t="str">
        <f t="shared" si="1398"/>
        <v/>
      </c>
      <c r="N694" s="24">
        <f t="shared" si="1398"/>
        <v>1319</v>
      </c>
      <c r="O694" s="24">
        <f t="shared" si="1398"/>
        <v>1434</v>
      </c>
      <c r="P694" s="24">
        <f t="shared" ref="P694:S694" si="1399">L694*$Y$2</f>
        <v>0</v>
      </c>
      <c r="Q694" s="24">
        <f t="shared" si="1399"/>
        <v>0</v>
      </c>
      <c r="R694" s="24">
        <f t="shared" si="1399"/>
        <v>329.75</v>
      </c>
      <c r="S694" s="24">
        <f t="shared" si="1399"/>
        <v>358.5</v>
      </c>
      <c r="T694" s="24">
        <f t="shared" si="4"/>
        <v>10</v>
      </c>
      <c r="Z694" s="25">
        <f t="shared" si="12"/>
        <v>22.68711568</v>
      </c>
    </row>
    <row r="695">
      <c r="A695" s="16" t="s">
        <v>35</v>
      </c>
      <c r="B695" s="17">
        <v>94.0</v>
      </c>
      <c r="C695" s="24">
        <f t="shared" si="1214"/>
        <v>32709.42109</v>
      </c>
      <c r="D695" s="25">
        <v>0.05</v>
      </c>
      <c r="E695" s="24">
        <f t="shared" si="1215"/>
        <v>283.8105188</v>
      </c>
      <c r="F695" s="25">
        <v>0.02</v>
      </c>
      <c r="G695" s="24">
        <f t="shared" si="1216"/>
        <v>4205.496998</v>
      </c>
      <c r="H695" s="25">
        <v>0.05</v>
      </c>
      <c r="I695" s="24">
        <f t="shared" si="1217"/>
        <v>0</v>
      </c>
      <c r="J695" s="25">
        <v>0.02</v>
      </c>
      <c r="K695" s="25">
        <v>0.0</v>
      </c>
      <c r="L695" s="24" t="str">
        <f t="shared" ref="L695:O695" si="1400">IF(L694="", "", 1 + MROUND(IFERROR(MINIFS(OFFSET(L694, -1, 0, -$B695, 1), OFFSET(L694, -1, 0, -$B695, 1), "&gt;0"), L694) + (LN(1 + $Z695) ^ U$2) * U$3, 1))</f>
        <v/>
      </c>
      <c r="M695" s="24" t="str">
        <f t="shared" si="1400"/>
        <v/>
      </c>
      <c r="N695" s="24">
        <f t="shared" si="1400"/>
        <v>1343</v>
      </c>
      <c r="O695" s="24">
        <f t="shared" si="1400"/>
        <v>1458</v>
      </c>
      <c r="P695" s="24">
        <f t="shared" ref="P695:S695" si="1401">L695*$Y$2</f>
        <v>0</v>
      </c>
      <c r="Q695" s="24">
        <f t="shared" si="1401"/>
        <v>0</v>
      </c>
      <c r="R695" s="24">
        <f t="shared" si="1401"/>
        <v>335.75</v>
      </c>
      <c r="S695" s="24">
        <f t="shared" si="1401"/>
        <v>364.5</v>
      </c>
      <c r="T695" s="24">
        <f t="shared" si="4"/>
        <v>10</v>
      </c>
      <c r="Z695" s="25">
        <f t="shared" si="12"/>
        <v>23.51616473</v>
      </c>
    </row>
    <row r="696">
      <c r="A696" s="16" t="s">
        <v>35</v>
      </c>
      <c r="B696" s="17">
        <v>95.0</v>
      </c>
      <c r="C696" s="24">
        <f t="shared" si="1214"/>
        <v>34344.89215</v>
      </c>
      <c r="D696" s="25">
        <v>0.05</v>
      </c>
      <c r="E696" s="24">
        <f t="shared" si="1215"/>
        <v>289.4867292</v>
      </c>
      <c r="F696" s="25">
        <v>0.02</v>
      </c>
      <c r="G696" s="24">
        <f t="shared" si="1216"/>
        <v>4415.771848</v>
      </c>
      <c r="H696" s="25">
        <v>0.05</v>
      </c>
      <c r="I696" s="24">
        <f t="shared" si="1217"/>
        <v>0</v>
      </c>
      <c r="J696" s="25">
        <v>0.02</v>
      </c>
      <c r="K696" s="25">
        <v>0.0</v>
      </c>
      <c r="L696" s="24" t="str">
        <f t="shared" ref="L696:O696" si="1402">IF(L695="", "", 1 + MROUND(IFERROR(MINIFS(OFFSET(L695, -1, 0, -$B696, 1), OFFSET(L695, -1, 0, -$B696, 1), "&gt;0"), L695) + (LN(1 + $Z696) ^ U$2) * U$3, 1))</f>
        <v/>
      </c>
      <c r="M696" s="24" t="str">
        <f t="shared" si="1402"/>
        <v/>
      </c>
      <c r="N696" s="24">
        <f t="shared" si="1402"/>
        <v>1367</v>
      </c>
      <c r="O696" s="24">
        <f t="shared" si="1402"/>
        <v>1482</v>
      </c>
      <c r="P696" s="24">
        <f t="shared" ref="P696:S696" si="1403">L696*$Y$2</f>
        <v>0</v>
      </c>
      <c r="Q696" s="24">
        <f t="shared" si="1403"/>
        <v>0</v>
      </c>
      <c r="R696" s="24">
        <f t="shared" si="1403"/>
        <v>341.75</v>
      </c>
      <c r="S696" s="24">
        <f t="shared" si="1403"/>
        <v>370.5</v>
      </c>
      <c r="T696" s="24">
        <f t="shared" si="4"/>
        <v>11</v>
      </c>
      <c r="Z696" s="25">
        <f t="shared" si="12"/>
        <v>24.37423049</v>
      </c>
    </row>
    <row r="697">
      <c r="A697" s="16" t="s">
        <v>35</v>
      </c>
      <c r="B697" s="17">
        <v>96.0</v>
      </c>
      <c r="C697" s="24">
        <f t="shared" si="1214"/>
        <v>36062.13676</v>
      </c>
      <c r="D697" s="25">
        <v>0.05</v>
      </c>
      <c r="E697" s="24">
        <f t="shared" si="1215"/>
        <v>295.2764638</v>
      </c>
      <c r="F697" s="25">
        <v>0.02</v>
      </c>
      <c r="G697" s="24">
        <f t="shared" si="1216"/>
        <v>4636.56044</v>
      </c>
      <c r="H697" s="25">
        <v>0.05</v>
      </c>
      <c r="I697" s="24">
        <f t="shared" si="1217"/>
        <v>0</v>
      </c>
      <c r="J697" s="25">
        <v>0.02</v>
      </c>
      <c r="K697" s="25">
        <v>0.0</v>
      </c>
      <c r="L697" s="24" t="str">
        <f t="shared" ref="L697:O697" si="1404">IF(L696="", "", 1 + MROUND(IFERROR(MINIFS(OFFSET(L696, -1, 0, -$B697, 1), OFFSET(L696, -1, 0, -$B697, 1), "&gt;0"), L696) + (LN(1 + $Z697) ^ U$2) * U$3, 1))</f>
        <v/>
      </c>
      <c r="M697" s="24" t="str">
        <f t="shared" si="1404"/>
        <v/>
      </c>
      <c r="N697" s="24">
        <f t="shared" si="1404"/>
        <v>1391</v>
      </c>
      <c r="O697" s="24">
        <f t="shared" si="1404"/>
        <v>1506</v>
      </c>
      <c r="P697" s="24">
        <f t="shared" ref="P697:S697" si="1405">L697*$Y$2</f>
        <v>0</v>
      </c>
      <c r="Q697" s="24">
        <f t="shared" si="1405"/>
        <v>0</v>
      </c>
      <c r="R697" s="24">
        <f t="shared" si="1405"/>
        <v>347.75</v>
      </c>
      <c r="S697" s="24">
        <f t="shared" si="1405"/>
        <v>376.5</v>
      </c>
      <c r="T697" s="24">
        <f t="shared" si="4"/>
        <v>11</v>
      </c>
      <c r="Z697" s="25">
        <f t="shared" si="12"/>
        <v>25.26232856</v>
      </c>
    </row>
    <row r="698">
      <c r="A698" s="16" t="s">
        <v>35</v>
      </c>
      <c r="B698" s="17">
        <v>97.0</v>
      </c>
      <c r="C698" s="24">
        <f t="shared" si="1214"/>
        <v>37865.24359</v>
      </c>
      <c r="D698" s="25">
        <v>0.05</v>
      </c>
      <c r="E698" s="24">
        <f t="shared" si="1215"/>
        <v>301.1819931</v>
      </c>
      <c r="F698" s="25">
        <v>0.02</v>
      </c>
      <c r="G698" s="24">
        <f t="shared" si="1216"/>
        <v>4868.388462</v>
      </c>
      <c r="H698" s="25">
        <v>0.05</v>
      </c>
      <c r="I698" s="24">
        <f t="shared" si="1217"/>
        <v>0</v>
      </c>
      <c r="J698" s="25">
        <v>0.02</v>
      </c>
      <c r="K698" s="25">
        <v>0.0</v>
      </c>
      <c r="L698" s="24" t="str">
        <f t="shared" ref="L698:O698" si="1406">IF(L697="", "", 1 + MROUND(IFERROR(MINIFS(OFFSET(L697, -1, 0, -$B698, 1), OFFSET(L697, -1, 0, -$B698, 1), "&gt;0"), L697) + (LN(1 + $Z698) ^ U$2) * U$3, 1))</f>
        <v/>
      </c>
      <c r="M698" s="24" t="str">
        <f t="shared" si="1406"/>
        <v/>
      </c>
      <c r="N698" s="24">
        <f t="shared" si="1406"/>
        <v>1415</v>
      </c>
      <c r="O698" s="24">
        <f t="shared" si="1406"/>
        <v>1530</v>
      </c>
      <c r="P698" s="24">
        <f t="shared" ref="P698:S698" si="1407">L698*$Y$2</f>
        <v>0</v>
      </c>
      <c r="Q698" s="24">
        <f t="shared" si="1407"/>
        <v>0</v>
      </c>
      <c r="R698" s="24">
        <f t="shared" si="1407"/>
        <v>353.75</v>
      </c>
      <c r="S698" s="24">
        <f t="shared" si="1407"/>
        <v>382.5</v>
      </c>
      <c r="T698" s="24">
        <f t="shared" si="4"/>
        <v>11</v>
      </c>
      <c r="Z698" s="25">
        <f t="shared" si="12"/>
        <v>26.18151006</v>
      </c>
    </row>
    <row r="699">
      <c r="A699" s="16" t="s">
        <v>35</v>
      </c>
      <c r="B699" s="17">
        <v>98.0</v>
      </c>
      <c r="C699" s="24">
        <f t="shared" si="1214"/>
        <v>39758.50577</v>
      </c>
      <c r="D699" s="25">
        <v>0.05</v>
      </c>
      <c r="E699" s="24">
        <f t="shared" si="1215"/>
        <v>307.2056329</v>
      </c>
      <c r="F699" s="25">
        <v>0.02</v>
      </c>
      <c r="G699" s="24">
        <f t="shared" si="1216"/>
        <v>5111.807885</v>
      </c>
      <c r="H699" s="25">
        <v>0.05</v>
      </c>
      <c r="I699" s="24">
        <f t="shared" si="1217"/>
        <v>0</v>
      </c>
      <c r="J699" s="25">
        <v>0.02</v>
      </c>
      <c r="K699" s="25">
        <v>0.0</v>
      </c>
      <c r="L699" s="24" t="str">
        <f t="shared" ref="L699:O699" si="1408">IF(L698="", "", 1 + MROUND(IFERROR(MINIFS(OFFSET(L698, -1, 0, -$B699, 1), OFFSET(L698, -1, 0, -$B699, 1), "&gt;0"), L698) + (LN(1 + $Z699) ^ U$2) * U$3, 1))</f>
        <v/>
      </c>
      <c r="M699" s="24" t="str">
        <f t="shared" si="1408"/>
        <v/>
      </c>
      <c r="N699" s="24">
        <f t="shared" si="1408"/>
        <v>1439</v>
      </c>
      <c r="O699" s="24">
        <f t="shared" si="1408"/>
        <v>1554</v>
      </c>
      <c r="P699" s="24">
        <f t="shared" ref="P699:S699" si="1409">L699*$Y$2</f>
        <v>0</v>
      </c>
      <c r="Q699" s="24">
        <f t="shared" si="1409"/>
        <v>0</v>
      </c>
      <c r="R699" s="24">
        <f t="shared" si="1409"/>
        <v>359.75</v>
      </c>
      <c r="S699" s="24">
        <f t="shared" si="1409"/>
        <v>388.5</v>
      </c>
      <c r="T699" s="24">
        <f t="shared" si="4"/>
        <v>11</v>
      </c>
      <c r="Z699" s="25">
        <f t="shared" si="12"/>
        <v>27.13286291</v>
      </c>
    </row>
    <row r="700">
      <c r="A700" s="16" t="s">
        <v>35</v>
      </c>
      <c r="B700" s="17">
        <v>99.0</v>
      </c>
      <c r="C700" s="24">
        <f t="shared" si="1214"/>
        <v>41746.43106</v>
      </c>
      <c r="D700" s="25">
        <v>0.05</v>
      </c>
      <c r="E700" s="24">
        <f t="shared" si="1215"/>
        <v>313.3497456</v>
      </c>
      <c r="F700" s="25">
        <v>0.02</v>
      </c>
      <c r="G700" s="24">
        <f t="shared" si="1216"/>
        <v>5367.398279</v>
      </c>
      <c r="H700" s="25">
        <v>0.05</v>
      </c>
      <c r="I700" s="24">
        <f t="shared" si="1217"/>
        <v>0</v>
      </c>
      <c r="J700" s="25">
        <v>0.02</v>
      </c>
      <c r="K700" s="25">
        <v>0.0</v>
      </c>
      <c r="L700" s="24" t="str">
        <f t="shared" ref="L700:O700" si="1410">IF(L699="", "", 1 + MROUND(IFERROR(MINIFS(OFFSET(L699, -1, 0, -$B700, 1), OFFSET(L699, -1, 0, -$B700, 1), "&gt;0"), L699) + (LN(1 + $Z700) ^ U$2) * U$3, 1))</f>
        <v/>
      </c>
      <c r="M700" s="24" t="str">
        <f t="shared" si="1410"/>
        <v/>
      </c>
      <c r="N700" s="24">
        <f t="shared" si="1410"/>
        <v>1463</v>
      </c>
      <c r="O700" s="24">
        <f t="shared" si="1410"/>
        <v>1578</v>
      </c>
      <c r="P700" s="24">
        <f t="shared" ref="P700:S700" si="1411">L700*$Y$2</f>
        <v>0</v>
      </c>
      <c r="Q700" s="24">
        <f t="shared" si="1411"/>
        <v>0</v>
      </c>
      <c r="R700" s="24">
        <f t="shared" si="1411"/>
        <v>365.75</v>
      </c>
      <c r="S700" s="24">
        <f t="shared" si="1411"/>
        <v>394.5</v>
      </c>
      <c r="T700" s="24">
        <f t="shared" si="4"/>
        <v>11</v>
      </c>
      <c r="Z700" s="25">
        <f t="shared" si="12"/>
        <v>28.11751311</v>
      </c>
    </row>
    <row r="701">
      <c r="A701" s="16" t="s">
        <v>35</v>
      </c>
      <c r="B701" s="17">
        <v>100.0</v>
      </c>
      <c r="C701" s="24">
        <f t="shared" si="1214"/>
        <v>43833.75262</v>
      </c>
      <c r="D701" s="25">
        <v>0.05</v>
      </c>
      <c r="E701" s="24">
        <f t="shared" si="1215"/>
        <v>319.6167405</v>
      </c>
      <c r="F701" s="25">
        <v>0.02</v>
      </c>
      <c r="G701" s="24">
        <f t="shared" si="1216"/>
        <v>5635.768193</v>
      </c>
      <c r="H701" s="25">
        <v>0.05</v>
      </c>
      <c r="I701" s="24">
        <f t="shared" si="1217"/>
        <v>0</v>
      </c>
      <c r="J701" s="25">
        <v>0.02</v>
      </c>
      <c r="K701" s="25">
        <v>0.0</v>
      </c>
      <c r="L701" s="24">
        <f>N701*100</f>
        <v>148800</v>
      </c>
      <c r="M701" s="24" t="str">
        <f t="shared" ref="M701:O701" si="1412">IF(M700="", "", 1 + MROUND(IFERROR(MINIFS(OFFSET(M700, -1, 0, -$B701, 1), OFFSET(M700, -1, 0, -$B701, 1), "&gt;0"), M700) + (LN(1 + $Z701) ^ V$2) * V$3, 1))</f>
        <v/>
      </c>
      <c r="N701" s="24">
        <f t="shared" si="1412"/>
        <v>1488</v>
      </c>
      <c r="O701" s="24">
        <f t="shared" si="1412"/>
        <v>1603</v>
      </c>
      <c r="P701" s="24">
        <f t="shared" ref="P701:S701" si="1413">L701*$Y$2</f>
        <v>37200</v>
      </c>
      <c r="Q701" s="24">
        <f t="shared" si="1413"/>
        <v>0</v>
      </c>
      <c r="R701" s="24">
        <f t="shared" si="1413"/>
        <v>372</v>
      </c>
      <c r="S701" s="24">
        <f t="shared" si="1413"/>
        <v>400.75</v>
      </c>
      <c r="T701" s="24">
        <f t="shared" si="4"/>
        <v>11</v>
      </c>
      <c r="Z701" s="25">
        <f t="shared" si="12"/>
        <v>29.13662607</v>
      </c>
    </row>
    <row r="702">
      <c r="A702" s="16" t="s">
        <v>35</v>
      </c>
      <c r="B702" s="17">
        <v>101.0</v>
      </c>
      <c r="C702" s="24">
        <f t="shared" si="1214"/>
        <v>46025.44025</v>
      </c>
      <c r="D702" s="25">
        <v>0.05</v>
      </c>
      <c r="E702" s="24">
        <f t="shared" si="1215"/>
        <v>326.0090753</v>
      </c>
      <c r="F702" s="25">
        <v>0.02</v>
      </c>
      <c r="G702" s="24">
        <f t="shared" si="1216"/>
        <v>5917.556603</v>
      </c>
      <c r="H702" s="25">
        <v>0.05</v>
      </c>
      <c r="I702" s="24">
        <f t="shared" si="1217"/>
        <v>0</v>
      </c>
      <c r="J702" s="25">
        <v>0.02</v>
      </c>
      <c r="K702" s="25">
        <v>0.0</v>
      </c>
      <c r="L702" s="24">
        <f t="shared" ref="L702:O702" si="1414">IF(L701="", "", 1 + MROUND(IFERROR(MINIFS(OFFSET(L701, -1, 0, -$B702, 1), OFFSET(L701, -1, 0, -$B702, 1), "&gt;0"), L701) + (LN(1 + $Z702) ^ U$2) * U$3, 1))</f>
        <v>149395</v>
      </c>
      <c r="M702" s="24" t="str">
        <f t="shared" si="1414"/>
        <v/>
      </c>
      <c r="N702" s="24">
        <f t="shared" si="1414"/>
        <v>1513</v>
      </c>
      <c r="O702" s="24">
        <f t="shared" si="1414"/>
        <v>1628</v>
      </c>
      <c r="P702" s="24">
        <f t="shared" ref="P702:S702" si="1415">L702*$Y$2</f>
        <v>37348.75</v>
      </c>
      <c r="Q702" s="24">
        <f t="shared" si="1415"/>
        <v>0</v>
      </c>
      <c r="R702" s="24">
        <f t="shared" si="1415"/>
        <v>378.25</v>
      </c>
      <c r="S702" s="24">
        <f t="shared" si="1415"/>
        <v>407</v>
      </c>
      <c r="T702" s="24">
        <f t="shared" si="4"/>
        <v>11</v>
      </c>
      <c r="Z702" s="25">
        <f t="shared" si="12"/>
        <v>30.19140798</v>
      </c>
    </row>
    <row r="703">
      <c r="A703" s="16" t="s">
        <v>35</v>
      </c>
      <c r="B703" s="17">
        <v>102.0</v>
      </c>
      <c r="C703" s="24">
        <f t="shared" si="1214"/>
        <v>48326.71226</v>
      </c>
      <c r="D703" s="25">
        <v>0.05</v>
      </c>
      <c r="E703" s="24">
        <f t="shared" si="1215"/>
        <v>332.5292568</v>
      </c>
      <c r="F703" s="25">
        <v>0.02</v>
      </c>
      <c r="G703" s="24">
        <f t="shared" si="1216"/>
        <v>6213.434433</v>
      </c>
      <c r="H703" s="25">
        <v>0.05</v>
      </c>
      <c r="I703" s="24">
        <f t="shared" si="1217"/>
        <v>0</v>
      </c>
      <c r="J703" s="25">
        <v>0.02</v>
      </c>
      <c r="K703" s="25">
        <v>0.0</v>
      </c>
      <c r="L703" s="24">
        <f t="shared" ref="L703:O703" si="1416">IF(L702="", "", 1 + MROUND(IFERROR(MINIFS(OFFSET(L702, -1, 0, -$B703, 1), OFFSET(L702, -1, 0, -$B703, 1), "&gt;0"), L702) + (LN(1 + $Z703) ^ U$2) * U$3, 1))</f>
        <v>149994</v>
      </c>
      <c r="M703" s="24" t="str">
        <f t="shared" si="1416"/>
        <v/>
      </c>
      <c r="N703" s="24">
        <f t="shared" si="1416"/>
        <v>1538</v>
      </c>
      <c r="O703" s="24">
        <f t="shared" si="1416"/>
        <v>1653</v>
      </c>
      <c r="P703" s="24">
        <f t="shared" ref="P703:S703" si="1417">L703*$Y$2</f>
        <v>37498.5</v>
      </c>
      <c r="Q703" s="24">
        <f t="shared" si="1417"/>
        <v>0</v>
      </c>
      <c r="R703" s="24">
        <f t="shared" si="1417"/>
        <v>384.5</v>
      </c>
      <c r="S703" s="24">
        <f t="shared" si="1417"/>
        <v>413.25</v>
      </c>
      <c r="T703" s="24">
        <f t="shared" si="4"/>
        <v>11</v>
      </c>
      <c r="Z703" s="25">
        <f t="shared" si="12"/>
        <v>31.28310726</v>
      </c>
    </row>
    <row r="704">
      <c r="A704" s="16" t="s">
        <v>35</v>
      </c>
      <c r="B704" s="17">
        <v>103.0</v>
      </c>
      <c r="C704" s="24">
        <f t="shared" si="1214"/>
        <v>50743.04787</v>
      </c>
      <c r="D704" s="25">
        <v>0.05</v>
      </c>
      <c r="E704" s="24">
        <f t="shared" si="1215"/>
        <v>339.179842</v>
      </c>
      <c r="F704" s="25">
        <v>0.02</v>
      </c>
      <c r="G704" s="24">
        <f t="shared" si="1216"/>
        <v>6524.106155</v>
      </c>
      <c r="H704" s="25">
        <v>0.05</v>
      </c>
      <c r="I704" s="24">
        <f t="shared" si="1217"/>
        <v>0</v>
      </c>
      <c r="J704" s="25">
        <v>0.02</v>
      </c>
      <c r="K704" s="25">
        <v>0.0</v>
      </c>
      <c r="L704" s="24">
        <f t="shared" ref="L704:O704" si="1418">IF(L703="", "", 1 + MROUND(IFERROR(MINIFS(OFFSET(L703, -1, 0, -$B704, 1), OFFSET(L703, -1, 0, -$B704, 1), "&gt;0"), L703) + (LN(1 + $Z704) ^ U$2) * U$3, 1))</f>
        <v>150597</v>
      </c>
      <c r="M704" s="24" t="str">
        <f t="shared" si="1418"/>
        <v/>
      </c>
      <c r="N704" s="24">
        <f t="shared" si="1418"/>
        <v>1563</v>
      </c>
      <c r="O704" s="24">
        <f t="shared" si="1418"/>
        <v>1678</v>
      </c>
      <c r="P704" s="24">
        <f t="shared" ref="P704:S704" si="1419">L704*$Y$2</f>
        <v>37649.25</v>
      </c>
      <c r="Q704" s="24">
        <f t="shared" si="1419"/>
        <v>0</v>
      </c>
      <c r="R704" s="24">
        <f t="shared" si="1419"/>
        <v>390.75</v>
      </c>
      <c r="S704" s="24">
        <f t="shared" si="1419"/>
        <v>419.5</v>
      </c>
      <c r="T704" s="24">
        <f t="shared" si="4"/>
        <v>11</v>
      </c>
      <c r="Z704" s="25">
        <f t="shared" si="12"/>
        <v>32.41301602</v>
      </c>
    </row>
    <row r="705">
      <c r="A705" s="16" t="s">
        <v>35</v>
      </c>
      <c r="B705" s="17">
        <v>104.0</v>
      </c>
      <c r="C705" s="24">
        <f t="shared" si="1214"/>
        <v>53280.20027</v>
      </c>
      <c r="D705" s="25">
        <v>0.05</v>
      </c>
      <c r="E705" s="24">
        <f t="shared" si="1215"/>
        <v>345.9634388</v>
      </c>
      <c r="F705" s="25">
        <v>0.02</v>
      </c>
      <c r="G705" s="24">
        <f t="shared" si="1216"/>
        <v>6850.311463</v>
      </c>
      <c r="H705" s="25">
        <v>0.05</v>
      </c>
      <c r="I705" s="24">
        <f t="shared" si="1217"/>
        <v>0</v>
      </c>
      <c r="J705" s="25">
        <v>0.02</v>
      </c>
      <c r="K705" s="25">
        <v>0.0</v>
      </c>
      <c r="L705" s="24">
        <f t="shared" ref="L705:O705" si="1420">IF(L704="", "", 1 + MROUND(IFERROR(MINIFS(OFFSET(L704, -1, 0, -$B705, 1), OFFSET(L704, -1, 0, -$B705, 1), "&gt;0"), L704) + (LN(1 + $Z705) ^ U$2) * U$3, 1))</f>
        <v>151204</v>
      </c>
      <c r="M705" s="24" t="str">
        <f t="shared" si="1420"/>
        <v/>
      </c>
      <c r="N705" s="24">
        <f t="shared" si="1420"/>
        <v>1588</v>
      </c>
      <c r="O705" s="24">
        <f t="shared" si="1420"/>
        <v>1703</v>
      </c>
      <c r="P705" s="24">
        <f t="shared" ref="P705:S705" si="1421">L705*$Y$2</f>
        <v>37801</v>
      </c>
      <c r="Q705" s="24">
        <f t="shared" si="1421"/>
        <v>0</v>
      </c>
      <c r="R705" s="24">
        <f t="shared" si="1421"/>
        <v>397</v>
      </c>
      <c r="S705" s="24">
        <f t="shared" si="1421"/>
        <v>425.75</v>
      </c>
      <c r="T705" s="24">
        <f t="shared" si="4"/>
        <v>11</v>
      </c>
      <c r="Z705" s="25">
        <f t="shared" si="12"/>
        <v>33.58247158</v>
      </c>
    </row>
    <row r="706">
      <c r="A706" s="16" t="s">
        <v>35</v>
      </c>
      <c r="B706" s="17">
        <v>105.0</v>
      </c>
      <c r="C706" s="24">
        <f t="shared" si="1214"/>
        <v>55944.21028</v>
      </c>
      <c r="D706" s="25">
        <v>0.05</v>
      </c>
      <c r="E706" s="24">
        <f t="shared" si="1215"/>
        <v>352.8827076</v>
      </c>
      <c r="F706" s="25">
        <v>0.02</v>
      </c>
      <c r="G706" s="24">
        <f t="shared" si="1216"/>
        <v>7192.827036</v>
      </c>
      <c r="H706" s="25">
        <v>0.05</v>
      </c>
      <c r="I706" s="24">
        <f t="shared" si="1217"/>
        <v>0</v>
      </c>
      <c r="J706" s="25">
        <v>0.02</v>
      </c>
      <c r="K706" s="25">
        <v>0.0</v>
      </c>
      <c r="L706" s="24">
        <f t="shared" ref="L706:O706" si="1422">IF(L705="", "", 1 + MROUND(IFERROR(MINIFS(OFFSET(L705, -1, 0, -$B706, 1), OFFSET(L705, -1, 0, -$B706, 1), "&gt;0"), L705) + (LN(1 + $Z706) ^ U$2) * U$3, 1))</f>
        <v>151815</v>
      </c>
      <c r="M706" s="24" t="str">
        <f t="shared" si="1422"/>
        <v/>
      </c>
      <c r="N706" s="24">
        <f t="shared" si="1422"/>
        <v>1613</v>
      </c>
      <c r="O706" s="24">
        <f t="shared" si="1422"/>
        <v>1728</v>
      </c>
      <c r="P706" s="24">
        <f t="shared" ref="P706:S706" si="1423">L706*$Y$2</f>
        <v>37953.75</v>
      </c>
      <c r="Q706" s="24">
        <f t="shared" si="1423"/>
        <v>0</v>
      </c>
      <c r="R706" s="24">
        <f t="shared" si="1423"/>
        <v>403.25</v>
      </c>
      <c r="S706" s="24">
        <f t="shared" si="1423"/>
        <v>432</v>
      </c>
      <c r="T706" s="24">
        <f t="shared" si="4"/>
        <v>12</v>
      </c>
      <c r="Z706" s="25">
        <f t="shared" si="12"/>
        <v>34.79285808</v>
      </c>
    </row>
    <row r="707">
      <c r="A707" s="16" t="s">
        <v>35</v>
      </c>
      <c r="B707" s="17">
        <v>106.0</v>
      </c>
      <c r="C707" s="24">
        <f t="shared" si="1214"/>
        <v>58741.42079</v>
      </c>
      <c r="D707" s="25">
        <v>0.05</v>
      </c>
      <c r="E707" s="24">
        <f t="shared" si="1215"/>
        <v>359.9403617</v>
      </c>
      <c r="F707" s="25">
        <v>0.02</v>
      </c>
      <c r="G707" s="24">
        <f t="shared" si="1216"/>
        <v>7552.468388</v>
      </c>
      <c r="H707" s="25">
        <v>0.05</v>
      </c>
      <c r="I707" s="24">
        <f t="shared" si="1217"/>
        <v>0</v>
      </c>
      <c r="J707" s="25">
        <v>0.02</v>
      </c>
      <c r="K707" s="25">
        <v>0.0</v>
      </c>
      <c r="L707" s="24">
        <f t="shared" ref="L707:O707" si="1424">IF(L706="", "", 1 + MROUND(IFERROR(MINIFS(OFFSET(L706, -1, 0, -$B707, 1), OFFSET(L706, -1, 0, -$B707, 1), "&gt;0"), L706) + (LN(1 + $Z707) ^ U$2) * U$3, 1))</f>
        <v>152430</v>
      </c>
      <c r="M707" s="24" t="str">
        <f t="shared" si="1424"/>
        <v/>
      </c>
      <c r="N707" s="24">
        <f t="shared" si="1424"/>
        <v>1639</v>
      </c>
      <c r="O707" s="24">
        <f t="shared" si="1424"/>
        <v>1754</v>
      </c>
      <c r="P707" s="24">
        <f t="shared" ref="P707:S707" si="1425">L707*$Y$2</f>
        <v>38107.5</v>
      </c>
      <c r="Q707" s="24">
        <f t="shared" si="1425"/>
        <v>0</v>
      </c>
      <c r="R707" s="24">
        <f t="shared" si="1425"/>
        <v>409.75</v>
      </c>
      <c r="S707" s="24">
        <f t="shared" si="1425"/>
        <v>438.5</v>
      </c>
      <c r="T707" s="24">
        <f t="shared" si="4"/>
        <v>12</v>
      </c>
      <c r="Z707" s="25">
        <f t="shared" si="12"/>
        <v>36.04560812</v>
      </c>
    </row>
    <row r="708">
      <c r="A708" s="16" t="s">
        <v>35</v>
      </c>
      <c r="B708" s="17">
        <v>107.0</v>
      </c>
      <c r="C708" s="24">
        <f t="shared" si="1214"/>
        <v>61678.49183</v>
      </c>
      <c r="D708" s="25">
        <v>0.05</v>
      </c>
      <c r="E708" s="24">
        <f t="shared" si="1215"/>
        <v>367.139169</v>
      </c>
      <c r="F708" s="25">
        <v>0.02</v>
      </c>
      <c r="G708" s="24">
        <f t="shared" si="1216"/>
        <v>7930.091807</v>
      </c>
      <c r="H708" s="25">
        <v>0.05</v>
      </c>
      <c r="I708" s="24">
        <f t="shared" si="1217"/>
        <v>0</v>
      </c>
      <c r="J708" s="25">
        <v>0.02</v>
      </c>
      <c r="K708" s="25">
        <v>0.0</v>
      </c>
      <c r="L708" s="24">
        <f t="shared" ref="L708:O708" si="1426">IF(L707="", "", 1 + MROUND(IFERROR(MINIFS(OFFSET(L707, -1, 0, -$B708, 1), OFFSET(L707, -1, 0, -$B708, 1), "&gt;0"), L707) + (LN(1 + $Z708) ^ U$2) * U$3, 1))</f>
        <v>153049</v>
      </c>
      <c r="M708" s="24" t="str">
        <f t="shared" si="1426"/>
        <v/>
      </c>
      <c r="N708" s="24">
        <f t="shared" si="1426"/>
        <v>1665</v>
      </c>
      <c r="O708" s="24">
        <f t="shared" si="1426"/>
        <v>1780</v>
      </c>
      <c r="P708" s="24">
        <f t="shared" ref="P708:S708" si="1427">L708*$Y$2</f>
        <v>38262.25</v>
      </c>
      <c r="Q708" s="24">
        <f t="shared" si="1427"/>
        <v>0</v>
      </c>
      <c r="R708" s="24">
        <f t="shared" si="1427"/>
        <v>416.25</v>
      </c>
      <c r="S708" s="24">
        <f t="shared" si="1427"/>
        <v>445</v>
      </c>
      <c r="T708" s="24">
        <f t="shared" si="4"/>
        <v>12</v>
      </c>
      <c r="Z708" s="25">
        <f t="shared" si="12"/>
        <v>37.3422044</v>
      </c>
    </row>
    <row r="709">
      <c r="A709" s="16" t="s">
        <v>35</v>
      </c>
      <c r="B709" s="17">
        <v>108.0</v>
      </c>
      <c r="C709" s="24">
        <f t="shared" si="1214"/>
        <v>64762.41642</v>
      </c>
      <c r="D709" s="25">
        <v>0.05</v>
      </c>
      <c r="E709" s="24">
        <f t="shared" si="1215"/>
        <v>374.4819523</v>
      </c>
      <c r="F709" s="25">
        <v>0.02</v>
      </c>
      <c r="G709" s="24">
        <f t="shared" si="1216"/>
        <v>8326.596397</v>
      </c>
      <c r="H709" s="25">
        <v>0.05</v>
      </c>
      <c r="I709" s="24">
        <f t="shared" si="1217"/>
        <v>0</v>
      </c>
      <c r="J709" s="25">
        <v>0.02</v>
      </c>
      <c r="K709" s="25">
        <v>0.0</v>
      </c>
      <c r="L709" s="24">
        <f t="shared" ref="L709:O709" si="1428">IF(L708="", "", 1 + MROUND(IFERROR(MINIFS(OFFSET(L708, -1, 0, -$B709, 1), OFFSET(L708, -1, 0, -$B709, 1), "&gt;0"), L708) + (LN(1 + $Z709) ^ U$2) * U$3, 1))</f>
        <v>153672</v>
      </c>
      <c r="M709" s="24" t="str">
        <f t="shared" si="1428"/>
        <v/>
      </c>
      <c r="N709" s="24">
        <f t="shared" si="1428"/>
        <v>1691</v>
      </c>
      <c r="O709" s="24">
        <f t="shared" si="1428"/>
        <v>1806</v>
      </c>
      <c r="P709" s="24">
        <f t="shared" ref="P709:S709" si="1429">L709*$Y$2</f>
        <v>38418</v>
      </c>
      <c r="Q709" s="24">
        <f t="shared" si="1429"/>
        <v>0</v>
      </c>
      <c r="R709" s="24">
        <f t="shared" si="1429"/>
        <v>422.75</v>
      </c>
      <c r="S709" s="24">
        <f t="shared" si="1429"/>
        <v>451.5</v>
      </c>
      <c r="T709" s="24">
        <f t="shared" si="4"/>
        <v>12</v>
      </c>
      <c r="Z709" s="25">
        <f t="shared" si="12"/>
        <v>38.68418155</v>
      </c>
    </row>
    <row r="710">
      <c r="A710" s="16" t="s">
        <v>35</v>
      </c>
      <c r="B710" s="17">
        <v>109.0</v>
      </c>
      <c r="C710" s="24">
        <f t="shared" si="1214"/>
        <v>68000.53724</v>
      </c>
      <c r="D710" s="25">
        <v>0.05</v>
      </c>
      <c r="E710" s="24">
        <f t="shared" si="1215"/>
        <v>381.9715914</v>
      </c>
      <c r="F710" s="25">
        <v>0.02</v>
      </c>
      <c r="G710" s="24">
        <f t="shared" si="1216"/>
        <v>8742.926217</v>
      </c>
      <c r="H710" s="25">
        <v>0.05</v>
      </c>
      <c r="I710" s="24">
        <f t="shared" si="1217"/>
        <v>0</v>
      </c>
      <c r="J710" s="25">
        <v>0.02</v>
      </c>
      <c r="K710" s="25">
        <v>0.0</v>
      </c>
      <c r="L710" s="24">
        <f t="shared" ref="L710:O710" si="1430">IF(L709="", "", 1 + MROUND(IFERROR(MINIFS(OFFSET(L709, -1, 0, -$B710, 1), OFFSET(L709, -1, 0, -$B710, 1), "&gt;0"), L709) + (LN(1 + $Z710) ^ U$2) * U$3, 1))</f>
        <v>154300</v>
      </c>
      <c r="M710" s="24" t="str">
        <f t="shared" si="1430"/>
        <v/>
      </c>
      <c r="N710" s="24">
        <f t="shared" si="1430"/>
        <v>1717</v>
      </c>
      <c r="O710" s="24">
        <f t="shared" si="1430"/>
        <v>1832</v>
      </c>
      <c r="P710" s="24">
        <f t="shared" ref="P710:S710" si="1431">L710*$Y$2</f>
        <v>38575</v>
      </c>
      <c r="Q710" s="24">
        <f t="shared" si="1431"/>
        <v>0</v>
      </c>
      <c r="R710" s="24">
        <f t="shared" si="1431"/>
        <v>429.25</v>
      </c>
      <c r="S710" s="24">
        <f t="shared" si="1431"/>
        <v>458</v>
      </c>
      <c r="T710" s="24">
        <f t="shared" si="4"/>
        <v>12</v>
      </c>
      <c r="Z710" s="25">
        <f t="shared" si="12"/>
        <v>40.07312791</v>
      </c>
    </row>
    <row r="711">
      <c r="A711" s="16" t="s">
        <v>35</v>
      </c>
      <c r="B711" s="17">
        <v>110.0</v>
      </c>
      <c r="C711" s="24">
        <f t="shared" si="1214"/>
        <v>71400.56411</v>
      </c>
      <c r="D711" s="25">
        <v>0.05</v>
      </c>
      <c r="E711" s="24">
        <f t="shared" si="1215"/>
        <v>389.6110232</v>
      </c>
      <c r="F711" s="25">
        <v>0.02</v>
      </c>
      <c r="G711" s="24">
        <f t="shared" si="1216"/>
        <v>9180.072528</v>
      </c>
      <c r="H711" s="25">
        <v>0.05</v>
      </c>
      <c r="I711" s="24">
        <f t="shared" si="1217"/>
        <v>0</v>
      </c>
      <c r="J711" s="25">
        <v>0.02</v>
      </c>
      <c r="K711" s="25">
        <v>0.0</v>
      </c>
      <c r="L711" s="24">
        <f t="shared" ref="L711:O711" si="1432">IF(L710="", "", 1 + MROUND(IFERROR(MINIFS(OFFSET(L710, -1, 0, -$B711, 1), OFFSET(L710, -1, 0, -$B711, 1), "&gt;0"), L710) + (LN(1 + $Z711) ^ U$2) * U$3, 1))</f>
        <v>154932</v>
      </c>
      <c r="M711" s="24" t="str">
        <f t="shared" si="1432"/>
        <v/>
      </c>
      <c r="N711" s="24">
        <f t="shared" si="1432"/>
        <v>1743</v>
      </c>
      <c r="O711" s="24">
        <f t="shared" si="1432"/>
        <v>1858</v>
      </c>
      <c r="P711" s="24">
        <f t="shared" ref="P711:S711" si="1433">L711*$Y$2</f>
        <v>38733</v>
      </c>
      <c r="Q711" s="24">
        <f t="shared" si="1433"/>
        <v>0</v>
      </c>
      <c r="R711" s="24">
        <f t="shared" si="1433"/>
        <v>435.75</v>
      </c>
      <c r="S711" s="24">
        <f t="shared" si="1433"/>
        <v>464.5</v>
      </c>
      <c r="T711" s="24">
        <f t="shared" si="4"/>
        <v>12</v>
      </c>
      <c r="Z711" s="25">
        <f t="shared" si="12"/>
        <v>41.51068738</v>
      </c>
    </row>
    <row r="712">
      <c r="A712" s="16" t="s">
        <v>35</v>
      </c>
      <c r="B712" s="17">
        <v>111.0</v>
      </c>
      <c r="C712" s="24">
        <f t="shared" si="1214"/>
        <v>74970.59231</v>
      </c>
      <c r="D712" s="25">
        <v>0.05</v>
      </c>
      <c r="E712" s="24">
        <f t="shared" si="1215"/>
        <v>397.4032437</v>
      </c>
      <c r="F712" s="25">
        <v>0.02</v>
      </c>
      <c r="G712" s="24">
        <f t="shared" si="1216"/>
        <v>9639.076154</v>
      </c>
      <c r="H712" s="25">
        <v>0.05</v>
      </c>
      <c r="I712" s="24">
        <f t="shared" si="1217"/>
        <v>0</v>
      </c>
      <c r="J712" s="25">
        <v>0.02</v>
      </c>
      <c r="K712" s="25">
        <v>0.0</v>
      </c>
      <c r="L712" s="24">
        <f t="shared" ref="L712:O712" si="1434">IF(L711="", "", 1 + MROUND(IFERROR(MINIFS(OFFSET(L711, -1, 0, -$B712, 1), OFFSET(L711, -1, 0, -$B712, 1), "&gt;0"), L711) + (LN(1 + $Z712) ^ U$2) * U$3, 1))</f>
        <v>155568</v>
      </c>
      <c r="M712" s="24" t="str">
        <f t="shared" si="1434"/>
        <v/>
      </c>
      <c r="N712" s="24">
        <f t="shared" si="1434"/>
        <v>1769</v>
      </c>
      <c r="O712" s="24">
        <f t="shared" si="1434"/>
        <v>1884</v>
      </c>
      <c r="P712" s="24">
        <f t="shared" ref="P712:S712" si="1435">L712*$Y$2</f>
        <v>38892</v>
      </c>
      <c r="Q712" s="24">
        <f t="shared" si="1435"/>
        <v>0</v>
      </c>
      <c r="R712" s="24">
        <f t="shared" si="1435"/>
        <v>442.25</v>
      </c>
      <c r="S712" s="24">
        <f t="shared" si="1435"/>
        <v>471</v>
      </c>
      <c r="T712" s="24">
        <f t="shared" si="4"/>
        <v>12</v>
      </c>
      <c r="Z712" s="25">
        <f t="shared" si="12"/>
        <v>42.99856144</v>
      </c>
    </row>
    <row r="713">
      <c r="A713" s="16" t="s">
        <v>35</v>
      </c>
      <c r="B713" s="17">
        <v>112.0</v>
      </c>
      <c r="C713" s="24">
        <f t="shared" si="1214"/>
        <v>78719.12193</v>
      </c>
      <c r="D713" s="25">
        <v>0.05</v>
      </c>
      <c r="E713" s="24">
        <f t="shared" si="1215"/>
        <v>405.3513086</v>
      </c>
      <c r="F713" s="25">
        <v>0.02</v>
      </c>
      <c r="G713" s="24">
        <f t="shared" si="1216"/>
        <v>10121.02996</v>
      </c>
      <c r="H713" s="25">
        <v>0.05</v>
      </c>
      <c r="I713" s="24">
        <f t="shared" si="1217"/>
        <v>0</v>
      </c>
      <c r="J713" s="25">
        <v>0.02</v>
      </c>
      <c r="K713" s="25">
        <v>0.0</v>
      </c>
      <c r="L713" s="24">
        <f t="shared" ref="L713:O713" si="1436">IF(L712="", "", 1 + MROUND(IFERROR(MINIFS(OFFSET(L712, -1, 0, -$B713, 1), OFFSET(L712, -1, 0, -$B713, 1), "&gt;0"), L712) + (LN(1 + $Z713) ^ U$2) * U$3, 1))</f>
        <v>156208</v>
      </c>
      <c r="M713" s="24" t="str">
        <f t="shared" si="1436"/>
        <v/>
      </c>
      <c r="N713" s="24">
        <f t="shared" si="1436"/>
        <v>1796</v>
      </c>
      <c r="O713" s="24">
        <f t="shared" si="1436"/>
        <v>1911</v>
      </c>
      <c r="P713" s="24">
        <f t="shared" ref="P713:S713" si="1437">L713*$Y$2</f>
        <v>39052</v>
      </c>
      <c r="Q713" s="24">
        <f t="shared" si="1437"/>
        <v>0</v>
      </c>
      <c r="R713" s="24">
        <f t="shared" si="1437"/>
        <v>449</v>
      </c>
      <c r="S713" s="24">
        <f t="shared" si="1437"/>
        <v>477.75</v>
      </c>
      <c r="T713" s="24">
        <f t="shared" si="4"/>
        <v>12</v>
      </c>
      <c r="Z713" s="25">
        <f t="shared" si="12"/>
        <v>44.53851109</v>
      </c>
    </row>
    <row r="714">
      <c r="A714" s="16" t="s">
        <v>35</v>
      </c>
      <c r="B714" s="17">
        <v>113.0</v>
      </c>
      <c r="C714" s="24">
        <f t="shared" si="1214"/>
        <v>82655.07802</v>
      </c>
      <c r="D714" s="25">
        <v>0.05</v>
      </c>
      <c r="E714" s="24">
        <f t="shared" si="1215"/>
        <v>413.4583347</v>
      </c>
      <c r="F714" s="25">
        <v>0.02</v>
      </c>
      <c r="G714" s="24">
        <f t="shared" si="1216"/>
        <v>10627.08146</v>
      </c>
      <c r="H714" s="25">
        <v>0.05</v>
      </c>
      <c r="I714" s="24">
        <f t="shared" si="1217"/>
        <v>0</v>
      </c>
      <c r="J714" s="25">
        <v>0.02</v>
      </c>
      <c r="K714" s="25">
        <v>0.0</v>
      </c>
      <c r="L714" s="24">
        <f t="shared" ref="L714:O714" si="1438">IF(L713="", "", 1 + MROUND(IFERROR(MINIFS(OFFSET(L713, -1, 0, -$B714, 1), OFFSET(L713, -1, 0, -$B714, 1), "&gt;0"), L713) + (LN(1 + $Z714) ^ U$2) * U$3, 1))</f>
        <v>156852</v>
      </c>
      <c r="M714" s="24" t="str">
        <f t="shared" si="1438"/>
        <v/>
      </c>
      <c r="N714" s="24">
        <f t="shared" si="1438"/>
        <v>1823</v>
      </c>
      <c r="O714" s="24">
        <f t="shared" si="1438"/>
        <v>1938</v>
      </c>
      <c r="P714" s="24">
        <f t="shared" ref="P714:S714" si="1439">L714*$Y$2</f>
        <v>39213</v>
      </c>
      <c r="Q714" s="24">
        <f t="shared" si="1439"/>
        <v>0</v>
      </c>
      <c r="R714" s="24">
        <f t="shared" si="1439"/>
        <v>455.75</v>
      </c>
      <c r="S714" s="24">
        <f t="shared" si="1439"/>
        <v>484.5</v>
      </c>
      <c r="T714" s="24">
        <f t="shared" si="4"/>
        <v>12</v>
      </c>
      <c r="Z714" s="25">
        <f t="shared" si="12"/>
        <v>46.13235898</v>
      </c>
    </row>
    <row r="715">
      <c r="A715" s="16" t="s">
        <v>35</v>
      </c>
      <c r="B715" s="17">
        <v>114.0</v>
      </c>
      <c r="C715" s="24">
        <f t="shared" si="1214"/>
        <v>86787.83193</v>
      </c>
      <c r="D715" s="25">
        <v>0.05</v>
      </c>
      <c r="E715" s="24">
        <f t="shared" si="1215"/>
        <v>421.7275014</v>
      </c>
      <c r="F715" s="25">
        <v>0.02</v>
      </c>
      <c r="G715" s="24">
        <f t="shared" si="1216"/>
        <v>11158.43553</v>
      </c>
      <c r="H715" s="25">
        <v>0.05</v>
      </c>
      <c r="I715" s="24">
        <f t="shared" si="1217"/>
        <v>0</v>
      </c>
      <c r="J715" s="25">
        <v>0.02</v>
      </c>
      <c r="K715" s="25">
        <v>0.0</v>
      </c>
      <c r="L715" s="24">
        <f t="shared" ref="L715:O715" si="1440">IF(L714="", "", 1 + MROUND(IFERROR(MINIFS(OFFSET(L714, -1, 0, -$B715, 1), OFFSET(L714, -1, 0, -$B715, 1), "&gt;0"), L714) + (LN(1 + $Z715) ^ U$2) * U$3, 1))</f>
        <v>157500</v>
      </c>
      <c r="M715" s="24" t="str">
        <f t="shared" si="1440"/>
        <v/>
      </c>
      <c r="N715" s="24">
        <f t="shared" si="1440"/>
        <v>1850</v>
      </c>
      <c r="O715" s="24">
        <f t="shared" si="1440"/>
        <v>1965</v>
      </c>
      <c r="P715" s="24">
        <f t="shared" ref="P715:S715" si="1441">L715*$Y$2</f>
        <v>39375</v>
      </c>
      <c r="Q715" s="24">
        <f t="shared" si="1441"/>
        <v>0</v>
      </c>
      <c r="R715" s="24">
        <f t="shared" si="1441"/>
        <v>462.5</v>
      </c>
      <c r="S715" s="24">
        <f t="shared" si="1441"/>
        <v>491.25</v>
      </c>
      <c r="T715" s="24">
        <f t="shared" si="4"/>
        <v>12</v>
      </c>
      <c r="Z715" s="25">
        <f t="shared" si="12"/>
        <v>47.78199155</v>
      </c>
    </row>
    <row r="716">
      <c r="A716" s="16" t="s">
        <v>35</v>
      </c>
      <c r="B716" s="17">
        <v>115.0</v>
      </c>
      <c r="C716" s="24">
        <f t="shared" si="1214"/>
        <v>91127.22352</v>
      </c>
      <c r="D716" s="25">
        <v>0.05</v>
      </c>
      <c r="E716" s="24">
        <f t="shared" si="1215"/>
        <v>430.1620515</v>
      </c>
      <c r="F716" s="25">
        <v>0.02</v>
      </c>
      <c r="G716" s="24">
        <f t="shared" si="1216"/>
        <v>11716.35731</v>
      </c>
      <c r="H716" s="25">
        <v>0.05</v>
      </c>
      <c r="I716" s="24">
        <f t="shared" si="1217"/>
        <v>0</v>
      </c>
      <c r="J716" s="25">
        <v>0.02</v>
      </c>
      <c r="K716" s="25">
        <v>0.0</v>
      </c>
      <c r="L716" s="24">
        <f t="shared" ref="L716:O716" si="1442">IF(L715="", "", 1 + MROUND(IFERROR(MINIFS(OFFSET(L715, -1, 0, -$B716, 1), OFFSET(L715, -1, 0, -$B716, 1), "&gt;0"), L715) + (LN(1 + $Z716) ^ U$2) * U$3, 1))</f>
        <v>158152</v>
      </c>
      <c r="M716" s="24" t="str">
        <f t="shared" si="1442"/>
        <v/>
      </c>
      <c r="N716" s="24">
        <f t="shared" si="1442"/>
        <v>1877</v>
      </c>
      <c r="O716" s="24">
        <f t="shared" si="1442"/>
        <v>1992</v>
      </c>
      <c r="P716" s="24">
        <f t="shared" ref="P716:S716" si="1443">L716*$Y$2</f>
        <v>39538</v>
      </c>
      <c r="Q716" s="24">
        <f t="shared" si="1443"/>
        <v>0</v>
      </c>
      <c r="R716" s="24">
        <f t="shared" si="1443"/>
        <v>469.25</v>
      </c>
      <c r="S716" s="24">
        <f t="shared" si="1443"/>
        <v>498</v>
      </c>
      <c r="T716" s="24">
        <f t="shared" si="4"/>
        <v>13</v>
      </c>
      <c r="Z716" s="25">
        <f t="shared" si="12"/>
        <v>49.48936125</v>
      </c>
    </row>
    <row r="717">
      <c r="A717" s="16" t="s">
        <v>35</v>
      </c>
      <c r="B717" s="17">
        <v>116.0</v>
      </c>
      <c r="C717" s="24">
        <f t="shared" si="1214"/>
        <v>95683.5847</v>
      </c>
      <c r="D717" s="25">
        <v>0.05</v>
      </c>
      <c r="E717" s="24">
        <f t="shared" si="1215"/>
        <v>438.7652925</v>
      </c>
      <c r="F717" s="25">
        <v>0.02</v>
      </c>
      <c r="G717" s="24">
        <f t="shared" si="1216"/>
        <v>12302.17518</v>
      </c>
      <c r="H717" s="25">
        <v>0.05</v>
      </c>
      <c r="I717" s="24">
        <f t="shared" si="1217"/>
        <v>0</v>
      </c>
      <c r="J717" s="25">
        <v>0.02</v>
      </c>
      <c r="K717" s="25">
        <v>0.0</v>
      </c>
      <c r="L717" s="24">
        <f t="shared" ref="L717:O717" si="1444">IF(L716="", "", 1 + MROUND(IFERROR(MINIFS(OFFSET(L716, -1, 0, -$B717, 1), OFFSET(L716, -1, 0, -$B717, 1), "&gt;0"), L716) + (LN(1 + $Z717) ^ U$2) * U$3, 1))</f>
        <v>158808</v>
      </c>
      <c r="M717" s="24" t="str">
        <f t="shared" si="1444"/>
        <v/>
      </c>
      <c r="N717" s="24">
        <f t="shared" si="1444"/>
        <v>1904</v>
      </c>
      <c r="O717" s="24">
        <f t="shared" si="1444"/>
        <v>2019</v>
      </c>
      <c r="P717" s="24">
        <f t="shared" ref="P717:S717" si="1445">L717*$Y$2</f>
        <v>39702</v>
      </c>
      <c r="Q717" s="24">
        <f t="shared" si="1445"/>
        <v>0</v>
      </c>
      <c r="R717" s="24">
        <f t="shared" si="1445"/>
        <v>476</v>
      </c>
      <c r="S717" s="24">
        <f t="shared" si="1445"/>
        <v>504.75</v>
      </c>
      <c r="T717" s="24">
        <f t="shared" si="4"/>
        <v>13</v>
      </c>
      <c r="Z717" s="25">
        <f t="shared" si="12"/>
        <v>51.25648889</v>
      </c>
    </row>
    <row r="718">
      <c r="A718" s="16" t="s">
        <v>35</v>
      </c>
      <c r="B718" s="17">
        <v>117.0</v>
      </c>
      <c r="C718" s="24">
        <f t="shared" si="1214"/>
        <v>100467.7639</v>
      </c>
      <c r="D718" s="25">
        <v>0.05</v>
      </c>
      <c r="E718" s="24">
        <f t="shared" si="1215"/>
        <v>447.5405983</v>
      </c>
      <c r="F718" s="25">
        <v>0.02</v>
      </c>
      <c r="G718" s="24">
        <f t="shared" si="1216"/>
        <v>12917.28393</v>
      </c>
      <c r="H718" s="25">
        <v>0.05</v>
      </c>
      <c r="I718" s="24">
        <f t="shared" si="1217"/>
        <v>0</v>
      </c>
      <c r="J718" s="25">
        <v>0.02</v>
      </c>
      <c r="K718" s="25">
        <v>0.0</v>
      </c>
      <c r="L718" s="24">
        <f t="shared" ref="L718:O718" si="1446">IF(L717="", "", 1 + MROUND(IFERROR(MINIFS(OFFSET(L717, -1, 0, -$B718, 1), OFFSET(L717, -1, 0, -$B718, 1), "&gt;0"), L717) + (LN(1 + $Z718) ^ U$2) * U$3, 1))</f>
        <v>159468</v>
      </c>
      <c r="M718" s="24" t="str">
        <f t="shared" si="1446"/>
        <v/>
      </c>
      <c r="N718" s="24">
        <f t="shared" si="1446"/>
        <v>1931</v>
      </c>
      <c r="O718" s="24">
        <f t="shared" si="1446"/>
        <v>2046</v>
      </c>
      <c r="P718" s="24">
        <f t="shared" ref="P718:S718" si="1447">L718*$Y$2</f>
        <v>39867</v>
      </c>
      <c r="Q718" s="24">
        <f t="shared" si="1447"/>
        <v>0</v>
      </c>
      <c r="R718" s="24">
        <f t="shared" si="1447"/>
        <v>482.75</v>
      </c>
      <c r="S718" s="24">
        <f t="shared" si="1447"/>
        <v>511.5</v>
      </c>
      <c r="T718" s="24">
        <f t="shared" si="4"/>
        <v>13</v>
      </c>
      <c r="Z718" s="25">
        <f t="shared" si="12"/>
        <v>53.08546601</v>
      </c>
    </row>
    <row r="719">
      <c r="A719" s="16" t="s">
        <v>35</v>
      </c>
      <c r="B719" s="17">
        <v>118.0</v>
      </c>
      <c r="C719" s="24">
        <f t="shared" si="1214"/>
        <v>105491.1521</v>
      </c>
      <c r="D719" s="25">
        <v>0.05</v>
      </c>
      <c r="E719" s="24">
        <f t="shared" si="1215"/>
        <v>456.4914103</v>
      </c>
      <c r="F719" s="25">
        <v>0.02</v>
      </c>
      <c r="G719" s="24">
        <f t="shared" si="1216"/>
        <v>13563.14813</v>
      </c>
      <c r="H719" s="25">
        <v>0.05</v>
      </c>
      <c r="I719" s="24">
        <f t="shared" si="1217"/>
        <v>0</v>
      </c>
      <c r="J719" s="25">
        <v>0.02</v>
      </c>
      <c r="K719" s="25">
        <v>0.0</v>
      </c>
      <c r="L719" s="24">
        <f t="shared" ref="L719:O719" si="1448">IF(L718="", "", 1 + MROUND(IFERROR(MINIFS(OFFSET(L718, -1, 0, -$B719, 1), OFFSET(L718, -1, 0, -$B719, 1), "&gt;0"), L718) + (LN(1 + $Z719) ^ U$2) * U$3, 1))</f>
        <v>160132</v>
      </c>
      <c r="M719" s="24" t="str">
        <f t="shared" si="1448"/>
        <v/>
      </c>
      <c r="N719" s="24">
        <f t="shared" si="1448"/>
        <v>1959</v>
      </c>
      <c r="O719" s="24">
        <f t="shared" si="1448"/>
        <v>2074</v>
      </c>
      <c r="P719" s="24">
        <f t="shared" ref="P719:S719" si="1449">L719*$Y$2</f>
        <v>40033</v>
      </c>
      <c r="Q719" s="24">
        <f t="shared" si="1449"/>
        <v>0</v>
      </c>
      <c r="R719" s="24">
        <f t="shared" si="1449"/>
        <v>489.75</v>
      </c>
      <c r="S719" s="24">
        <f t="shared" si="1449"/>
        <v>518.5</v>
      </c>
      <c r="T719" s="24">
        <f t="shared" si="4"/>
        <v>13</v>
      </c>
      <c r="Z719" s="25">
        <f t="shared" si="12"/>
        <v>54.97845732</v>
      </c>
    </row>
    <row r="720">
      <c r="A720" s="16" t="s">
        <v>35</v>
      </c>
      <c r="B720" s="17">
        <v>119.0</v>
      </c>
      <c r="C720" s="24">
        <f t="shared" si="1214"/>
        <v>110765.7097</v>
      </c>
      <c r="D720" s="25">
        <v>0.05</v>
      </c>
      <c r="E720" s="24">
        <f t="shared" si="1215"/>
        <v>465.6212385</v>
      </c>
      <c r="F720" s="25">
        <v>0.02</v>
      </c>
      <c r="G720" s="24">
        <f t="shared" si="1216"/>
        <v>14241.30554</v>
      </c>
      <c r="H720" s="25">
        <v>0.05</v>
      </c>
      <c r="I720" s="24">
        <f t="shared" si="1217"/>
        <v>0</v>
      </c>
      <c r="J720" s="25">
        <v>0.02</v>
      </c>
      <c r="K720" s="25">
        <v>0.0</v>
      </c>
      <c r="L720" s="24">
        <f t="shared" ref="L720:O720" si="1450">IF(L719="", "", 1 + MROUND(IFERROR(MINIFS(OFFSET(L719, -1, 0, -$B720, 1), OFFSET(L719, -1, 0, -$B720, 1), "&gt;0"), L719) + (LN(1 + $Z720) ^ U$2) * U$3, 1))</f>
        <v>160800</v>
      </c>
      <c r="M720" s="24" t="str">
        <f t="shared" si="1450"/>
        <v/>
      </c>
      <c r="N720" s="24">
        <f t="shared" si="1450"/>
        <v>1987</v>
      </c>
      <c r="O720" s="24">
        <f t="shared" si="1450"/>
        <v>2102</v>
      </c>
      <c r="P720" s="24">
        <f t="shared" ref="P720:S720" si="1451">L720*$Y$2</f>
        <v>40200</v>
      </c>
      <c r="Q720" s="24">
        <f t="shared" si="1451"/>
        <v>0</v>
      </c>
      <c r="R720" s="24">
        <f t="shared" si="1451"/>
        <v>496.75</v>
      </c>
      <c r="S720" s="24">
        <f t="shared" si="1451"/>
        <v>525.5</v>
      </c>
      <c r="T720" s="24">
        <f t="shared" si="4"/>
        <v>13</v>
      </c>
      <c r="Z720" s="25">
        <f t="shared" si="12"/>
        <v>56.93770332</v>
      </c>
    </row>
    <row r="721">
      <c r="A721" s="16" t="s">
        <v>35</v>
      </c>
      <c r="B721" s="17">
        <v>120.0</v>
      </c>
      <c r="C721" s="24">
        <f t="shared" si="1214"/>
        <v>116303.9952</v>
      </c>
      <c r="D721" s="25">
        <v>0.05</v>
      </c>
      <c r="E721" s="24">
        <f t="shared" si="1215"/>
        <v>474.9336633</v>
      </c>
      <c r="F721" s="25">
        <v>0.02</v>
      </c>
      <c r="G721" s="24">
        <f t="shared" si="1216"/>
        <v>14953.37081</v>
      </c>
      <c r="H721" s="25">
        <v>0.05</v>
      </c>
      <c r="I721" s="24">
        <f t="shared" si="1217"/>
        <v>0</v>
      </c>
      <c r="J721" s="25">
        <v>0.02</v>
      </c>
      <c r="K721" s="25">
        <v>0.0</v>
      </c>
      <c r="L721" s="24">
        <f t="shared" ref="L721:O721" si="1452">IF(L720="", "", 1 + MROUND(IFERROR(MINIFS(OFFSET(L720, -1, 0, -$B721, 1), OFFSET(L720, -1, 0, -$B721, 1), "&gt;0"), L720) + (LN(1 + $Z721) ^ U$2) * U$3, 1))</f>
        <v>161472</v>
      </c>
      <c r="M721" s="24" t="str">
        <f t="shared" si="1452"/>
        <v/>
      </c>
      <c r="N721" s="24">
        <f t="shared" si="1452"/>
        <v>2015</v>
      </c>
      <c r="O721" s="24">
        <f t="shared" si="1452"/>
        <v>2130</v>
      </c>
      <c r="P721" s="24">
        <f t="shared" ref="P721:S721" si="1453">L721*$Y$2</f>
        <v>40368</v>
      </c>
      <c r="Q721" s="24">
        <f t="shared" si="1453"/>
        <v>0</v>
      </c>
      <c r="R721" s="24">
        <f t="shared" si="1453"/>
        <v>503.75</v>
      </c>
      <c r="S721" s="24">
        <f t="shared" si="1453"/>
        <v>532.5</v>
      </c>
      <c r="T721" s="24">
        <f t="shared" si="4"/>
        <v>13</v>
      </c>
      <c r="Z721" s="25">
        <f t="shared" si="12"/>
        <v>58.96552294</v>
      </c>
    </row>
    <row r="722">
      <c r="A722" s="16" t="s">
        <v>35</v>
      </c>
      <c r="B722" s="17">
        <v>121.0</v>
      </c>
      <c r="C722" s="24">
        <f t="shared" si="1214"/>
        <v>122119.195</v>
      </c>
      <c r="D722" s="25">
        <v>0.05</v>
      </c>
      <c r="E722" s="24">
        <f t="shared" si="1215"/>
        <v>484.4323365</v>
      </c>
      <c r="F722" s="25">
        <v>0.02</v>
      </c>
      <c r="G722" s="24">
        <f t="shared" si="1216"/>
        <v>15701.03936</v>
      </c>
      <c r="H722" s="25">
        <v>0.05</v>
      </c>
      <c r="I722" s="24">
        <f t="shared" si="1217"/>
        <v>0</v>
      </c>
      <c r="J722" s="25">
        <v>0.02</v>
      </c>
      <c r="K722" s="25">
        <v>0.0</v>
      </c>
      <c r="L722" s="24">
        <f t="shared" ref="L722:O722" si="1454">IF(L721="", "", 1 + MROUND(IFERROR(MINIFS(OFFSET(L721, -1, 0, -$B722, 1), OFFSET(L721, -1, 0, -$B722, 1), "&gt;0"), L721) + (LN(1 + $Z722) ^ U$2) * U$3, 1))</f>
        <v>162147</v>
      </c>
      <c r="M722" s="24" t="str">
        <f t="shared" si="1454"/>
        <v/>
      </c>
      <c r="N722" s="24">
        <f t="shared" si="1454"/>
        <v>2043</v>
      </c>
      <c r="O722" s="24">
        <f t="shared" si="1454"/>
        <v>2158</v>
      </c>
      <c r="P722" s="24">
        <f t="shared" ref="P722:S722" si="1455">L722*$Y$2</f>
        <v>40536.75</v>
      </c>
      <c r="Q722" s="24">
        <f t="shared" si="1455"/>
        <v>0</v>
      </c>
      <c r="R722" s="24">
        <f t="shared" si="1455"/>
        <v>510.75</v>
      </c>
      <c r="S722" s="24">
        <f t="shared" si="1455"/>
        <v>539.5</v>
      </c>
      <c r="T722" s="24">
        <f t="shared" si="4"/>
        <v>13</v>
      </c>
      <c r="Z722" s="25">
        <f t="shared" si="12"/>
        <v>61.06431624</v>
      </c>
    </row>
    <row r="723">
      <c r="A723" s="16" t="s">
        <v>35</v>
      </c>
      <c r="B723" s="17">
        <v>122.0</v>
      </c>
      <c r="C723" s="24">
        <f t="shared" si="1214"/>
        <v>128225.1547</v>
      </c>
      <c r="D723" s="25">
        <v>0.05</v>
      </c>
      <c r="E723" s="24">
        <f t="shared" si="1215"/>
        <v>494.1209833</v>
      </c>
      <c r="F723" s="25">
        <v>0.02</v>
      </c>
      <c r="G723" s="24">
        <f t="shared" si="1216"/>
        <v>16486.09132</v>
      </c>
      <c r="H723" s="25">
        <v>0.05</v>
      </c>
      <c r="I723" s="24">
        <f t="shared" si="1217"/>
        <v>0</v>
      </c>
      <c r="J723" s="25">
        <v>0.02</v>
      </c>
      <c r="K723" s="25">
        <v>0.0</v>
      </c>
      <c r="L723" s="24">
        <f t="shared" ref="L723:O723" si="1456">IF(L722="", "", 1 + MROUND(IFERROR(MINIFS(OFFSET(L722, -1, 0, -$B723, 1), OFFSET(L722, -1, 0, -$B723, 1), "&gt;0"), L722) + (LN(1 + $Z723) ^ U$2) * U$3, 1))</f>
        <v>162826</v>
      </c>
      <c r="M723" s="24" t="str">
        <f t="shared" si="1456"/>
        <v/>
      </c>
      <c r="N723" s="24">
        <f t="shared" si="1456"/>
        <v>2071</v>
      </c>
      <c r="O723" s="24">
        <f t="shared" si="1456"/>
        <v>2186</v>
      </c>
      <c r="P723" s="24">
        <f t="shared" ref="P723:S723" si="1457">L723*$Y$2</f>
        <v>40706.5</v>
      </c>
      <c r="Q723" s="24">
        <f t="shared" si="1457"/>
        <v>0</v>
      </c>
      <c r="R723" s="24">
        <f t="shared" si="1457"/>
        <v>517.75</v>
      </c>
      <c r="S723" s="24">
        <f t="shared" si="1457"/>
        <v>546.5</v>
      </c>
      <c r="T723" s="24">
        <f t="shared" si="4"/>
        <v>13</v>
      </c>
      <c r="Z723" s="25">
        <f t="shared" si="12"/>
        <v>63.23656731</v>
      </c>
    </row>
    <row r="724">
      <c r="A724" s="16" t="s">
        <v>35</v>
      </c>
      <c r="B724" s="17">
        <v>123.0</v>
      </c>
      <c r="C724" s="24">
        <f t="shared" si="1214"/>
        <v>134636.4125</v>
      </c>
      <c r="D724" s="25">
        <v>0.05</v>
      </c>
      <c r="E724" s="24">
        <f t="shared" si="1215"/>
        <v>504.0034029</v>
      </c>
      <c r="F724" s="25">
        <v>0.02</v>
      </c>
      <c r="G724" s="24">
        <f t="shared" si="1216"/>
        <v>17310.39589</v>
      </c>
      <c r="H724" s="25">
        <v>0.05</v>
      </c>
      <c r="I724" s="24">
        <f t="shared" si="1217"/>
        <v>0</v>
      </c>
      <c r="J724" s="25">
        <v>0.02</v>
      </c>
      <c r="K724" s="25">
        <v>0.0</v>
      </c>
      <c r="L724" s="24">
        <f t="shared" ref="L724:O724" si="1458">IF(L723="", "", 1 + MROUND(IFERROR(MINIFS(OFFSET(L723, -1, 0, -$B724, 1), OFFSET(L723, -1, 0, -$B724, 1), "&gt;0"), L723) + (LN(1 + $Z724) ^ U$2) * U$3, 1))</f>
        <v>163509</v>
      </c>
      <c r="M724" s="24" t="str">
        <f t="shared" si="1458"/>
        <v/>
      </c>
      <c r="N724" s="24">
        <f t="shared" si="1458"/>
        <v>2099</v>
      </c>
      <c r="O724" s="24">
        <f t="shared" si="1458"/>
        <v>2214</v>
      </c>
      <c r="P724" s="24">
        <f t="shared" ref="P724:S724" si="1459">L724*$Y$2</f>
        <v>40877.25</v>
      </c>
      <c r="Q724" s="24">
        <f t="shared" si="1459"/>
        <v>0</v>
      </c>
      <c r="R724" s="24">
        <f t="shared" si="1459"/>
        <v>524.75</v>
      </c>
      <c r="S724" s="24">
        <f t="shared" si="1459"/>
        <v>553.5</v>
      </c>
      <c r="T724" s="24">
        <f t="shared" si="4"/>
        <v>13</v>
      </c>
      <c r="Z724" s="25">
        <f t="shared" si="12"/>
        <v>65.48484716</v>
      </c>
    </row>
    <row r="725">
      <c r="A725" s="16" t="s">
        <v>35</v>
      </c>
      <c r="B725" s="17">
        <v>124.0</v>
      </c>
      <c r="C725" s="24">
        <f t="shared" si="1214"/>
        <v>141368.2331</v>
      </c>
      <c r="D725" s="25">
        <v>0.05</v>
      </c>
      <c r="E725" s="24">
        <f t="shared" si="1215"/>
        <v>514.083471</v>
      </c>
      <c r="F725" s="25">
        <v>0.02</v>
      </c>
      <c r="G725" s="24">
        <f t="shared" si="1216"/>
        <v>18175.91568</v>
      </c>
      <c r="H725" s="25">
        <v>0.05</v>
      </c>
      <c r="I725" s="24">
        <f t="shared" si="1217"/>
        <v>0</v>
      </c>
      <c r="J725" s="25">
        <v>0.02</v>
      </c>
      <c r="K725" s="25">
        <v>0.0</v>
      </c>
      <c r="L725" s="24">
        <f t="shared" ref="L725:O725" si="1460">IF(L724="", "", 1 + MROUND(IFERROR(MINIFS(OFFSET(L724, -1, 0, -$B725, 1), OFFSET(L724, -1, 0, -$B725, 1), "&gt;0"), L724) + (LN(1 + $Z725) ^ U$2) * U$3, 1))</f>
        <v>164196</v>
      </c>
      <c r="M725" s="24" t="str">
        <f t="shared" si="1460"/>
        <v/>
      </c>
      <c r="N725" s="24">
        <f t="shared" si="1460"/>
        <v>2127</v>
      </c>
      <c r="O725" s="24">
        <f t="shared" si="1460"/>
        <v>2242</v>
      </c>
      <c r="P725" s="24">
        <f t="shared" ref="P725:S725" si="1461">L725*$Y$2</f>
        <v>41049</v>
      </c>
      <c r="Q725" s="24">
        <f t="shared" si="1461"/>
        <v>0</v>
      </c>
      <c r="R725" s="24">
        <f t="shared" si="1461"/>
        <v>531.75</v>
      </c>
      <c r="S725" s="24">
        <f t="shared" si="1461"/>
        <v>560.5</v>
      </c>
      <c r="T725" s="24">
        <f t="shared" si="4"/>
        <v>13</v>
      </c>
      <c r="Z725" s="25">
        <f t="shared" si="12"/>
        <v>67.81181682</v>
      </c>
    </row>
    <row r="726">
      <c r="A726" s="16" t="s">
        <v>35</v>
      </c>
      <c r="B726" s="17">
        <v>125.0</v>
      </c>
      <c r="C726" s="24">
        <f t="shared" si="1214"/>
        <v>148436.6447</v>
      </c>
      <c r="D726" s="25">
        <v>0.05</v>
      </c>
      <c r="E726" s="24">
        <f t="shared" si="1215"/>
        <v>524.3651404</v>
      </c>
      <c r="F726" s="25">
        <v>0.02</v>
      </c>
      <c r="G726" s="24">
        <f t="shared" si="1216"/>
        <v>19084.71147</v>
      </c>
      <c r="H726" s="25">
        <v>0.05</v>
      </c>
      <c r="I726" s="24">
        <f t="shared" si="1217"/>
        <v>0</v>
      </c>
      <c r="J726" s="25">
        <v>0.02</v>
      </c>
      <c r="K726" s="25">
        <v>0.0</v>
      </c>
      <c r="L726" s="24">
        <f t="shared" ref="L726:O726" si="1462">IF(L725="", "", 1 + MROUND(IFERROR(MINIFS(OFFSET(L725, -1, 0, -$B726, 1), OFFSET(L725, -1, 0, -$B726, 1), "&gt;0"), L725) + (LN(1 + $Z726) ^ U$2) * U$3, 1))</f>
        <v>164887</v>
      </c>
      <c r="M726" s="24" t="str">
        <f t="shared" si="1462"/>
        <v/>
      </c>
      <c r="N726" s="24">
        <f t="shared" si="1462"/>
        <v>2156</v>
      </c>
      <c r="O726" s="24">
        <f t="shared" si="1462"/>
        <v>2271</v>
      </c>
      <c r="P726" s="24">
        <f t="shared" ref="P726:S726" si="1463">L726*$Y$2</f>
        <v>41221.75</v>
      </c>
      <c r="Q726" s="24">
        <f t="shared" si="1463"/>
        <v>0</v>
      </c>
      <c r="R726" s="24">
        <f t="shared" si="1463"/>
        <v>539</v>
      </c>
      <c r="S726" s="24">
        <f t="shared" si="1463"/>
        <v>567.75</v>
      </c>
      <c r="T726" s="24">
        <f t="shared" si="4"/>
        <v>14</v>
      </c>
      <c r="Z726" s="25">
        <f t="shared" si="12"/>
        <v>70.2202304</v>
      </c>
    </row>
    <row r="727">
      <c r="A727" s="16" t="s">
        <v>35</v>
      </c>
      <c r="B727" s="17">
        <v>126.0</v>
      </c>
      <c r="C727" s="24">
        <f t="shared" si="1214"/>
        <v>155858.477</v>
      </c>
      <c r="D727" s="25">
        <v>0.05</v>
      </c>
      <c r="E727" s="24">
        <f t="shared" si="1215"/>
        <v>534.8524432</v>
      </c>
      <c r="F727" s="25">
        <v>0.02</v>
      </c>
      <c r="G727" s="24">
        <f t="shared" si="1216"/>
        <v>20038.94704</v>
      </c>
      <c r="H727" s="25">
        <v>0.05</v>
      </c>
      <c r="I727" s="24">
        <f t="shared" si="1217"/>
        <v>0</v>
      </c>
      <c r="J727" s="25">
        <v>0.02</v>
      </c>
      <c r="K727" s="25">
        <v>0.0</v>
      </c>
      <c r="L727" s="24">
        <f t="shared" ref="L727:O727" si="1464">IF(L726="", "", 1 + MROUND(IFERROR(MINIFS(OFFSET(L726, -1, 0, -$B727, 1), OFFSET(L726, -1, 0, -$B727, 1), "&gt;0"), L726) + (LN(1 + $Z727) ^ U$2) * U$3, 1))</f>
        <v>165582</v>
      </c>
      <c r="M727" s="24" t="str">
        <f t="shared" si="1464"/>
        <v/>
      </c>
      <c r="N727" s="24">
        <f t="shared" si="1464"/>
        <v>2185</v>
      </c>
      <c r="O727" s="24">
        <f t="shared" si="1464"/>
        <v>2300</v>
      </c>
      <c r="P727" s="24">
        <f t="shared" ref="P727:S727" si="1465">L727*$Y$2</f>
        <v>41395.5</v>
      </c>
      <c r="Q727" s="24">
        <f t="shared" si="1465"/>
        <v>0</v>
      </c>
      <c r="R727" s="24">
        <f t="shared" si="1465"/>
        <v>546.25</v>
      </c>
      <c r="S727" s="24">
        <f t="shared" si="1465"/>
        <v>575</v>
      </c>
      <c r="T727" s="24">
        <f t="shared" si="4"/>
        <v>14</v>
      </c>
      <c r="Z727" s="25">
        <f t="shared" si="12"/>
        <v>72.71293847</v>
      </c>
    </row>
    <row r="728">
      <c r="A728" s="16" t="s">
        <v>35</v>
      </c>
      <c r="B728" s="17">
        <v>127.0</v>
      </c>
      <c r="C728" s="24">
        <f t="shared" si="1214"/>
        <v>163651.4008</v>
      </c>
      <c r="D728" s="25">
        <v>0.05</v>
      </c>
      <c r="E728" s="24">
        <f t="shared" si="1215"/>
        <v>545.5494921</v>
      </c>
      <c r="F728" s="25">
        <v>0.02</v>
      </c>
      <c r="G728" s="24">
        <f t="shared" si="1216"/>
        <v>21040.89439</v>
      </c>
      <c r="H728" s="25">
        <v>0.05</v>
      </c>
      <c r="I728" s="24">
        <f t="shared" si="1217"/>
        <v>0</v>
      </c>
      <c r="J728" s="25">
        <v>0.02</v>
      </c>
      <c r="K728" s="25">
        <v>0.0</v>
      </c>
      <c r="L728" s="24">
        <f t="shared" ref="L728:O728" si="1466">IF(L727="", "", 1 + MROUND(IFERROR(MINIFS(OFFSET(L727, -1, 0, -$B728, 1), OFFSET(L727, -1, 0, -$B728, 1), "&gt;0"), L727) + (LN(1 + $Z728) ^ U$2) * U$3, 1))</f>
        <v>166281</v>
      </c>
      <c r="M728" s="24" t="str">
        <f t="shared" si="1466"/>
        <v/>
      </c>
      <c r="N728" s="24">
        <f t="shared" si="1466"/>
        <v>2214</v>
      </c>
      <c r="O728" s="24">
        <f t="shared" si="1466"/>
        <v>2329</v>
      </c>
      <c r="P728" s="24">
        <f t="shared" ref="P728:S728" si="1467">L728*$Y$2</f>
        <v>41570.25</v>
      </c>
      <c r="Q728" s="24">
        <f t="shared" si="1467"/>
        <v>0</v>
      </c>
      <c r="R728" s="24">
        <f t="shared" si="1467"/>
        <v>553.5</v>
      </c>
      <c r="S728" s="24">
        <f t="shared" si="1467"/>
        <v>582.25</v>
      </c>
      <c r="T728" s="24">
        <f t="shared" si="4"/>
        <v>14</v>
      </c>
      <c r="Z728" s="25">
        <f t="shared" si="12"/>
        <v>75.29289131</v>
      </c>
    </row>
    <row r="729">
      <c r="A729" s="16" t="s">
        <v>35</v>
      </c>
      <c r="B729" s="17">
        <v>128.0</v>
      </c>
      <c r="C729" s="24">
        <f t="shared" si="1214"/>
        <v>171833.9709</v>
      </c>
      <c r="D729" s="25">
        <v>0.05</v>
      </c>
      <c r="E729" s="24">
        <f t="shared" si="1215"/>
        <v>556.4604819</v>
      </c>
      <c r="F729" s="25">
        <v>0.02</v>
      </c>
      <c r="G729" s="24">
        <f t="shared" si="1216"/>
        <v>22092.93911</v>
      </c>
      <c r="H729" s="25">
        <v>0.05</v>
      </c>
      <c r="I729" s="24">
        <f t="shared" si="1217"/>
        <v>0</v>
      </c>
      <c r="J729" s="25">
        <v>0.02</v>
      </c>
      <c r="K729" s="25">
        <v>0.0</v>
      </c>
      <c r="L729" s="24">
        <f t="shared" ref="L729:O729" si="1468">IF(L728="", "", 1 + MROUND(IFERROR(MINIFS(OFFSET(L728, -1, 0, -$B729, 1), OFFSET(L728, -1, 0, -$B729, 1), "&gt;0"), L728) + (LN(1 + $Z729) ^ U$2) * U$3, 1))</f>
        <v>166984</v>
      </c>
      <c r="M729" s="24" t="str">
        <f t="shared" si="1468"/>
        <v/>
      </c>
      <c r="N729" s="24">
        <f t="shared" si="1468"/>
        <v>2243</v>
      </c>
      <c r="O729" s="24">
        <f t="shared" si="1468"/>
        <v>2358</v>
      </c>
      <c r="P729" s="24">
        <f t="shared" ref="P729:S729" si="1469">L729*$Y$2</f>
        <v>41746</v>
      </c>
      <c r="Q729" s="24">
        <f t="shared" si="1469"/>
        <v>0</v>
      </c>
      <c r="R729" s="24">
        <f t="shared" si="1469"/>
        <v>560.75</v>
      </c>
      <c r="S729" s="24">
        <f t="shared" si="1469"/>
        <v>589.5</v>
      </c>
      <c r="T729" s="24">
        <f t="shared" si="4"/>
        <v>14</v>
      </c>
      <c r="Z729" s="25">
        <f t="shared" si="12"/>
        <v>77.96314251</v>
      </c>
    </row>
    <row r="730">
      <c r="A730" s="16" t="s">
        <v>35</v>
      </c>
      <c r="B730" s="17">
        <v>129.0</v>
      </c>
      <c r="C730" s="24">
        <f t="shared" si="1214"/>
        <v>180425.6694</v>
      </c>
      <c r="D730" s="25">
        <v>0.05</v>
      </c>
      <c r="E730" s="24">
        <f t="shared" si="1215"/>
        <v>567.5896916</v>
      </c>
      <c r="F730" s="25">
        <v>0.02</v>
      </c>
      <c r="G730" s="24">
        <f t="shared" si="1216"/>
        <v>23197.58607</v>
      </c>
      <c r="H730" s="25">
        <v>0.05</v>
      </c>
      <c r="I730" s="24">
        <f t="shared" si="1217"/>
        <v>0</v>
      </c>
      <c r="J730" s="25">
        <v>0.02</v>
      </c>
      <c r="K730" s="25">
        <v>0.0</v>
      </c>
      <c r="L730" s="24">
        <f t="shared" ref="L730:O730" si="1470">IF(L729="", "", 1 + MROUND(IFERROR(MINIFS(OFFSET(L729, -1, 0, -$B730, 1), OFFSET(L729, -1, 0, -$B730, 1), "&gt;0"), L729) + (LN(1 + $Z730) ^ U$2) * U$3, 1))</f>
        <v>167691</v>
      </c>
      <c r="M730" s="24" t="str">
        <f t="shared" si="1470"/>
        <v/>
      </c>
      <c r="N730" s="24">
        <f t="shared" si="1470"/>
        <v>2272</v>
      </c>
      <c r="O730" s="24">
        <f t="shared" si="1470"/>
        <v>2387</v>
      </c>
      <c r="P730" s="24">
        <f t="shared" ref="P730:S730" si="1471">L730*$Y$2</f>
        <v>41922.75</v>
      </c>
      <c r="Q730" s="24">
        <f t="shared" si="1471"/>
        <v>0</v>
      </c>
      <c r="R730" s="24">
        <f t="shared" si="1471"/>
        <v>568</v>
      </c>
      <c r="S730" s="24">
        <f t="shared" si="1471"/>
        <v>596.75</v>
      </c>
      <c r="T730" s="24">
        <f t="shared" si="4"/>
        <v>14</v>
      </c>
      <c r="Z730" s="25">
        <f t="shared" si="12"/>
        <v>80.7268525</v>
      </c>
    </row>
    <row r="731">
      <c r="A731" s="16" t="s">
        <v>35</v>
      </c>
      <c r="B731" s="17">
        <v>130.0</v>
      </c>
      <c r="C731" s="24">
        <f t="shared" si="1214"/>
        <v>189446.9529</v>
      </c>
      <c r="D731" s="25">
        <v>0.05</v>
      </c>
      <c r="E731" s="24">
        <f t="shared" si="1215"/>
        <v>578.9414854</v>
      </c>
      <c r="F731" s="25">
        <v>0.02</v>
      </c>
      <c r="G731" s="24">
        <f t="shared" si="1216"/>
        <v>24357.46537</v>
      </c>
      <c r="H731" s="25">
        <v>0.05</v>
      </c>
      <c r="I731" s="24">
        <f t="shared" si="1217"/>
        <v>0</v>
      </c>
      <c r="J731" s="25">
        <v>0.02</v>
      </c>
      <c r="K731" s="25">
        <v>0.0</v>
      </c>
      <c r="L731" s="24">
        <f t="shared" ref="L731:O731" si="1472">IF(L730="", "", 1 + MROUND(IFERROR(MINIFS(OFFSET(L730, -1, 0, -$B731, 1), OFFSET(L730, -1, 0, -$B731, 1), "&gt;0"), L730) + (LN(1 + $Z731) ^ U$2) * U$3, 1))</f>
        <v>168402</v>
      </c>
      <c r="M731" s="24" t="str">
        <f t="shared" si="1472"/>
        <v/>
      </c>
      <c r="N731" s="24">
        <f t="shared" si="1472"/>
        <v>2301</v>
      </c>
      <c r="O731" s="24">
        <f t="shared" si="1472"/>
        <v>2416</v>
      </c>
      <c r="P731" s="24">
        <f t="shared" ref="P731:S731" si="1473">L731*$Y$2</f>
        <v>42100.5</v>
      </c>
      <c r="Q731" s="24">
        <f t="shared" si="1473"/>
        <v>0</v>
      </c>
      <c r="R731" s="24">
        <f t="shared" si="1473"/>
        <v>575.25</v>
      </c>
      <c r="S731" s="24">
        <f t="shared" si="1473"/>
        <v>604</v>
      </c>
      <c r="T731" s="24">
        <f t="shared" si="4"/>
        <v>14</v>
      </c>
      <c r="Z731" s="25">
        <f t="shared" si="12"/>
        <v>83.58729234</v>
      </c>
    </row>
    <row r="732">
      <c r="A732" s="16" t="s">
        <v>35</v>
      </c>
      <c r="B732" s="17">
        <v>131.0</v>
      </c>
      <c r="C732" s="24">
        <f t="shared" si="1214"/>
        <v>198919.3005</v>
      </c>
      <c r="D732" s="25">
        <v>0.05</v>
      </c>
      <c r="E732" s="24">
        <f t="shared" si="1215"/>
        <v>590.5203151</v>
      </c>
      <c r="F732" s="25">
        <v>0.02</v>
      </c>
      <c r="G732" s="24">
        <f t="shared" si="1216"/>
        <v>25575.33864</v>
      </c>
      <c r="H732" s="25">
        <v>0.05</v>
      </c>
      <c r="I732" s="24">
        <f t="shared" si="1217"/>
        <v>0</v>
      </c>
      <c r="J732" s="25">
        <v>0.02</v>
      </c>
      <c r="K732" s="25">
        <v>0.0</v>
      </c>
      <c r="L732" s="24">
        <f t="shared" ref="L732:O732" si="1474">IF(L731="", "", 1 + MROUND(IFERROR(MINIFS(OFFSET(L731, -1, 0, -$B732, 1), OFFSET(L731, -1, 0, -$B732, 1), "&gt;0"), L731) + (LN(1 + $Z732) ^ U$2) * U$3, 1))</f>
        <v>169116</v>
      </c>
      <c r="M732" s="24" t="str">
        <f t="shared" si="1474"/>
        <v/>
      </c>
      <c r="N732" s="24">
        <f t="shared" si="1474"/>
        <v>2331</v>
      </c>
      <c r="O732" s="24">
        <f t="shared" si="1474"/>
        <v>2446</v>
      </c>
      <c r="P732" s="24">
        <f t="shared" ref="P732:S732" si="1475">L732*$Y$2</f>
        <v>42279</v>
      </c>
      <c r="Q732" s="24">
        <f t="shared" si="1475"/>
        <v>0</v>
      </c>
      <c r="R732" s="24">
        <f t="shared" si="1475"/>
        <v>582.75</v>
      </c>
      <c r="S732" s="24">
        <f t="shared" si="1475"/>
        <v>611.5</v>
      </c>
      <c r="T732" s="24">
        <f t="shared" si="4"/>
        <v>14</v>
      </c>
      <c r="Z732" s="25">
        <f t="shared" si="12"/>
        <v>86.54784757</v>
      </c>
    </row>
    <row r="733">
      <c r="A733" s="16" t="s">
        <v>35</v>
      </c>
      <c r="B733" s="17">
        <v>132.0</v>
      </c>
      <c r="C733" s="24">
        <f t="shared" si="1214"/>
        <v>208865.2656</v>
      </c>
      <c r="D733" s="25">
        <v>0.05</v>
      </c>
      <c r="E733" s="24">
        <f t="shared" si="1215"/>
        <v>602.3307214</v>
      </c>
      <c r="F733" s="25">
        <v>0.02</v>
      </c>
      <c r="G733" s="24">
        <f t="shared" si="1216"/>
        <v>26854.10557</v>
      </c>
      <c r="H733" s="25">
        <v>0.05</v>
      </c>
      <c r="I733" s="24">
        <f t="shared" si="1217"/>
        <v>0</v>
      </c>
      <c r="J733" s="25">
        <v>0.02</v>
      </c>
      <c r="K733" s="25">
        <v>0.0</v>
      </c>
      <c r="L733" s="24">
        <f t="shared" ref="L733:O733" si="1476">IF(L732="", "", 1 + MROUND(IFERROR(MINIFS(OFFSET(L732, -1, 0, -$B733, 1), OFFSET(L732, -1, 0, -$B733, 1), "&gt;0"), L732) + (LN(1 + $Z733) ^ U$2) * U$3, 1))</f>
        <v>169834</v>
      </c>
      <c r="M733" s="24" t="str">
        <f t="shared" si="1476"/>
        <v/>
      </c>
      <c r="N733" s="24">
        <f t="shared" si="1476"/>
        <v>2361</v>
      </c>
      <c r="O733" s="24">
        <f t="shared" si="1476"/>
        <v>2476</v>
      </c>
      <c r="P733" s="24">
        <f t="shared" ref="P733:S733" si="1477">L733*$Y$2</f>
        <v>42458.5</v>
      </c>
      <c r="Q733" s="24">
        <f t="shared" si="1477"/>
        <v>0</v>
      </c>
      <c r="R733" s="24">
        <f t="shared" si="1477"/>
        <v>590.25</v>
      </c>
      <c r="S733" s="24">
        <f t="shared" si="1477"/>
        <v>619</v>
      </c>
      <c r="T733" s="24">
        <f t="shared" si="4"/>
        <v>14</v>
      </c>
      <c r="Z733" s="25">
        <f t="shared" si="12"/>
        <v>89.61202223</v>
      </c>
    </row>
    <row r="734">
      <c r="A734" s="16" t="s">
        <v>35</v>
      </c>
      <c r="B734" s="17">
        <v>133.0</v>
      </c>
      <c r="C734" s="24">
        <f t="shared" si="1214"/>
        <v>219308.5288</v>
      </c>
      <c r="D734" s="25">
        <v>0.05</v>
      </c>
      <c r="E734" s="24">
        <f t="shared" si="1215"/>
        <v>614.3773358</v>
      </c>
      <c r="F734" s="25">
        <v>0.02</v>
      </c>
      <c r="G734" s="24">
        <f t="shared" si="1216"/>
        <v>28196.81085</v>
      </c>
      <c r="H734" s="25">
        <v>0.05</v>
      </c>
      <c r="I734" s="24">
        <f t="shared" si="1217"/>
        <v>0</v>
      </c>
      <c r="J734" s="25">
        <v>0.02</v>
      </c>
      <c r="K734" s="25">
        <v>0.0</v>
      </c>
      <c r="L734" s="24">
        <f t="shared" ref="L734:O734" si="1478">IF(L733="", "", 1 + MROUND(IFERROR(MINIFS(OFFSET(L733, -1, 0, -$B734, 1), OFFSET(L733, -1, 0, -$B734, 1), "&gt;0"), L733) + (LN(1 + $Z734) ^ U$2) * U$3, 1))</f>
        <v>170556</v>
      </c>
      <c r="M734" s="24" t="str">
        <f t="shared" si="1478"/>
        <v/>
      </c>
      <c r="N734" s="24">
        <f t="shared" si="1478"/>
        <v>2391</v>
      </c>
      <c r="O734" s="24">
        <f t="shared" si="1478"/>
        <v>2506</v>
      </c>
      <c r="P734" s="24">
        <f t="shared" ref="P734:S734" si="1479">L734*$Y$2</f>
        <v>42639</v>
      </c>
      <c r="Q734" s="24">
        <f t="shared" si="1479"/>
        <v>0</v>
      </c>
      <c r="R734" s="24">
        <f t="shared" si="1479"/>
        <v>597.75</v>
      </c>
      <c r="S734" s="24">
        <f t="shared" si="1479"/>
        <v>626.5</v>
      </c>
      <c r="T734" s="24">
        <f t="shared" si="4"/>
        <v>14</v>
      </c>
      <c r="Z734" s="25">
        <f t="shared" si="12"/>
        <v>92.78344301</v>
      </c>
    </row>
    <row r="735">
      <c r="A735" s="16" t="s">
        <v>35</v>
      </c>
      <c r="B735" s="17">
        <v>134.0</v>
      </c>
      <c r="C735" s="24">
        <f t="shared" si="1214"/>
        <v>230273.9553</v>
      </c>
      <c r="D735" s="25">
        <v>0.05</v>
      </c>
      <c r="E735" s="24">
        <f t="shared" si="1215"/>
        <v>626.6648826</v>
      </c>
      <c r="F735" s="25">
        <v>0.02</v>
      </c>
      <c r="G735" s="24">
        <f t="shared" si="1216"/>
        <v>29606.65139</v>
      </c>
      <c r="H735" s="25">
        <v>0.05</v>
      </c>
      <c r="I735" s="24">
        <f t="shared" si="1217"/>
        <v>0</v>
      </c>
      <c r="J735" s="25">
        <v>0.02</v>
      </c>
      <c r="K735" s="25">
        <v>0.0</v>
      </c>
      <c r="L735" s="24">
        <f t="shared" ref="L735:O735" si="1480">IF(L734="", "", 1 + MROUND(IFERROR(MINIFS(OFFSET(L734, -1, 0, -$B735, 1), OFFSET(L734, -1, 0, -$B735, 1), "&gt;0"), L734) + (LN(1 + $Z735) ^ U$2) * U$3, 1))</f>
        <v>171282</v>
      </c>
      <c r="M735" s="24" t="str">
        <f t="shared" si="1480"/>
        <v/>
      </c>
      <c r="N735" s="24">
        <f t="shared" si="1480"/>
        <v>2421</v>
      </c>
      <c r="O735" s="24">
        <f t="shared" si="1480"/>
        <v>2536</v>
      </c>
      <c r="P735" s="24">
        <f t="shared" ref="P735:S735" si="1481">L735*$Y$2</f>
        <v>42820.5</v>
      </c>
      <c r="Q735" s="24">
        <f t="shared" si="1481"/>
        <v>0</v>
      </c>
      <c r="R735" s="24">
        <f t="shared" si="1481"/>
        <v>605.25</v>
      </c>
      <c r="S735" s="24">
        <f t="shared" si="1481"/>
        <v>634</v>
      </c>
      <c r="T735" s="24">
        <f t="shared" si="4"/>
        <v>14</v>
      </c>
      <c r="Z735" s="25">
        <f t="shared" si="12"/>
        <v>96.06586352</v>
      </c>
    </row>
    <row r="736">
      <c r="A736" s="16" t="s">
        <v>35</v>
      </c>
      <c r="B736" s="17">
        <v>135.0</v>
      </c>
      <c r="C736" s="24">
        <f t="shared" si="1214"/>
        <v>241787.653</v>
      </c>
      <c r="D736" s="25">
        <v>0.05</v>
      </c>
      <c r="E736" s="24">
        <f t="shared" si="1215"/>
        <v>639.1981802</v>
      </c>
      <c r="F736" s="25">
        <v>0.02</v>
      </c>
      <c r="G736" s="24">
        <f t="shared" si="1216"/>
        <v>31086.98396</v>
      </c>
      <c r="H736" s="25">
        <v>0.05</v>
      </c>
      <c r="I736" s="24">
        <f t="shared" si="1217"/>
        <v>0</v>
      </c>
      <c r="J736" s="25">
        <v>0.02</v>
      </c>
      <c r="K736" s="25">
        <v>0.0</v>
      </c>
      <c r="L736" s="24">
        <f t="shared" ref="L736:O736" si="1482">IF(L735="", "", 1 + MROUND(IFERROR(MINIFS(OFFSET(L735, -1, 0, -$B736, 1), OFFSET(L735, -1, 0, -$B736, 1), "&gt;0"), L735) + (LN(1 + $Z736) ^ U$2) * U$3, 1))</f>
        <v>172012</v>
      </c>
      <c r="M736" s="24" t="str">
        <f t="shared" si="1482"/>
        <v/>
      </c>
      <c r="N736" s="24">
        <f t="shared" si="1482"/>
        <v>2451</v>
      </c>
      <c r="O736" s="24">
        <f t="shared" si="1482"/>
        <v>2566</v>
      </c>
      <c r="P736" s="24">
        <f t="shared" ref="P736:S736" si="1483">L736*$Y$2</f>
        <v>43003</v>
      </c>
      <c r="Q736" s="24">
        <f t="shared" si="1483"/>
        <v>0</v>
      </c>
      <c r="R736" s="24">
        <f t="shared" si="1483"/>
        <v>612.75</v>
      </c>
      <c r="S736" s="24">
        <f t="shared" si="1483"/>
        <v>641.5</v>
      </c>
      <c r="T736" s="24">
        <f t="shared" si="4"/>
        <v>15</v>
      </c>
      <c r="Z736" s="25">
        <f t="shared" si="12"/>
        <v>99.46316874</v>
      </c>
    </row>
    <row r="737">
      <c r="A737" s="16" t="s">
        <v>35</v>
      </c>
      <c r="B737" s="17">
        <v>136.0</v>
      </c>
      <c r="C737" s="24">
        <f t="shared" si="1214"/>
        <v>253877.0357</v>
      </c>
      <c r="D737" s="25">
        <v>0.05</v>
      </c>
      <c r="E737" s="24">
        <f t="shared" si="1215"/>
        <v>651.9821438</v>
      </c>
      <c r="F737" s="25">
        <v>0.02</v>
      </c>
      <c r="G737" s="24">
        <f t="shared" si="1216"/>
        <v>32641.33316</v>
      </c>
      <c r="H737" s="25">
        <v>0.05</v>
      </c>
      <c r="I737" s="24">
        <f t="shared" si="1217"/>
        <v>0</v>
      </c>
      <c r="J737" s="25">
        <v>0.02</v>
      </c>
      <c r="K737" s="25">
        <v>0.0</v>
      </c>
      <c r="L737" s="24">
        <f t="shared" ref="L737:O737" si="1484">IF(L736="", "", 1 + MROUND(IFERROR(MINIFS(OFFSET(L736, -1, 0, -$B737, 1), OFFSET(L736, -1, 0, -$B737, 1), "&gt;0"), L736) + (LN(1 + $Z737) ^ U$2) * U$3, 1))</f>
        <v>172745</v>
      </c>
      <c r="M737" s="24" t="str">
        <f t="shared" si="1484"/>
        <v/>
      </c>
      <c r="N737" s="24">
        <f t="shared" si="1484"/>
        <v>2481</v>
      </c>
      <c r="O737" s="24">
        <f t="shared" si="1484"/>
        <v>2596</v>
      </c>
      <c r="P737" s="24">
        <f t="shared" ref="P737:S737" si="1485">L737*$Y$2</f>
        <v>43186.25</v>
      </c>
      <c r="Q737" s="24">
        <f t="shared" si="1485"/>
        <v>0</v>
      </c>
      <c r="R737" s="24">
        <f t="shared" si="1485"/>
        <v>620.25</v>
      </c>
      <c r="S737" s="24">
        <f t="shared" si="1485"/>
        <v>649</v>
      </c>
      <c r="T737" s="24">
        <f t="shared" si="4"/>
        <v>15</v>
      </c>
      <c r="Z737" s="25">
        <f t="shared" si="12"/>
        <v>102.9793796</v>
      </c>
    </row>
    <row r="738">
      <c r="A738" s="16" t="s">
        <v>35</v>
      </c>
      <c r="B738" s="17">
        <v>137.0</v>
      </c>
      <c r="C738" s="24">
        <f t="shared" si="1214"/>
        <v>266570.8875</v>
      </c>
      <c r="D738" s="25">
        <v>0.05</v>
      </c>
      <c r="E738" s="24">
        <f t="shared" si="1215"/>
        <v>665.0217867</v>
      </c>
      <c r="F738" s="25">
        <v>0.02</v>
      </c>
      <c r="G738" s="24">
        <f t="shared" si="1216"/>
        <v>34273.39982</v>
      </c>
      <c r="H738" s="25">
        <v>0.05</v>
      </c>
      <c r="I738" s="24">
        <f t="shared" si="1217"/>
        <v>0</v>
      </c>
      <c r="J738" s="25">
        <v>0.02</v>
      </c>
      <c r="K738" s="25">
        <v>0.0</v>
      </c>
      <c r="L738" s="24">
        <f t="shared" ref="L738:O738" si="1486">IF(L737="", "", 1 + MROUND(IFERROR(MINIFS(OFFSET(L737, -1, 0, -$B738, 1), OFFSET(L737, -1, 0, -$B738, 1), "&gt;0"), L737) + (LN(1 + $Z738) ^ U$2) * U$3, 1))</f>
        <v>173482</v>
      </c>
      <c r="M738" s="24" t="str">
        <f t="shared" si="1486"/>
        <v/>
      </c>
      <c r="N738" s="24">
        <f t="shared" si="1486"/>
        <v>2511</v>
      </c>
      <c r="O738" s="24">
        <f t="shared" si="1486"/>
        <v>2626</v>
      </c>
      <c r="P738" s="24">
        <f t="shared" ref="P738:S738" si="1487">L738*$Y$2</f>
        <v>43370.5</v>
      </c>
      <c r="Q738" s="24">
        <f t="shared" si="1487"/>
        <v>0</v>
      </c>
      <c r="R738" s="24">
        <f t="shared" si="1487"/>
        <v>627.75</v>
      </c>
      <c r="S738" s="24">
        <f t="shared" si="1487"/>
        <v>656.5</v>
      </c>
      <c r="T738" s="24">
        <f t="shared" si="4"/>
        <v>15</v>
      </c>
      <c r="Z738" s="25">
        <f t="shared" si="12"/>
        <v>106.6186579</v>
      </c>
    </row>
    <row r="739">
      <c r="A739" s="16" t="s">
        <v>35</v>
      </c>
      <c r="B739" s="17">
        <v>138.0</v>
      </c>
      <c r="C739" s="24">
        <f t="shared" si="1214"/>
        <v>279899.4319</v>
      </c>
      <c r="D739" s="25">
        <v>0.05</v>
      </c>
      <c r="E739" s="24">
        <f t="shared" si="1215"/>
        <v>678.3222224</v>
      </c>
      <c r="F739" s="25">
        <v>0.02</v>
      </c>
      <c r="G739" s="24">
        <f t="shared" si="1216"/>
        <v>35987.06981</v>
      </c>
      <c r="H739" s="25">
        <v>0.05</v>
      </c>
      <c r="I739" s="24">
        <f t="shared" si="1217"/>
        <v>0</v>
      </c>
      <c r="J739" s="25">
        <v>0.02</v>
      </c>
      <c r="K739" s="25">
        <v>0.0</v>
      </c>
      <c r="L739" s="24">
        <f t="shared" ref="L739:O739" si="1488">IF(L738="", "", 1 + MROUND(IFERROR(MINIFS(OFFSET(L738, -1, 0, -$B739, 1), OFFSET(L738, -1, 0, -$B739, 1), "&gt;0"), L738) + (LN(1 + $Z739) ^ U$2) * U$3, 1))</f>
        <v>174223</v>
      </c>
      <c r="M739" s="24" t="str">
        <f t="shared" si="1488"/>
        <v/>
      </c>
      <c r="N739" s="24">
        <f t="shared" si="1488"/>
        <v>2542</v>
      </c>
      <c r="O739" s="24">
        <f t="shared" si="1488"/>
        <v>2657</v>
      </c>
      <c r="P739" s="24">
        <f t="shared" ref="P739:S739" si="1489">L739*$Y$2</f>
        <v>43555.75</v>
      </c>
      <c r="Q739" s="24">
        <f t="shared" si="1489"/>
        <v>0</v>
      </c>
      <c r="R739" s="24">
        <f t="shared" si="1489"/>
        <v>635.5</v>
      </c>
      <c r="S739" s="24">
        <f t="shared" si="1489"/>
        <v>664.25</v>
      </c>
      <c r="T739" s="24">
        <f t="shared" si="4"/>
        <v>15</v>
      </c>
      <c r="Z739" s="25">
        <f t="shared" si="12"/>
        <v>110.385311</v>
      </c>
    </row>
    <row r="740">
      <c r="A740" s="16" t="s">
        <v>35</v>
      </c>
      <c r="B740" s="17">
        <v>139.0</v>
      </c>
      <c r="C740" s="24">
        <f t="shared" si="1214"/>
        <v>293894.4035</v>
      </c>
      <c r="D740" s="25">
        <v>0.05</v>
      </c>
      <c r="E740" s="24">
        <f t="shared" si="1215"/>
        <v>691.8886669</v>
      </c>
      <c r="F740" s="25">
        <v>0.02</v>
      </c>
      <c r="G740" s="24">
        <f t="shared" si="1216"/>
        <v>37786.4233</v>
      </c>
      <c r="H740" s="25">
        <v>0.05</v>
      </c>
      <c r="I740" s="24">
        <f t="shared" si="1217"/>
        <v>0</v>
      </c>
      <c r="J740" s="25">
        <v>0.02</v>
      </c>
      <c r="K740" s="25">
        <v>0.0</v>
      </c>
      <c r="L740" s="24">
        <f t="shared" ref="L740:O740" si="1490">IF(L739="", "", 1 + MROUND(IFERROR(MINIFS(OFFSET(L739, -1, 0, -$B740, 1), OFFSET(L739, -1, 0, -$B740, 1), "&gt;0"), L739) + (LN(1 + $Z740) ^ U$2) * U$3, 1))</f>
        <v>174968</v>
      </c>
      <c r="M740" s="24" t="str">
        <f t="shared" si="1490"/>
        <v/>
      </c>
      <c r="N740" s="24">
        <f t="shared" si="1490"/>
        <v>2573</v>
      </c>
      <c r="O740" s="24">
        <f t="shared" si="1490"/>
        <v>2688</v>
      </c>
      <c r="P740" s="24">
        <f t="shared" ref="P740:S740" si="1491">L740*$Y$2</f>
        <v>43742</v>
      </c>
      <c r="Q740" s="24">
        <f t="shared" si="1491"/>
        <v>0</v>
      </c>
      <c r="R740" s="24">
        <f t="shared" si="1491"/>
        <v>643.25</v>
      </c>
      <c r="S740" s="24">
        <f t="shared" si="1491"/>
        <v>672</v>
      </c>
      <c r="T740" s="24">
        <f t="shared" si="4"/>
        <v>15</v>
      </c>
      <c r="Z740" s="25">
        <f t="shared" si="12"/>
        <v>114.2837968</v>
      </c>
    </row>
    <row r="741">
      <c r="A741" s="16" t="s">
        <v>35</v>
      </c>
      <c r="B741" s="17">
        <v>140.0</v>
      </c>
      <c r="C741" s="24">
        <f t="shared" si="1214"/>
        <v>308589.1236</v>
      </c>
      <c r="D741" s="25">
        <v>0.05</v>
      </c>
      <c r="E741" s="24">
        <f t="shared" si="1215"/>
        <v>705.7264402</v>
      </c>
      <c r="F741" s="25">
        <v>0.02</v>
      </c>
      <c r="G741" s="24">
        <f t="shared" si="1216"/>
        <v>39675.74447</v>
      </c>
      <c r="H741" s="25">
        <v>0.05</v>
      </c>
      <c r="I741" s="24">
        <f t="shared" si="1217"/>
        <v>0</v>
      </c>
      <c r="J741" s="25">
        <v>0.02</v>
      </c>
      <c r="K741" s="25">
        <v>0.0</v>
      </c>
      <c r="L741" s="24">
        <f t="shared" ref="L741:O741" si="1492">IF(L740="", "", 1 + MROUND(IFERROR(MINIFS(OFFSET(L740, -1, 0, -$B741, 1), OFFSET(L740, -1, 0, -$B741, 1), "&gt;0"), L740) + (LN(1 + $Z741) ^ U$2) * U$3, 1))</f>
        <v>175717</v>
      </c>
      <c r="M741" s="24" t="str">
        <f t="shared" si="1492"/>
        <v/>
      </c>
      <c r="N741" s="24">
        <f t="shared" si="1492"/>
        <v>2604</v>
      </c>
      <c r="O741" s="24">
        <f t="shared" si="1492"/>
        <v>2719</v>
      </c>
      <c r="P741" s="24">
        <f t="shared" ref="P741:S741" si="1493">L741*$Y$2</f>
        <v>43929.25</v>
      </c>
      <c r="Q741" s="24">
        <f t="shared" si="1493"/>
        <v>0</v>
      </c>
      <c r="R741" s="24">
        <f t="shared" si="1493"/>
        <v>651</v>
      </c>
      <c r="S741" s="24">
        <f t="shared" si="1493"/>
        <v>679.75</v>
      </c>
      <c r="T741" s="24">
        <f t="shared" si="4"/>
        <v>15</v>
      </c>
      <c r="Z741" s="25">
        <f t="shared" si="12"/>
        <v>118.3187297</v>
      </c>
    </row>
    <row r="742">
      <c r="A742" s="16" t="s">
        <v>35</v>
      </c>
      <c r="B742" s="17">
        <v>141.0</v>
      </c>
      <c r="C742" s="24">
        <f t="shared" si="1214"/>
        <v>324018.5798</v>
      </c>
      <c r="D742" s="25">
        <v>0.05</v>
      </c>
      <c r="E742" s="24">
        <f t="shared" si="1215"/>
        <v>719.840969</v>
      </c>
      <c r="F742" s="25">
        <v>0.02</v>
      </c>
      <c r="G742" s="24">
        <f t="shared" si="1216"/>
        <v>41659.53169</v>
      </c>
      <c r="H742" s="25">
        <v>0.05</v>
      </c>
      <c r="I742" s="24">
        <f t="shared" si="1217"/>
        <v>0</v>
      </c>
      <c r="J742" s="25">
        <v>0.02</v>
      </c>
      <c r="K742" s="25">
        <v>0.0</v>
      </c>
      <c r="L742" s="24">
        <f t="shared" ref="L742:O742" si="1494">IF(L741="", "", 1 + MROUND(IFERROR(MINIFS(OFFSET(L741, -1, 0, -$B742, 1), OFFSET(L741, -1, 0, -$B742, 1), "&gt;0"), L741) + (LN(1 + $Z742) ^ U$2) * U$3, 1))</f>
        <v>176469</v>
      </c>
      <c r="M742" s="24" t="str">
        <f t="shared" si="1494"/>
        <v/>
      </c>
      <c r="N742" s="24">
        <f t="shared" si="1494"/>
        <v>2635</v>
      </c>
      <c r="O742" s="24">
        <f t="shared" si="1494"/>
        <v>2750</v>
      </c>
      <c r="P742" s="24">
        <f t="shared" ref="P742:S742" si="1495">L742*$Y$2</f>
        <v>44117.25</v>
      </c>
      <c r="Q742" s="24">
        <f t="shared" si="1495"/>
        <v>0</v>
      </c>
      <c r="R742" s="24">
        <f t="shared" si="1495"/>
        <v>658.75</v>
      </c>
      <c r="S742" s="24">
        <f t="shared" si="1495"/>
        <v>687.5</v>
      </c>
      <c r="T742" s="24">
        <f t="shared" si="4"/>
        <v>15</v>
      </c>
      <c r="Z742" s="25">
        <f t="shared" si="12"/>
        <v>122.4948853</v>
      </c>
    </row>
    <row r="743">
      <c r="A743" s="16" t="s">
        <v>35</v>
      </c>
      <c r="B743" s="17">
        <v>142.0</v>
      </c>
      <c r="C743" s="24">
        <f t="shared" si="1214"/>
        <v>340219.5088</v>
      </c>
      <c r="D743" s="25">
        <v>0.05</v>
      </c>
      <c r="E743" s="24">
        <f t="shared" si="1215"/>
        <v>734.2377884</v>
      </c>
      <c r="F743" s="25">
        <v>0.02</v>
      </c>
      <c r="G743" s="24">
        <f t="shared" si="1216"/>
        <v>43742.50827</v>
      </c>
      <c r="H743" s="25">
        <v>0.05</v>
      </c>
      <c r="I743" s="24">
        <f t="shared" si="1217"/>
        <v>0</v>
      </c>
      <c r="J743" s="25">
        <v>0.02</v>
      </c>
      <c r="K743" s="25">
        <v>0.0</v>
      </c>
      <c r="L743" s="24">
        <f t="shared" ref="L743:O743" si="1496">IF(L742="", "", 1 + MROUND(IFERROR(MINIFS(OFFSET(L742, -1, 0, -$B743, 1), OFFSET(L742, -1, 0, -$B743, 1), "&gt;0"), L742) + (LN(1 + $Z743) ^ U$2) * U$3, 1))</f>
        <v>177225</v>
      </c>
      <c r="M743" s="24" t="str">
        <f t="shared" si="1496"/>
        <v/>
      </c>
      <c r="N743" s="24">
        <f t="shared" si="1496"/>
        <v>2666</v>
      </c>
      <c r="O743" s="24">
        <f t="shared" si="1496"/>
        <v>2781</v>
      </c>
      <c r="P743" s="24">
        <f t="shared" ref="P743:S743" si="1497">L743*$Y$2</f>
        <v>44306.25</v>
      </c>
      <c r="Q743" s="24">
        <f t="shared" si="1497"/>
        <v>0</v>
      </c>
      <c r="R743" s="24">
        <f t="shared" si="1497"/>
        <v>666.5</v>
      </c>
      <c r="S743" s="24">
        <f t="shared" si="1497"/>
        <v>695.25</v>
      </c>
      <c r="T743" s="24">
        <f t="shared" si="4"/>
        <v>15</v>
      </c>
      <c r="Z743" s="25">
        <f t="shared" si="12"/>
        <v>126.8172063</v>
      </c>
    </row>
    <row r="744">
      <c r="A744" s="16" t="s">
        <v>35</v>
      </c>
      <c r="B744" s="17">
        <v>143.0</v>
      </c>
      <c r="C744" s="24">
        <f t="shared" si="1214"/>
        <v>357230.4842</v>
      </c>
      <c r="D744" s="25">
        <v>0.05</v>
      </c>
      <c r="E744" s="24">
        <f t="shared" si="1215"/>
        <v>748.9225442</v>
      </c>
      <c r="F744" s="25">
        <v>0.02</v>
      </c>
      <c r="G744" s="24">
        <f t="shared" si="1216"/>
        <v>45929.63369</v>
      </c>
      <c r="H744" s="25">
        <v>0.05</v>
      </c>
      <c r="I744" s="24">
        <f t="shared" si="1217"/>
        <v>0</v>
      </c>
      <c r="J744" s="25">
        <v>0.02</v>
      </c>
      <c r="K744" s="25">
        <v>0.0</v>
      </c>
      <c r="L744" s="24">
        <f t="shared" ref="L744:O744" si="1498">IF(L743="", "", 1 + MROUND(IFERROR(MINIFS(OFFSET(L743, -1, 0, -$B744, 1), OFFSET(L743, -1, 0, -$B744, 1), "&gt;0"), L743) + (LN(1 + $Z744) ^ U$2) * U$3, 1))</f>
        <v>177985</v>
      </c>
      <c r="M744" s="24" t="str">
        <f t="shared" si="1498"/>
        <v/>
      </c>
      <c r="N744" s="24">
        <f t="shared" si="1498"/>
        <v>2697</v>
      </c>
      <c r="O744" s="24">
        <f t="shared" si="1498"/>
        <v>2812</v>
      </c>
      <c r="P744" s="24">
        <f t="shared" ref="P744:S744" si="1499">L744*$Y$2</f>
        <v>44496.25</v>
      </c>
      <c r="Q744" s="24">
        <f t="shared" si="1499"/>
        <v>0</v>
      </c>
      <c r="R744" s="24">
        <f t="shared" si="1499"/>
        <v>674.25</v>
      </c>
      <c r="S744" s="24">
        <f t="shared" si="1499"/>
        <v>703</v>
      </c>
      <c r="T744" s="24">
        <f t="shared" si="4"/>
        <v>15</v>
      </c>
      <c r="Z744" s="25">
        <f t="shared" si="12"/>
        <v>131.2908085</v>
      </c>
    </row>
    <row r="745">
      <c r="A745" s="16" t="s">
        <v>35</v>
      </c>
      <c r="B745" s="17">
        <v>144.0</v>
      </c>
      <c r="C745" s="24">
        <f t="shared" si="1214"/>
        <v>375092.0084</v>
      </c>
      <c r="D745" s="25">
        <v>0.05</v>
      </c>
      <c r="E745" s="24">
        <f t="shared" si="1215"/>
        <v>763.900995</v>
      </c>
      <c r="F745" s="25">
        <v>0.02</v>
      </c>
      <c r="G745" s="24">
        <f t="shared" si="1216"/>
        <v>48226.11537</v>
      </c>
      <c r="H745" s="25">
        <v>0.05</v>
      </c>
      <c r="I745" s="24">
        <f t="shared" si="1217"/>
        <v>0</v>
      </c>
      <c r="J745" s="25">
        <v>0.02</v>
      </c>
      <c r="K745" s="25">
        <v>0.0</v>
      </c>
      <c r="L745" s="24">
        <f t="shared" ref="L745:O745" si="1500">IF(L744="", "", 1 + MROUND(IFERROR(MINIFS(OFFSET(L744, -1, 0, -$B745, 1), OFFSET(L744, -1, 0, -$B745, 1), "&gt;0"), L744) + (LN(1 + $Z745) ^ U$2) * U$3, 1))</f>
        <v>178749</v>
      </c>
      <c r="M745" s="24" t="str">
        <f t="shared" si="1500"/>
        <v/>
      </c>
      <c r="N745" s="24">
        <f t="shared" si="1500"/>
        <v>2729</v>
      </c>
      <c r="O745" s="24">
        <f t="shared" si="1500"/>
        <v>2844</v>
      </c>
      <c r="P745" s="24">
        <f t="shared" ref="P745:S745" si="1501">L745*$Y$2</f>
        <v>44687.25</v>
      </c>
      <c r="Q745" s="24">
        <f t="shared" si="1501"/>
        <v>0</v>
      </c>
      <c r="R745" s="24">
        <f t="shared" si="1501"/>
        <v>682.25</v>
      </c>
      <c r="S745" s="24">
        <f t="shared" si="1501"/>
        <v>711</v>
      </c>
      <c r="T745" s="24">
        <f t="shared" si="4"/>
        <v>15</v>
      </c>
      <c r="Z745" s="25">
        <f t="shared" si="12"/>
        <v>135.9209868</v>
      </c>
    </row>
    <row r="746">
      <c r="A746" s="16" t="s">
        <v>35</v>
      </c>
      <c r="B746" s="17">
        <v>145.0</v>
      </c>
      <c r="C746" s="24">
        <f t="shared" si="1214"/>
        <v>393846.6089</v>
      </c>
      <c r="D746" s="25">
        <v>0.05</v>
      </c>
      <c r="E746" s="24">
        <f t="shared" si="1215"/>
        <v>779.1790149</v>
      </c>
      <c r="F746" s="25">
        <v>0.02</v>
      </c>
      <c r="G746" s="24">
        <f t="shared" si="1216"/>
        <v>50637.42114</v>
      </c>
      <c r="H746" s="25">
        <v>0.05</v>
      </c>
      <c r="I746" s="24">
        <f t="shared" si="1217"/>
        <v>0</v>
      </c>
      <c r="J746" s="25">
        <v>0.02</v>
      </c>
      <c r="K746" s="25">
        <v>0.0</v>
      </c>
      <c r="L746" s="24">
        <f t="shared" ref="L746:O746" si="1502">IF(L745="", "", 1 + MROUND(IFERROR(MINIFS(OFFSET(L745, -1, 0, -$B746, 1), OFFSET(L745, -1, 0, -$B746, 1), "&gt;0"), L745) + (LN(1 + $Z746) ^ U$2) * U$3, 1))</f>
        <v>179516</v>
      </c>
      <c r="M746" s="24" t="str">
        <f t="shared" si="1502"/>
        <v/>
      </c>
      <c r="N746" s="24">
        <f t="shared" si="1502"/>
        <v>2761</v>
      </c>
      <c r="O746" s="24">
        <f t="shared" si="1502"/>
        <v>2876</v>
      </c>
      <c r="P746" s="24">
        <f t="shared" ref="P746:S746" si="1503">L746*$Y$2</f>
        <v>44879</v>
      </c>
      <c r="Q746" s="24">
        <f t="shared" si="1503"/>
        <v>0</v>
      </c>
      <c r="R746" s="24">
        <f t="shared" si="1503"/>
        <v>690.25</v>
      </c>
      <c r="S746" s="24">
        <f t="shared" si="1503"/>
        <v>719</v>
      </c>
      <c r="T746" s="24">
        <f t="shared" si="4"/>
        <v>16</v>
      </c>
      <c r="Z746" s="25">
        <f t="shared" si="12"/>
        <v>140.7132213</v>
      </c>
    </row>
    <row r="747">
      <c r="A747" s="16" t="s">
        <v>35</v>
      </c>
      <c r="B747" s="17">
        <v>146.0</v>
      </c>
      <c r="C747" s="24">
        <f t="shared" si="1214"/>
        <v>413538.9393</v>
      </c>
      <c r="D747" s="25">
        <v>0.05</v>
      </c>
      <c r="E747" s="24">
        <f t="shared" si="1215"/>
        <v>794.7625952</v>
      </c>
      <c r="F747" s="25">
        <v>0.02</v>
      </c>
      <c r="G747" s="24">
        <f t="shared" si="1216"/>
        <v>53169.2922</v>
      </c>
      <c r="H747" s="25">
        <v>0.05</v>
      </c>
      <c r="I747" s="24">
        <f t="shared" si="1217"/>
        <v>0</v>
      </c>
      <c r="J747" s="25">
        <v>0.02</v>
      </c>
      <c r="K747" s="25">
        <v>0.0</v>
      </c>
      <c r="L747" s="24">
        <f t="shared" ref="L747:O747" si="1504">IF(L746="", "", 1 + MROUND(IFERROR(MINIFS(OFFSET(L746, -1, 0, -$B747, 1), OFFSET(L746, -1, 0, -$B747, 1), "&gt;0"), L746) + (LN(1 + $Z747) ^ U$2) * U$3, 1))</f>
        <v>180287</v>
      </c>
      <c r="M747" s="24" t="str">
        <f t="shared" si="1504"/>
        <v/>
      </c>
      <c r="N747" s="24">
        <f t="shared" si="1504"/>
        <v>2793</v>
      </c>
      <c r="O747" s="24">
        <f t="shared" si="1504"/>
        <v>2908</v>
      </c>
      <c r="P747" s="24">
        <f t="shared" ref="P747:S747" si="1505">L747*$Y$2</f>
        <v>45071.75</v>
      </c>
      <c r="Q747" s="24">
        <f t="shared" si="1505"/>
        <v>0</v>
      </c>
      <c r="R747" s="24">
        <f t="shared" si="1505"/>
        <v>698.25</v>
      </c>
      <c r="S747" s="24">
        <f t="shared" si="1505"/>
        <v>727</v>
      </c>
      <c r="T747" s="24">
        <f t="shared" si="4"/>
        <v>16</v>
      </c>
      <c r="Z747" s="25">
        <f t="shared" si="12"/>
        <v>145.6731841</v>
      </c>
    </row>
    <row r="748">
      <c r="A748" s="16" t="s">
        <v>35</v>
      </c>
      <c r="B748" s="17">
        <v>147.0</v>
      </c>
      <c r="C748" s="24">
        <f t="shared" si="1214"/>
        <v>434215.8863</v>
      </c>
      <c r="D748" s="25">
        <v>0.05</v>
      </c>
      <c r="E748" s="24">
        <f t="shared" si="1215"/>
        <v>810.6578471</v>
      </c>
      <c r="F748" s="25">
        <v>0.02</v>
      </c>
      <c r="G748" s="24">
        <f t="shared" si="1216"/>
        <v>55827.75681</v>
      </c>
      <c r="H748" s="25">
        <v>0.05</v>
      </c>
      <c r="I748" s="24">
        <f t="shared" si="1217"/>
        <v>0</v>
      </c>
      <c r="J748" s="25">
        <v>0.02</v>
      </c>
      <c r="K748" s="25">
        <v>0.0</v>
      </c>
      <c r="L748" s="24">
        <f t="shared" ref="L748:O748" si="1506">IF(L747="", "", 1 + MROUND(IFERROR(MINIFS(OFFSET(L747, -1, 0, -$B748, 1), OFFSET(L747, -1, 0, -$B748, 1), "&gt;0"), L747) + (LN(1 + $Z748) ^ U$2) * U$3, 1))</f>
        <v>181062</v>
      </c>
      <c r="M748" s="24" t="str">
        <f t="shared" si="1506"/>
        <v/>
      </c>
      <c r="N748" s="24">
        <f t="shared" si="1506"/>
        <v>2825</v>
      </c>
      <c r="O748" s="24">
        <f t="shared" si="1506"/>
        <v>2940</v>
      </c>
      <c r="P748" s="24">
        <f t="shared" ref="P748:S748" si="1507">L748*$Y$2</f>
        <v>45265.5</v>
      </c>
      <c r="Q748" s="24">
        <f t="shared" si="1507"/>
        <v>0</v>
      </c>
      <c r="R748" s="24">
        <f t="shared" si="1507"/>
        <v>706.25</v>
      </c>
      <c r="S748" s="24">
        <f t="shared" si="1507"/>
        <v>735</v>
      </c>
      <c r="T748" s="24">
        <f t="shared" si="4"/>
        <v>16</v>
      </c>
      <c r="Z748" s="25">
        <f t="shared" si="12"/>
        <v>150.8067455</v>
      </c>
    </row>
    <row r="749">
      <c r="A749" s="16" t="s">
        <v>35</v>
      </c>
      <c r="B749" s="17">
        <v>148.0</v>
      </c>
      <c r="C749" s="24">
        <f t="shared" si="1214"/>
        <v>455926.6806</v>
      </c>
      <c r="D749" s="25">
        <v>0.05</v>
      </c>
      <c r="E749" s="24">
        <f t="shared" si="1215"/>
        <v>826.8710041</v>
      </c>
      <c r="F749" s="25">
        <v>0.02</v>
      </c>
      <c r="G749" s="24">
        <f t="shared" si="1216"/>
        <v>58619.14465</v>
      </c>
      <c r="H749" s="25">
        <v>0.05</v>
      </c>
      <c r="I749" s="24">
        <f t="shared" si="1217"/>
        <v>0</v>
      </c>
      <c r="J749" s="25">
        <v>0.02</v>
      </c>
      <c r="K749" s="25">
        <v>0.0</v>
      </c>
      <c r="L749" s="24">
        <f t="shared" ref="L749:O749" si="1508">IF(L748="", "", 1 + MROUND(IFERROR(MINIFS(OFFSET(L748, -1, 0, -$B749, 1), OFFSET(L748, -1, 0, -$B749, 1), "&gt;0"), L748) + (LN(1 + $Z749) ^ U$2) * U$3, 1))</f>
        <v>181840</v>
      </c>
      <c r="M749" s="24" t="str">
        <f t="shared" si="1508"/>
        <v/>
      </c>
      <c r="N749" s="24">
        <f t="shared" si="1508"/>
        <v>2857</v>
      </c>
      <c r="O749" s="24">
        <f t="shared" si="1508"/>
        <v>2972</v>
      </c>
      <c r="P749" s="24">
        <f t="shared" ref="P749:S749" si="1509">L749*$Y$2</f>
        <v>45460</v>
      </c>
      <c r="Q749" s="24">
        <f t="shared" si="1509"/>
        <v>0</v>
      </c>
      <c r="R749" s="24">
        <f t="shared" si="1509"/>
        <v>714.25</v>
      </c>
      <c r="S749" s="24">
        <f t="shared" si="1509"/>
        <v>743</v>
      </c>
      <c r="T749" s="24">
        <f t="shared" si="4"/>
        <v>16</v>
      </c>
      <c r="Z749" s="25">
        <f t="shared" si="12"/>
        <v>156.1199816</v>
      </c>
    </row>
    <row r="750">
      <c r="A750" s="16" t="s">
        <v>35</v>
      </c>
      <c r="B750" s="17">
        <v>149.0</v>
      </c>
      <c r="C750" s="24">
        <f t="shared" si="1214"/>
        <v>478723.0146</v>
      </c>
      <c r="D750" s="25">
        <v>0.05</v>
      </c>
      <c r="E750" s="24">
        <f t="shared" si="1215"/>
        <v>843.4084242</v>
      </c>
      <c r="F750" s="25">
        <v>0.02</v>
      </c>
      <c r="G750" s="24">
        <f t="shared" si="1216"/>
        <v>61550.10188</v>
      </c>
      <c r="H750" s="25">
        <v>0.05</v>
      </c>
      <c r="I750" s="24">
        <f t="shared" si="1217"/>
        <v>0</v>
      </c>
      <c r="J750" s="25">
        <v>0.02</v>
      </c>
      <c r="K750" s="25">
        <v>0.0</v>
      </c>
      <c r="L750" s="24">
        <f t="shared" ref="L750:O750" si="1510">IF(L749="", "", 1 + MROUND(IFERROR(MINIFS(OFFSET(L749, -1, 0, -$B750, 1), OFFSET(L749, -1, 0, -$B750, 1), "&gt;0"), L749) + (LN(1 + $Z750) ^ U$2) * U$3, 1))</f>
        <v>182622</v>
      </c>
      <c r="M750" s="24" t="str">
        <f t="shared" si="1510"/>
        <v/>
      </c>
      <c r="N750" s="24">
        <f t="shared" si="1510"/>
        <v>2889</v>
      </c>
      <c r="O750" s="24">
        <f t="shared" si="1510"/>
        <v>3004</v>
      </c>
      <c r="P750" s="24">
        <f t="shared" ref="P750:S750" si="1511">L750*$Y$2</f>
        <v>45655.5</v>
      </c>
      <c r="Q750" s="24">
        <f t="shared" si="1511"/>
        <v>0</v>
      </c>
      <c r="R750" s="24">
        <f t="shared" si="1511"/>
        <v>722.25</v>
      </c>
      <c r="S750" s="24">
        <f t="shared" si="1511"/>
        <v>751</v>
      </c>
      <c r="T750" s="24">
        <f t="shared" si="4"/>
        <v>16</v>
      </c>
      <c r="Z750" s="25">
        <f t="shared" si="12"/>
        <v>161.6191809</v>
      </c>
    </row>
    <row r="751">
      <c r="A751" s="16" t="s">
        <v>35</v>
      </c>
      <c r="B751" s="17">
        <v>150.0</v>
      </c>
      <c r="C751" s="24">
        <f t="shared" si="1214"/>
        <v>502659.1654</v>
      </c>
      <c r="D751" s="25">
        <v>0.05</v>
      </c>
      <c r="E751" s="24">
        <f t="shared" si="1215"/>
        <v>860.2765927</v>
      </c>
      <c r="F751" s="25">
        <v>0.02</v>
      </c>
      <c r="G751" s="24">
        <f t="shared" si="1216"/>
        <v>64627.60697</v>
      </c>
      <c r="H751" s="25">
        <v>0.05</v>
      </c>
      <c r="I751" s="24">
        <f t="shared" si="1217"/>
        <v>0</v>
      </c>
      <c r="J751" s="25">
        <v>0.02</v>
      </c>
      <c r="K751" s="25">
        <v>0.0</v>
      </c>
      <c r="L751" s="24">
        <f t="shared" ref="L751:O751" si="1512">IF(L750="", "", 1 + MROUND(IFERROR(MINIFS(OFFSET(L750, -1, 0, -$B751, 1), OFFSET(L750, -1, 0, -$B751, 1), "&gt;0"), L750) + (LN(1 + $Z751) ^ U$2) * U$3, 1))</f>
        <v>183408</v>
      </c>
      <c r="M751" s="24" t="str">
        <f t="shared" si="1512"/>
        <v/>
      </c>
      <c r="N751" s="24">
        <f t="shared" si="1512"/>
        <v>2921</v>
      </c>
      <c r="O751" s="24">
        <f t="shared" si="1512"/>
        <v>3036</v>
      </c>
      <c r="P751" s="24">
        <f t="shared" ref="P751:S751" si="1513">L751*$Y$2</f>
        <v>45852</v>
      </c>
      <c r="Q751" s="24">
        <f t="shared" si="1513"/>
        <v>0</v>
      </c>
      <c r="R751" s="24">
        <f t="shared" si="1513"/>
        <v>730.25</v>
      </c>
      <c r="S751" s="24">
        <f t="shared" si="1513"/>
        <v>759</v>
      </c>
      <c r="T751" s="24">
        <f t="shared" si="4"/>
        <v>16</v>
      </c>
      <c r="Z751" s="25">
        <f t="shared" si="12"/>
        <v>167.3108523</v>
      </c>
    </row>
    <row r="752">
      <c r="A752" s="16" t="s">
        <v>35</v>
      </c>
      <c r="B752" s="17">
        <v>151.0</v>
      </c>
      <c r="C752" s="24">
        <f t="shared" si="1214"/>
        <v>527792.1236</v>
      </c>
      <c r="D752" s="25">
        <v>0.05</v>
      </c>
      <c r="E752" s="24">
        <f t="shared" si="1215"/>
        <v>877.4821245</v>
      </c>
      <c r="F752" s="25">
        <v>0.02</v>
      </c>
      <c r="G752" s="24">
        <f t="shared" si="1216"/>
        <v>67858.98732</v>
      </c>
      <c r="H752" s="25">
        <v>0.05</v>
      </c>
      <c r="I752" s="24">
        <f t="shared" si="1217"/>
        <v>0</v>
      </c>
      <c r="J752" s="25">
        <v>0.02</v>
      </c>
      <c r="K752" s="25">
        <v>0.0</v>
      </c>
      <c r="L752" s="24">
        <f t="shared" ref="L752:O752" si="1514">IF(L751="", "", 1 + MROUND(IFERROR(MINIFS(OFFSET(L751, -1, 0, -$B752, 1), OFFSET(L751, -1, 0, -$B752, 1), "&gt;0"), L751) + (LN(1 + $Z752) ^ U$2) * U$3, 1))</f>
        <v>184198</v>
      </c>
      <c r="M752" s="24" t="str">
        <f t="shared" si="1514"/>
        <v/>
      </c>
      <c r="N752" s="24">
        <f t="shared" si="1514"/>
        <v>2954</v>
      </c>
      <c r="O752" s="24">
        <f t="shared" si="1514"/>
        <v>3069</v>
      </c>
      <c r="P752" s="24">
        <f t="shared" ref="P752:S752" si="1515">L752*$Y$2</f>
        <v>46049.5</v>
      </c>
      <c r="Q752" s="24">
        <f t="shared" si="1515"/>
        <v>0</v>
      </c>
      <c r="R752" s="24">
        <f t="shared" si="1515"/>
        <v>738.5</v>
      </c>
      <c r="S752" s="24">
        <f t="shared" si="1515"/>
        <v>767.25</v>
      </c>
      <c r="T752" s="24">
        <f t="shared" si="4"/>
        <v>16</v>
      </c>
      <c r="Z752" s="25">
        <f t="shared" si="12"/>
        <v>173.2017321</v>
      </c>
    </row>
    <row r="753">
      <c r="A753" s="16" t="s">
        <v>35</v>
      </c>
      <c r="B753" s="17">
        <v>152.0</v>
      </c>
      <c r="C753" s="24">
        <f t="shared" si="1214"/>
        <v>554181.7298</v>
      </c>
      <c r="D753" s="25">
        <v>0.05</v>
      </c>
      <c r="E753" s="24">
        <f t="shared" si="1215"/>
        <v>895.031767</v>
      </c>
      <c r="F753" s="25">
        <v>0.02</v>
      </c>
      <c r="G753" s="24">
        <f t="shared" si="1216"/>
        <v>71251.93669</v>
      </c>
      <c r="H753" s="25">
        <v>0.05</v>
      </c>
      <c r="I753" s="24">
        <f t="shared" si="1217"/>
        <v>0</v>
      </c>
      <c r="J753" s="25">
        <v>0.02</v>
      </c>
      <c r="K753" s="25">
        <v>0.0</v>
      </c>
      <c r="L753" s="24">
        <f t="shared" ref="L753:O753" si="1516">IF(L752="", "", 1 + MROUND(IFERROR(MINIFS(OFFSET(L752, -1, 0, -$B753, 1), OFFSET(L752, -1, 0, -$B753, 1), "&gt;0"), L752) + (LN(1 + $Z753) ^ U$2) * U$3, 1))</f>
        <v>184991</v>
      </c>
      <c r="M753" s="24" t="str">
        <f t="shared" si="1516"/>
        <v/>
      </c>
      <c r="N753" s="24">
        <f t="shared" si="1516"/>
        <v>2987</v>
      </c>
      <c r="O753" s="24">
        <f t="shared" si="1516"/>
        <v>3102</v>
      </c>
      <c r="P753" s="24">
        <f t="shared" ref="P753:S753" si="1517">L753*$Y$2</f>
        <v>46247.75</v>
      </c>
      <c r="Q753" s="24">
        <f t="shared" si="1517"/>
        <v>0</v>
      </c>
      <c r="R753" s="24">
        <f t="shared" si="1517"/>
        <v>746.75</v>
      </c>
      <c r="S753" s="24">
        <f t="shared" si="1517"/>
        <v>775.5</v>
      </c>
      <c r="T753" s="24">
        <f t="shared" si="4"/>
        <v>16</v>
      </c>
      <c r="Z753" s="25">
        <f t="shared" si="12"/>
        <v>179.2987927</v>
      </c>
    </row>
    <row r="754">
      <c r="A754" s="16" t="s">
        <v>35</v>
      </c>
      <c r="B754" s="17">
        <v>153.0</v>
      </c>
      <c r="C754" s="24">
        <f t="shared" si="1214"/>
        <v>581890.8163</v>
      </c>
      <c r="D754" s="25">
        <v>0.05</v>
      </c>
      <c r="E754" s="24">
        <f t="shared" si="1215"/>
        <v>912.9324023</v>
      </c>
      <c r="F754" s="25">
        <v>0.02</v>
      </c>
      <c r="G754" s="24">
        <f t="shared" si="1216"/>
        <v>74814.53352</v>
      </c>
      <c r="H754" s="25">
        <v>0.05</v>
      </c>
      <c r="I754" s="24">
        <f t="shared" si="1217"/>
        <v>0</v>
      </c>
      <c r="J754" s="25">
        <v>0.02</v>
      </c>
      <c r="K754" s="25">
        <v>0.0</v>
      </c>
      <c r="L754" s="24">
        <f t="shared" ref="L754:O754" si="1518">IF(L753="", "", 1 + MROUND(IFERROR(MINIFS(OFFSET(L753, -1, 0, -$B754, 1), OFFSET(L753, -1, 0, -$B754, 1), "&gt;0"), L753) + (LN(1 + $Z754) ^ U$2) * U$3, 1))</f>
        <v>185788</v>
      </c>
      <c r="M754" s="24" t="str">
        <f t="shared" si="1518"/>
        <v/>
      </c>
      <c r="N754" s="24">
        <f t="shared" si="1518"/>
        <v>3020</v>
      </c>
      <c r="O754" s="24">
        <f t="shared" si="1518"/>
        <v>3135</v>
      </c>
      <c r="P754" s="24">
        <f t="shared" ref="P754:S754" si="1519">L754*$Y$2</f>
        <v>46447</v>
      </c>
      <c r="Q754" s="24">
        <f t="shared" si="1519"/>
        <v>0</v>
      </c>
      <c r="R754" s="24">
        <f t="shared" si="1519"/>
        <v>755</v>
      </c>
      <c r="S754" s="24">
        <f t="shared" si="1519"/>
        <v>783.75</v>
      </c>
      <c r="T754" s="24">
        <f t="shared" si="4"/>
        <v>16</v>
      </c>
      <c r="Z754" s="25">
        <f t="shared" si="12"/>
        <v>185.6092505</v>
      </c>
    </row>
    <row r="755">
      <c r="A755" s="16" t="s">
        <v>35</v>
      </c>
      <c r="B755" s="17">
        <v>154.0</v>
      </c>
      <c r="C755" s="24">
        <f t="shared" si="1214"/>
        <v>610985.3571</v>
      </c>
      <c r="D755" s="25">
        <v>0.05</v>
      </c>
      <c r="E755" s="24">
        <f t="shared" si="1215"/>
        <v>931.1910504</v>
      </c>
      <c r="F755" s="25">
        <v>0.02</v>
      </c>
      <c r="G755" s="24">
        <f t="shared" si="1216"/>
        <v>78555.2602</v>
      </c>
      <c r="H755" s="25">
        <v>0.05</v>
      </c>
      <c r="I755" s="24">
        <f t="shared" si="1217"/>
        <v>0</v>
      </c>
      <c r="J755" s="25">
        <v>0.02</v>
      </c>
      <c r="K755" s="25">
        <v>0.0</v>
      </c>
      <c r="L755" s="24">
        <f t="shared" ref="L755:O755" si="1520">IF(L754="", "", 1 + MROUND(IFERROR(MINIFS(OFFSET(L754, -1, 0, -$B755, 1), OFFSET(L754, -1, 0, -$B755, 1), "&gt;0"), L754) + (LN(1 + $Z755) ^ U$2) * U$3, 1))</f>
        <v>186589</v>
      </c>
      <c r="M755" s="24" t="str">
        <f t="shared" si="1520"/>
        <v/>
      </c>
      <c r="N755" s="24">
        <f t="shared" si="1520"/>
        <v>3053</v>
      </c>
      <c r="O755" s="24">
        <f t="shared" si="1520"/>
        <v>3168</v>
      </c>
      <c r="P755" s="24">
        <f t="shared" ref="P755:S755" si="1521">L755*$Y$2</f>
        <v>46647.25</v>
      </c>
      <c r="Q755" s="24">
        <f t="shared" si="1521"/>
        <v>0</v>
      </c>
      <c r="R755" s="24">
        <f t="shared" si="1521"/>
        <v>763.25</v>
      </c>
      <c r="S755" s="24">
        <f t="shared" si="1521"/>
        <v>792</v>
      </c>
      <c r="T755" s="24">
        <f t="shared" si="4"/>
        <v>16</v>
      </c>
      <c r="Z755" s="25">
        <f t="shared" si="12"/>
        <v>192.1405742</v>
      </c>
    </row>
    <row r="756">
      <c r="A756" s="16" t="s">
        <v>35</v>
      </c>
      <c r="B756" s="17">
        <v>155.0</v>
      </c>
      <c r="C756" s="24">
        <f t="shared" si="1214"/>
        <v>641534.625</v>
      </c>
      <c r="D756" s="25">
        <v>0.05</v>
      </c>
      <c r="E756" s="24">
        <f t="shared" si="1215"/>
        <v>949.8148714</v>
      </c>
      <c r="F756" s="25">
        <v>0.02</v>
      </c>
      <c r="G756" s="24">
        <f t="shared" si="1216"/>
        <v>82483.02321</v>
      </c>
      <c r="H756" s="25">
        <v>0.05</v>
      </c>
      <c r="I756" s="24">
        <f t="shared" si="1217"/>
        <v>0</v>
      </c>
      <c r="J756" s="25">
        <v>0.02</v>
      </c>
      <c r="K756" s="25">
        <v>0.0</v>
      </c>
      <c r="L756" s="24">
        <f t="shared" ref="L756:O756" si="1522">IF(L755="", "", 1 + MROUND(IFERROR(MINIFS(OFFSET(L755, -1, 0, -$B756, 1), OFFSET(L755, -1, 0, -$B756, 1), "&gt;0"), L755) + (LN(1 + $Z756) ^ U$2) * U$3, 1))</f>
        <v>187393</v>
      </c>
      <c r="M756" s="24" t="str">
        <f t="shared" si="1522"/>
        <v/>
      </c>
      <c r="N756" s="24">
        <f t="shared" si="1522"/>
        <v>3086</v>
      </c>
      <c r="O756" s="24">
        <f t="shared" si="1522"/>
        <v>3201</v>
      </c>
      <c r="P756" s="24">
        <f t="shared" ref="P756:S756" si="1523">L756*$Y$2</f>
        <v>46848.25</v>
      </c>
      <c r="Q756" s="24">
        <f t="shared" si="1523"/>
        <v>0</v>
      </c>
      <c r="R756" s="24">
        <f t="shared" si="1523"/>
        <v>771.5</v>
      </c>
      <c r="S756" s="24">
        <f t="shared" si="1523"/>
        <v>800.25</v>
      </c>
      <c r="T756" s="24">
        <f t="shared" si="4"/>
        <v>17</v>
      </c>
      <c r="Z756" s="25">
        <f t="shared" si="12"/>
        <v>198.9004943</v>
      </c>
    </row>
    <row r="757">
      <c r="A757" s="16" t="s">
        <v>35</v>
      </c>
      <c r="B757" s="17">
        <v>156.0</v>
      </c>
      <c r="C757" s="24">
        <f t="shared" si="1214"/>
        <v>673611.3562</v>
      </c>
      <c r="D757" s="25">
        <v>0.05</v>
      </c>
      <c r="E757" s="24">
        <f t="shared" si="1215"/>
        <v>968.8111688</v>
      </c>
      <c r="F757" s="25">
        <v>0.02</v>
      </c>
      <c r="G757" s="24">
        <f t="shared" si="1216"/>
        <v>86607.17437</v>
      </c>
      <c r="H757" s="25">
        <v>0.05</v>
      </c>
      <c r="I757" s="24">
        <f t="shared" si="1217"/>
        <v>0</v>
      </c>
      <c r="J757" s="25">
        <v>0.02</v>
      </c>
      <c r="K757" s="25">
        <v>0.0</v>
      </c>
      <c r="L757" s="24">
        <f t="shared" ref="L757:O757" si="1524">IF(L756="", "", 1 + MROUND(IFERROR(MINIFS(OFFSET(L756, -1, 0, -$B757, 1), OFFSET(L756, -1, 0, -$B757, 1), "&gt;0"), L756) + (LN(1 + $Z757) ^ U$2) * U$3, 1))</f>
        <v>188201</v>
      </c>
      <c r="M757" s="24" t="str">
        <f t="shared" si="1524"/>
        <v/>
      </c>
      <c r="N757" s="24">
        <f t="shared" si="1524"/>
        <v>3119</v>
      </c>
      <c r="O757" s="24">
        <f t="shared" si="1524"/>
        <v>3234</v>
      </c>
      <c r="P757" s="24">
        <f t="shared" ref="P757:S757" si="1525">L757*$Y$2</f>
        <v>47050.25</v>
      </c>
      <c r="Q757" s="24">
        <f t="shared" si="1525"/>
        <v>0</v>
      </c>
      <c r="R757" s="24">
        <f t="shared" si="1525"/>
        <v>779.75</v>
      </c>
      <c r="S757" s="24">
        <f t="shared" si="1525"/>
        <v>808.5</v>
      </c>
      <c r="T757" s="24">
        <f t="shared" si="4"/>
        <v>17</v>
      </c>
      <c r="Z757" s="25">
        <f t="shared" si="12"/>
        <v>205.8970116</v>
      </c>
    </row>
    <row r="758">
      <c r="A758" s="16" t="s">
        <v>35</v>
      </c>
      <c r="B758" s="17">
        <v>157.0</v>
      </c>
      <c r="C758" s="24">
        <f t="shared" si="1214"/>
        <v>707291.924</v>
      </c>
      <c r="D758" s="25">
        <v>0.05</v>
      </c>
      <c r="E758" s="24">
        <f t="shared" si="1215"/>
        <v>988.1873922</v>
      </c>
      <c r="F758" s="25">
        <v>0.02</v>
      </c>
      <c r="G758" s="24">
        <f t="shared" si="1216"/>
        <v>90937.53309</v>
      </c>
      <c r="H758" s="25">
        <v>0.05</v>
      </c>
      <c r="I758" s="24">
        <f t="shared" si="1217"/>
        <v>0</v>
      </c>
      <c r="J758" s="25">
        <v>0.02</v>
      </c>
      <c r="K758" s="25">
        <v>0.0</v>
      </c>
      <c r="L758" s="24">
        <f t="shared" ref="L758:O758" si="1526">IF(L757="", "", 1 + MROUND(IFERROR(MINIFS(OFFSET(L757, -1, 0, -$B758, 1), OFFSET(L757, -1, 0, -$B758, 1), "&gt;0"), L757) + (LN(1 + $Z758) ^ U$2) * U$3, 1))</f>
        <v>189012</v>
      </c>
      <c r="M758" s="24" t="str">
        <f t="shared" si="1526"/>
        <v/>
      </c>
      <c r="N758" s="24">
        <f t="shared" si="1526"/>
        <v>3152</v>
      </c>
      <c r="O758" s="24">
        <f t="shared" si="1526"/>
        <v>3267</v>
      </c>
      <c r="P758" s="24">
        <f t="shared" ref="P758:S758" si="1527">L758*$Y$2</f>
        <v>47253</v>
      </c>
      <c r="Q758" s="24">
        <f t="shared" si="1527"/>
        <v>0</v>
      </c>
      <c r="R758" s="24">
        <f t="shared" si="1527"/>
        <v>788</v>
      </c>
      <c r="S758" s="24">
        <f t="shared" si="1527"/>
        <v>816.75</v>
      </c>
      <c r="T758" s="24">
        <f t="shared" si="4"/>
        <v>17</v>
      </c>
      <c r="Z758" s="25">
        <f t="shared" si="12"/>
        <v>213.1384071</v>
      </c>
    </row>
    <row r="759">
      <c r="A759" s="16" t="s">
        <v>35</v>
      </c>
      <c r="B759" s="17">
        <v>158.0</v>
      </c>
      <c r="C759" s="24">
        <f t="shared" si="1214"/>
        <v>742656.5202</v>
      </c>
      <c r="D759" s="25">
        <v>0.05</v>
      </c>
      <c r="E759" s="24">
        <f t="shared" si="1215"/>
        <v>1007.95114</v>
      </c>
      <c r="F759" s="25">
        <v>0.02</v>
      </c>
      <c r="G759" s="24">
        <f t="shared" si="1216"/>
        <v>95484.40974</v>
      </c>
      <c r="H759" s="25">
        <v>0.05</v>
      </c>
      <c r="I759" s="24">
        <f t="shared" si="1217"/>
        <v>0</v>
      </c>
      <c r="J759" s="25">
        <v>0.02</v>
      </c>
      <c r="K759" s="25">
        <v>0.0</v>
      </c>
      <c r="L759" s="24">
        <f t="shared" ref="L759:O759" si="1528">IF(L758="", "", 1 + MROUND(IFERROR(MINIFS(OFFSET(L758, -1, 0, -$B759, 1), OFFSET(L758, -1, 0, -$B759, 1), "&gt;0"), L758) + (LN(1 + $Z759) ^ U$2) * U$3, 1))</f>
        <v>189827</v>
      </c>
      <c r="M759" s="24" t="str">
        <f t="shared" si="1528"/>
        <v/>
      </c>
      <c r="N759" s="24">
        <f t="shared" si="1528"/>
        <v>3186</v>
      </c>
      <c r="O759" s="24">
        <f t="shared" si="1528"/>
        <v>3301</v>
      </c>
      <c r="P759" s="24">
        <f t="shared" ref="P759:S759" si="1529">L759*$Y$2</f>
        <v>47456.75</v>
      </c>
      <c r="Q759" s="24">
        <f t="shared" si="1529"/>
        <v>0</v>
      </c>
      <c r="R759" s="24">
        <f t="shared" si="1529"/>
        <v>796.5</v>
      </c>
      <c r="S759" s="24">
        <f t="shared" si="1529"/>
        <v>825.25</v>
      </c>
      <c r="T759" s="24">
        <f t="shared" si="4"/>
        <v>17</v>
      </c>
      <c r="Z759" s="25">
        <f t="shared" si="12"/>
        <v>220.6332513</v>
      </c>
    </row>
    <row r="760">
      <c r="A760" s="16" t="s">
        <v>35</v>
      </c>
      <c r="B760" s="17">
        <v>159.0</v>
      </c>
      <c r="C760" s="24">
        <f t="shared" si="1214"/>
        <v>779789.3462</v>
      </c>
      <c r="D760" s="25">
        <v>0.05</v>
      </c>
      <c r="E760" s="24">
        <f t="shared" si="1215"/>
        <v>1028.110163</v>
      </c>
      <c r="F760" s="25">
        <v>0.02</v>
      </c>
      <c r="G760" s="24">
        <f t="shared" si="1216"/>
        <v>100258.6302</v>
      </c>
      <c r="H760" s="25">
        <v>0.05</v>
      </c>
      <c r="I760" s="24">
        <f t="shared" si="1217"/>
        <v>0</v>
      </c>
      <c r="J760" s="25">
        <v>0.02</v>
      </c>
      <c r="K760" s="25">
        <v>0.0</v>
      </c>
      <c r="L760" s="24">
        <f t="shared" ref="L760:O760" si="1530">IF(L759="", "", 1 + MROUND(IFERROR(MINIFS(OFFSET(L759, -1, 0, -$B760, 1), OFFSET(L759, -1, 0, -$B760, 1), "&gt;0"), L759) + (LN(1 + $Z760) ^ U$2) * U$3, 1))</f>
        <v>190646</v>
      </c>
      <c r="M760" s="24" t="str">
        <f t="shared" si="1530"/>
        <v/>
      </c>
      <c r="N760" s="24">
        <f t="shared" si="1530"/>
        <v>3220</v>
      </c>
      <c r="O760" s="24">
        <f t="shared" si="1530"/>
        <v>3335</v>
      </c>
      <c r="P760" s="24">
        <f t="shared" ref="P760:S760" si="1531">L760*$Y$2</f>
        <v>47661.5</v>
      </c>
      <c r="Q760" s="24">
        <f t="shared" si="1531"/>
        <v>0</v>
      </c>
      <c r="R760" s="24">
        <f t="shared" si="1531"/>
        <v>805</v>
      </c>
      <c r="S760" s="24">
        <f t="shared" si="1531"/>
        <v>833.75</v>
      </c>
      <c r="T760" s="24">
        <f t="shared" si="4"/>
        <v>17</v>
      </c>
      <c r="Z760" s="25">
        <f t="shared" si="12"/>
        <v>228.3904151</v>
      </c>
    </row>
    <row r="761">
      <c r="A761" s="16" t="s">
        <v>35</v>
      </c>
      <c r="B761" s="17">
        <v>160.0</v>
      </c>
      <c r="C761" s="24">
        <f t="shared" si="1214"/>
        <v>818778.8135</v>
      </c>
      <c r="D761" s="25">
        <v>0.05</v>
      </c>
      <c r="E761" s="24">
        <f t="shared" si="1215"/>
        <v>1048.672366</v>
      </c>
      <c r="F761" s="25">
        <v>0.02</v>
      </c>
      <c r="G761" s="24">
        <f t="shared" si="1216"/>
        <v>105271.5617</v>
      </c>
      <c r="H761" s="25">
        <v>0.05</v>
      </c>
      <c r="I761" s="24">
        <f t="shared" si="1217"/>
        <v>0</v>
      </c>
      <c r="J761" s="25">
        <v>0.02</v>
      </c>
      <c r="K761" s="25">
        <v>0.0</v>
      </c>
      <c r="L761" s="24">
        <f t="shared" ref="L761:O761" si="1532">IF(L760="", "", 1 + MROUND(IFERROR(MINIFS(OFFSET(L760, -1, 0, -$B761, 1), OFFSET(L760, -1, 0, -$B761, 1), "&gt;0"), L760) + (LN(1 + $Z761) ^ U$2) * U$3, 1))</f>
        <v>191468</v>
      </c>
      <c r="M761" s="24" t="str">
        <f t="shared" si="1532"/>
        <v/>
      </c>
      <c r="N761" s="24">
        <f t="shared" si="1532"/>
        <v>3254</v>
      </c>
      <c r="O761" s="24">
        <f t="shared" si="1532"/>
        <v>3369</v>
      </c>
      <c r="P761" s="24">
        <f t="shared" ref="P761:S761" si="1533">L761*$Y$2</f>
        <v>47867</v>
      </c>
      <c r="Q761" s="24">
        <f t="shared" si="1533"/>
        <v>0</v>
      </c>
      <c r="R761" s="24">
        <f t="shared" si="1533"/>
        <v>813.5</v>
      </c>
      <c r="S761" s="24">
        <f t="shared" si="1533"/>
        <v>842.25</v>
      </c>
      <c r="T761" s="24">
        <f t="shared" si="4"/>
        <v>17</v>
      </c>
      <c r="Z761" s="25">
        <f t="shared" si="12"/>
        <v>236.4190796</v>
      </c>
    </row>
    <row r="762">
      <c r="A762" s="16" t="s">
        <v>35</v>
      </c>
      <c r="B762" s="17">
        <v>161.0</v>
      </c>
      <c r="C762" s="24">
        <f t="shared" si="1214"/>
        <v>859717.7542</v>
      </c>
      <c r="D762" s="25">
        <v>0.05</v>
      </c>
      <c r="E762" s="24">
        <f t="shared" si="1215"/>
        <v>1069.645813</v>
      </c>
      <c r="F762" s="25">
        <v>0.02</v>
      </c>
      <c r="G762" s="24">
        <f t="shared" si="1216"/>
        <v>110535.1398</v>
      </c>
      <c r="H762" s="25">
        <v>0.05</v>
      </c>
      <c r="I762" s="24">
        <f t="shared" si="1217"/>
        <v>0</v>
      </c>
      <c r="J762" s="25">
        <v>0.02</v>
      </c>
      <c r="K762" s="25">
        <v>0.0</v>
      </c>
      <c r="L762" s="24">
        <f t="shared" ref="L762:O762" si="1534">IF(L761="", "", 1 + MROUND(IFERROR(MINIFS(OFFSET(L761, -1, 0, -$B762, 1), OFFSET(L761, -1, 0, -$B762, 1), "&gt;0"), L761) + (LN(1 + $Z762) ^ U$2) * U$3, 1))</f>
        <v>192294</v>
      </c>
      <c r="M762" s="24" t="str">
        <f t="shared" si="1534"/>
        <v/>
      </c>
      <c r="N762" s="24">
        <f t="shared" si="1534"/>
        <v>3288</v>
      </c>
      <c r="O762" s="24">
        <f t="shared" si="1534"/>
        <v>3403</v>
      </c>
      <c r="P762" s="24">
        <f t="shared" ref="P762:S762" si="1535">L762*$Y$2</f>
        <v>48073.5</v>
      </c>
      <c r="Q762" s="24">
        <f t="shared" si="1535"/>
        <v>0</v>
      </c>
      <c r="R762" s="24">
        <f t="shared" si="1535"/>
        <v>822</v>
      </c>
      <c r="S762" s="24">
        <f t="shared" si="1535"/>
        <v>850.75</v>
      </c>
      <c r="T762" s="24">
        <f t="shared" si="4"/>
        <v>17</v>
      </c>
      <c r="Z762" s="25">
        <f t="shared" si="12"/>
        <v>244.7287474</v>
      </c>
    </row>
    <row r="763">
      <c r="A763" s="16" t="s">
        <v>35</v>
      </c>
      <c r="B763" s="17">
        <v>162.0</v>
      </c>
      <c r="C763" s="24">
        <f t="shared" si="1214"/>
        <v>902703.6419</v>
      </c>
      <c r="D763" s="25">
        <v>0.05</v>
      </c>
      <c r="E763" s="24">
        <f t="shared" si="1215"/>
        <v>1091.03873</v>
      </c>
      <c r="F763" s="25">
        <v>0.02</v>
      </c>
      <c r="G763" s="24">
        <f t="shared" si="1216"/>
        <v>116061.8968</v>
      </c>
      <c r="H763" s="25">
        <v>0.05</v>
      </c>
      <c r="I763" s="24">
        <f t="shared" si="1217"/>
        <v>0</v>
      </c>
      <c r="J763" s="25">
        <v>0.02</v>
      </c>
      <c r="K763" s="25">
        <v>0.0</v>
      </c>
      <c r="L763" s="24">
        <f t="shared" ref="L763:O763" si="1536">IF(L762="", "", 1 + MROUND(IFERROR(MINIFS(OFFSET(L762, -1, 0, -$B763, 1), OFFSET(L762, -1, 0, -$B763, 1), "&gt;0"), L762) + (LN(1 + $Z763) ^ U$2) * U$3, 1))</f>
        <v>193124</v>
      </c>
      <c r="M763" s="24" t="str">
        <f t="shared" si="1536"/>
        <v/>
      </c>
      <c r="N763" s="24">
        <f t="shared" si="1536"/>
        <v>3322</v>
      </c>
      <c r="O763" s="24">
        <f t="shared" si="1536"/>
        <v>3437</v>
      </c>
      <c r="P763" s="24">
        <f t="shared" ref="P763:S763" si="1537">L763*$Y$2</f>
        <v>48281</v>
      </c>
      <c r="Q763" s="24">
        <f t="shared" si="1537"/>
        <v>0</v>
      </c>
      <c r="R763" s="24">
        <f t="shared" si="1537"/>
        <v>830.5</v>
      </c>
      <c r="S763" s="24">
        <f t="shared" si="1537"/>
        <v>859.25</v>
      </c>
      <c r="T763" s="24">
        <f t="shared" si="4"/>
        <v>17</v>
      </c>
      <c r="Z763" s="25">
        <f t="shared" si="12"/>
        <v>253.3292536</v>
      </c>
    </row>
    <row r="764">
      <c r="A764" s="16" t="s">
        <v>35</v>
      </c>
      <c r="B764" s="17">
        <v>163.0</v>
      </c>
      <c r="C764" s="24">
        <f t="shared" si="1214"/>
        <v>947838.824</v>
      </c>
      <c r="D764" s="25">
        <v>0.05</v>
      </c>
      <c r="E764" s="24">
        <f t="shared" si="1215"/>
        <v>1112.859504</v>
      </c>
      <c r="F764" s="25">
        <v>0.02</v>
      </c>
      <c r="G764" s="24">
        <f t="shared" si="1216"/>
        <v>121864.9917</v>
      </c>
      <c r="H764" s="25">
        <v>0.05</v>
      </c>
      <c r="I764" s="24">
        <f t="shared" si="1217"/>
        <v>0</v>
      </c>
      <c r="J764" s="25">
        <v>0.02</v>
      </c>
      <c r="K764" s="25">
        <v>0.0</v>
      </c>
      <c r="L764" s="24">
        <f t="shared" ref="L764:O764" si="1538">IF(L763="", "", 1 + MROUND(IFERROR(MINIFS(OFFSET(L763, -1, 0, -$B764, 1), OFFSET(L763, -1, 0, -$B764, 1), "&gt;0"), L763) + (LN(1 + $Z764) ^ U$2) * U$3, 1))</f>
        <v>193957</v>
      </c>
      <c r="M764" s="24" t="str">
        <f t="shared" si="1538"/>
        <v/>
      </c>
      <c r="N764" s="24">
        <f t="shared" si="1538"/>
        <v>3356</v>
      </c>
      <c r="O764" s="24">
        <f t="shared" si="1538"/>
        <v>3471</v>
      </c>
      <c r="P764" s="24">
        <f t="shared" ref="P764:S764" si="1539">L764*$Y$2</f>
        <v>48489.25</v>
      </c>
      <c r="Q764" s="24">
        <f t="shared" si="1539"/>
        <v>0</v>
      </c>
      <c r="R764" s="24">
        <f t="shared" si="1539"/>
        <v>839</v>
      </c>
      <c r="S764" s="24">
        <f t="shared" si="1539"/>
        <v>867.75</v>
      </c>
      <c r="T764" s="24">
        <f t="shared" si="4"/>
        <v>17</v>
      </c>
      <c r="Z764" s="25">
        <f t="shared" si="12"/>
        <v>262.2307774</v>
      </c>
    </row>
    <row r="765">
      <c r="A765" s="16" t="s">
        <v>35</v>
      </c>
      <c r="B765" s="17">
        <v>164.0</v>
      </c>
      <c r="C765" s="24">
        <f t="shared" si="1214"/>
        <v>995230.7652</v>
      </c>
      <c r="D765" s="25">
        <v>0.05</v>
      </c>
      <c r="E765" s="24">
        <f t="shared" si="1215"/>
        <v>1135.116694</v>
      </c>
      <c r="F765" s="25">
        <v>0.02</v>
      </c>
      <c r="G765" s="24">
        <f t="shared" si="1216"/>
        <v>127958.2412</v>
      </c>
      <c r="H765" s="25">
        <v>0.05</v>
      </c>
      <c r="I765" s="24">
        <f t="shared" si="1217"/>
        <v>0</v>
      </c>
      <c r="J765" s="25">
        <v>0.02</v>
      </c>
      <c r="K765" s="25">
        <v>0.0</v>
      </c>
      <c r="L765" s="24">
        <f t="shared" ref="L765:O765" si="1540">IF(L764="", "", 1 + MROUND(IFERROR(MINIFS(OFFSET(L764, -1, 0, -$B765, 1), OFFSET(L764, -1, 0, -$B765, 1), "&gt;0"), L764) + (LN(1 + $Z765) ^ U$2) * U$3, 1))</f>
        <v>194794</v>
      </c>
      <c r="M765" s="24" t="str">
        <f t="shared" si="1540"/>
        <v/>
      </c>
      <c r="N765" s="24">
        <f t="shared" si="1540"/>
        <v>3390</v>
      </c>
      <c r="O765" s="24">
        <f t="shared" si="1540"/>
        <v>3505</v>
      </c>
      <c r="P765" s="24">
        <f t="shared" ref="P765:S765" si="1541">L765*$Y$2</f>
        <v>48698.5</v>
      </c>
      <c r="Q765" s="24">
        <f t="shared" si="1541"/>
        <v>0</v>
      </c>
      <c r="R765" s="24">
        <f t="shared" si="1541"/>
        <v>847.5</v>
      </c>
      <c r="S765" s="24">
        <f t="shared" si="1541"/>
        <v>876.25</v>
      </c>
      <c r="T765" s="24">
        <f t="shared" si="4"/>
        <v>17</v>
      </c>
      <c r="Z765" s="25">
        <f t="shared" si="12"/>
        <v>271.4438547</v>
      </c>
    </row>
    <row r="766">
      <c r="A766" s="16" t="s">
        <v>35</v>
      </c>
      <c r="B766" s="17">
        <v>165.0</v>
      </c>
      <c r="C766" s="24">
        <f t="shared" si="1214"/>
        <v>1044992.303</v>
      </c>
      <c r="D766" s="25">
        <v>0.05</v>
      </c>
      <c r="E766" s="24">
        <f t="shared" si="1215"/>
        <v>1157.819028</v>
      </c>
      <c r="F766" s="25">
        <v>0.02</v>
      </c>
      <c r="G766" s="24">
        <f t="shared" si="1216"/>
        <v>134356.1533</v>
      </c>
      <c r="H766" s="25">
        <v>0.05</v>
      </c>
      <c r="I766" s="24">
        <f t="shared" si="1217"/>
        <v>0</v>
      </c>
      <c r="J766" s="25">
        <v>0.02</v>
      </c>
      <c r="K766" s="25">
        <v>0.0</v>
      </c>
      <c r="L766" s="24">
        <f t="shared" ref="L766:O766" si="1542">IF(L765="", "", 1 + MROUND(IFERROR(MINIFS(OFFSET(L765, -1, 0, -$B766, 1), OFFSET(L765, -1, 0, -$B766, 1), "&gt;0"), L765) + (LN(1 + $Z766) ^ U$2) * U$3, 1))</f>
        <v>195634</v>
      </c>
      <c r="M766" s="24" t="str">
        <f t="shared" si="1542"/>
        <v/>
      </c>
      <c r="N766" s="24">
        <f t="shared" si="1542"/>
        <v>3425</v>
      </c>
      <c r="O766" s="24">
        <f t="shared" si="1542"/>
        <v>3540</v>
      </c>
      <c r="P766" s="24">
        <f t="shared" ref="P766:S766" si="1543">L766*$Y$2</f>
        <v>48908.5</v>
      </c>
      <c r="Q766" s="24">
        <f t="shared" si="1543"/>
        <v>0</v>
      </c>
      <c r="R766" s="24">
        <f t="shared" si="1543"/>
        <v>856.25</v>
      </c>
      <c r="S766" s="24">
        <f t="shared" si="1543"/>
        <v>885</v>
      </c>
      <c r="T766" s="24">
        <f t="shared" si="4"/>
        <v>18</v>
      </c>
      <c r="Z766" s="25">
        <f t="shared" si="12"/>
        <v>280.9793896</v>
      </c>
    </row>
    <row r="767">
      <c r="A767" s="16" t="s">
        <v>35</v>
      </c>
      <c r="B767" s="17">
        <v>166.0</v>
      </c>
      <c r="C767" s="24">
        <f t="shared" si="1214"/>
        <v>1097241.919</v>
      </c>
      <c r="D767" s="25">
        <v>0.05</v>
      </c>
      <c r="E767" s="24">
        <f t="shared" si="1215"/>
        <v>1180.975409</v>
      </c>
      <c r="F767" s="25">
        <v>0.02</v>
      </c>
      <c r="G767" s="24">
        <f t="shared" si="1216"/>
        <v>141073.961</v>
      </c>
      <c r="H767" s="25">
        <v>0.05</v>
      </c>
      <c r="I767" s="24">
        <f t="shared" si="1217"/>
        <v>0</v>
      </c>
      <c r="J767" s="25">
        <v>0.02</v>
      </c>
      <c r="K767" s="25">
        <v>0.0</v>
      </c>
      <c r="L767" s="24">
        <f t="shared" ref="L767:O767" si="1544">IF(L766="", "", 1 + MROUND(IFERROR(MINIFS(OFFSET(L766, -1, 0, -$B767, 1), OFFSET(L766, -1, 0, -$B767, 1), "&gt;0"), L766) + (LN(1 + $Z767) ^ U$2) * U$3, 1))</f>
        <v>196478</v>
      </c>
      <c r="M767" s="24" t="str">
        <f t="shared" si="1544"/>
        <v/>
      </c>
      <c r="N767" s="24">
        <f t="shared" si="1544"/>
        <v>3460</v>
      </c>
      <c r="O767" s="24">
        <f t="shared" si="1544"/>
        <v>3575</v>
      </c>
      <c r="P767" s="24">
        <f t="shared" ref="P767:S767" si="1545">L767*$Y$2</f>
        <v>49119.5</v>
      </c>
      <c r="Q767" s="24">
        <f t="shared" si="1545"/>
        <v>0</v>
      </c>
      <c r="R767" s="24">
        <f t="shared" si="1545"/>
        <v>865</v>
      </c>
      <c r="S767" s="24">
        <f t="shared" si="1545"/>
        <v>893.75</v>
      </c>
      <c r="T767" s="24">
        <f t="shared" si="4"/>
        <v>18</v>
      </c>
      <c r="Z767" s="25">
        <f t="shared" si="12"/>
        <v>290.8486682</v>
      </c>
    </row>
    <row r="768">
      <c r="A768" s="16" t="s">
        <v>35</v>
      </c>
      <c r="B768" s="17">
        <v>167.0</v>
      </c>
      <c r="C768" s="24">
        <f t="shared" si="1214"/>
        <v>1152104.015</v>
      </c>
      <c r="D768" s="25">
        <v>0.05</v>
      </c>
      <c r="E768" s="24">
        <f t="shared" si="1215"/>
        <v>1204.594917</v>
      </c>
      <c r="F768" s="25">
        <v>0.02</v>
      </c>
      <c r="G768" s="24">
        <f t="shared" si="1216"/>
        <v>148127.659</v>
      </c>
      <c r="H768" s="25">
        <v>0.05</v>
      </c>
      <c r="I768" s="24">
        <f t="shared" si="1217"/>
        <v>0</v>
      </c>
      <c r="J768" s="25">
        <v>0.02</v>
      </c>
      <c r="K768" s="25">
        <v>0.0</v>
      </c>
      <c r="L768" s="24">
        <f t="shared" ref="L768:O768" si="1546">IF(L767="", "", 1 + MROUND(IFERROR(MINIFS(OFFSET(L767, -1, 0, -$B768, 1), OFFSET(L767, -1, 0, -$B768, 1), "&gt;0"), L767) + (LN(1 + $Z768) ^ U$2) * U$3, 1))</f>
        <v>197325</v>
      </c>
      <c r="M768" s="24" t="str">
        <f t="shared" si="1546"/>
        <v/>
      </c>
      <c r="N768" s="24">
        <f t="shared" si="1546"/>
        <v>3495</v>
      </c>
      <c r="O768" s="24">
        <f t="shared" si="1546"/>
        <v>3610</v>
      </c>
      <c r="P768" s="24">
        <f t="shared" ref="P768:S768" si="1547">L768*$Y$2</f>
        <v>49331.25</v>
      </c>
      <c r="Q768" s="24">
        <f t="shared" si="1547"/>
        <v>0</v>
      </c>
      <c r="R768" s="24">
        <f t="shared" si="1547"/>
        <v>873.75</v>
      </c>
      <c r="S768" s="24">
        <f t="shared" si="1547"/>
        <v>902.5</v>
      </c>
      <c r="T768" s="24">
        <f t="shared" si="4"/>
        <v>18</v>
      </c>
      <c r="Z768" s="25">
        <f t="shared" si="12"/>
        <v>301.0633716</v>
      </c>
    </row>
    <row r="769">
      <c r="A769" s="16" t="s">
        <v>35</v>
      </c>
      <c r="B769" s="17">
        <v>168.0</v>
      </c>
      <c r="C769" s="24">
        <f t="shared" si="1214"/>
        <v>1209709.215</v>
      </c>
      <c r="D769" s="25">
        <v>0.05</v>
      </c>
      <c r="E769" s="24">
        <f t="shared" si="1215"/>
        <v>1228.686815</v>
      </c>
      <c r="F769" s="25">
        <v>0.02</v>
      </c>
      <c r="G769" s="24">
        <f t="shared" si="1216"/>
        <v>155534.042</v>
      </c>
      <c r="H769" s="25">
        <v>0.05</v>
      </c>
      <c r="I769" s="24">
        <f t="shared" si="1217"/>
        <v>0</v>
      </c>
      <c r="J769" s="25">
        <v>0.02</v>
      </c>
      <c r="K769" s="25">
        <v>0.0</v>
      </c>
      <c r="L769" s="24">
        <f t="shared" ref="L769:O769" si="1548">IF(L768="", "", 1 + MROUND(IFERROR(MINIFS(OFFSET(L768, -1, 0, -$B769, 1), OFFSET(L768, -1, 0, -$B769, 1), "&gt;0"), L768) + (LN(1 + $Z769) ^ U$2) * U$3, 1))</f>
        <v>198176</v>
      </c>
      <c r="M769" s="24" t="str">
        <f t="shared" si="1548"/>
        <v/>
      </c>
      <c r="N769" s="24">
        <f t="shared" si="1548"/>
        <v>3530</v>
      </c>
      <c r="O769" s="24">
        <f t="shared" si="1548"/>
        <v>3645</v>
      </c>
      <c r="P769" s="24">
        <f t="shared" ref="P769:S769" si="1549">L769*$Y$2</f>
        <v>49544</v>
      </c>
      <c r="Q769" s="24">
        <f t="shared" si="1549"/>
        <v>0</v>
      </c>
      <c r="R769" s="24">
        <f t="shared" si="1549"/>
        <v>882.5</v>
      </c>
      <c r="S769" s="24">
        <f t="shared" si="1549"/>
        <v>911.25</v>
      </c>
      <c r="T769" s="24">
        <f t="shared" si="4"/>
        <v>18</v>
      </c>
      <c r="Z769" s="25">
        <f t="shared" si="12"/>
        <v>311.6355896</v>
      </c>
    </row>
    <row r="770">
      <c r="A770" s="16" t="s">
        <v>35</v>
      </c>
      <c r="B770" s="17">
        <v>169.0</v>
      </c>
      <c r="C770" s="24">
        <f t="shared" si="1214"/>
        <v>1270194.676</v>
      </c>
      <c r="D770" s="25">
        <v>0.05</v>
      </c>
      <c r="E770" s="24">
        <f t="shared" si="1215"/>
        <v>1253.260552</v>
      </c>
      <c r="F770" s="25">
        <v>0.02</v>
      </c>
      <c r="G770" s="24">
        <f t="shared" si="1216"/>
        <v>163310.7441</v>
      </c>
      <c r="H770" s="25">
        <v>0.05</v>
      </c>
      <c r="I770" s="24">
        <f t="shared" si="1217"/>
        <v>0</v>
      </c>
      <c r="J770" s="25">
        <v>0.02</v>
      </c>
      <c r="K770" s="25">
        <v>0.0</v>
      </c>
      <c r="L770" s="24">
        <f t="shared" ref="L770:O770" si="1550">IF(L769="", "", 1 + MROUND(IFERROR(MINIFS(OFFSET(L769, -1, 0, -$B770, 1), OFFSET(L769, -1, 0, -$B770, 1), "&gt;0"), L769) + (LN(1 + $Z770) ^ U$2) * U$3, 1))</f>
        <v>199031</v>
      </c>
      <c r="M770" s="24" t="str">
        <f t="shared" si="1550"/>
        <v/>
      </c>
      <c r="N770" s="24">
        <f t="shared" si="1550"/>
        <v>3565</v>
      </c>
      <c r="O770" s="24">
        <f t="shared" si="1550"/>
        <v>3680</v>
      </c>
      <c r="P770" s="24">
        <f t="shared" ref="P770:S770" si="1551">L770*$Y$2</f>
        <v>49757.75</v>
      </c>
      <c r="Q770" s="24">
        <f t="shared" si="1551"/>
        <v>0</v>
      </c>
      <c r="R770" s="24">
        <f t="shared" si="1551"/>
        <v>891.25</v>
      </c>
      <c r="S770" s="24">
        <f t="shared" si="1551"/>
        <v>920</v>
      </c>
      <c r="T770" s="24">
        <f t="shared" si="4"/>
        <v>18</v>
      </c>
      <c r="Z770" s="25">
        <f t="shared" si="12"/>
        <v>322.5778352</v>
      </c>
    </row>
    <row r="771">
      <c r="A771" s="16" t="s">
        <v>35</v>
      </c>
      <c r="B771" s="17">
        <v>170.0</v>
      </c>
      <c r="C771" s="24">
        <f t="shared" si="1214"/>
        <v>1333704.41</v>
      </c>
      <c r="D771" s="25">
        <v>0.05</v>
      </c>
      <c r="E771" s="24">
        <f t="shared" si="1215"/>
        <v>1278.325763</v>
      </c>
      <c r="F771" s="25">
        <v>0.02</v>
      </c>
      <c r="G771" s="24">
        <f t="shared" si="1216"/>
        <v>171476.2813</v>
      </c>
      <c r="H771" s="25">
        <v>0.05</v>
      </c>
      <c r="I771" s="24">
        <f t="shared" si="1217"/>
        <v>0</v>
      </c>
      <c r="J771" s="25">
        <v>0.02</v>
      </c>
      <c r="K771" s="25">
        <v>0.0</v>
      </c>
      <c r="L771" s="24">
        <f t="shared" ref="L771:O771" si="1552">IF(L770="", "", 1 + MROUND(IFERROR(MINIFS(OFFSET(L770, -1, 0, -$B771, 1), OFFSET(L770, -1, 0, -$B771, 1), "&gt;0"), L770) + (LN(1 + $Z771) ^ U$2) * U$3, 1))</f>
        <v>199889</v>
      </c>
      <c r="M771" s="24" t="str">
        <f t="shared" si="1552"/>
        <v/>
      </c>
      <c r="N771" s="24">
        <f t="shared" si="1552"/>
        <v>3600</v>
      </c>
      <c r="O771" s="24">
        <f t="shared" si="1552"/>
        <v>3715</v>
      </c>
      <c r="P771" s="24">
        <f t="shared" ref="P771:S771" si="1553">L771*$Y$2</f>
        <v>49972.25</v>
      </c>
      <c r="Q771" s="24">
        <f t="shared" si="1553"/>
        <v>0</v>
      </c>
      <c r="R771" s="24">
        <f t="shared" si="1553"/>
        <v>900</v>
      </c>
      <c r="S771" s="24">
        <f t="shared" si="1553"/>
        <v>928.75</v>
      </c>
      <c r="T771" s="24">
        <f t="shared" si="4"/>
        <v>18</v>
      </c>
      <c r="Z771" s="25">
        <f t="shared" si="12"/>
        <v>333.9030595</v>
      </c>
    </row>
    <row r="772">
      <c r="A772" s="16" t="s">
        <v>35</v>
      </c>
      <c r="B772" s="17">
        <v>171.0</v>
      </c>
      <c r="C772" s="24">
        <f t="shared" si="1214"/>
        <v>1400389.63</v>
      </c>
      <c r="D772" s="25">
        <v>0.05</v>
      </c>
      <c r="E772" s="24">
        <f t="shared" si="1215"/>
        <v>1303.892278</v>
      </c>
      <c r="F772" s="25">
        <v>0.02</v>
      </c>
      <c r="G772" s="24">
        <f t="shared" si="1216"/>
        <v>180050.0953</v>
      </c>
      <c r="H772" s="25">
        <v>0.05</v>
      </c>
      <c r="I772" s="24">
        <f t="shared" si="1217"/>
        <v>0</v>
      </c>
      <c r="J772" s="25">
        <v>0.02</v>
      </c>
      <c r="K772" s="25">
        <v>0.0</v>
      </c>
      <c r="L772" s="24">
        <f t="shared" ref="L772:O772" si="1554">IF(L771="", "", 1 + MROUND(IFERROR(MINIFS(OFFSET(L771, -1, 0, -$B772, 1), OFFSET(L771, -1, 0, -$B772, 1), "&gt;0"), L771) + (LN(1 + $Z772) ^ U$2) * U$3, 1))</f>
        <v>200751</v>
      </c>
      <c r="M772" s="24" t="str">
        <f t="shared" si="1554"/>
        <v/>
      </c>
      <c r="N772" s="24">
        <f t="shared" si="1554"/>
        <v>3635</v>
      </c>
      <c r="O772" s="24">
        <f t="shared" si="1554"/>
        <v>3750</v>
      </c>
      <c r="P772" s="24">
        <f t="shared" ref="P772:S772" si="1555">L772*$Y$2</f>
        <v>50187.75</v>
      </c>
      <c r="Q772" s="24">
        <f t="shared" si="1555"/>
        <v>0</v>
      </c>
      <c r="R772" s="24">
        <f t="shared" si="1555"/>
        <v>908.75</v>
      </c>
      <c r="S772" s="24">
        <f t="shared" si="1555"/>
        <v>937.5</v>
      </c>
      <c r="T772" s="24">
        <f t="shared" si="4"/>
        <v>18</v>
      </c>
      <c r="Z772" s="25">
        <f t="shared" si="12"/>
        <v>345.6246666</v>
      </c>
    </row>
    <row r="773">
      <c r="A773" s="16" t="s">
        <v>35</v>
      </c>
      <c r="B773" s="17">
        <v>172.0</v>
      </c>
      <c r="C773" s="24">
        <f t="shared" si="1214"/>
        <v>1470409.112</v>
      </c>
      <c r="D773" s="25">
        <v>0.05</v>
      </c>
      <c r="E773" s="24">
        <f t="shared" si="1215"/>
        <v>1329.970123</v>
      </c>
      <c r="F773" s="25">
        <v>0.02</v>
      </c>
      <c r="G773" s="24">
        <f t="shared" si="1216"/>
        <v>189052.6001</v>
      </c>
      <c r="H773" s="25">
        <v>0.05</v>
      </c>
      <c r="I773" s="24">
        <f t="shared" si="1217"/>
        <v>0</v>
      </c>
      <c r="J773" s="25">
        <v>0.02</v>
      </c>
      <c r="K773" s="25">
        <v>0.0</v>
      </c>
      <c r="L773" s="24">
        <f t="shared" ref="L773:O773" si="1556">IF(L772="", "", 1 + MROUND(IFERROR(MINIFS(OFFSET(L772, -1, 0, -$B773, 1), OFFSET(L772, -1, 0, -$B773, 1), "&gt;0"), L772) + (LN(1 + $Z773) ^ U$2) * U$3, 1))</f>
        <v>201616</v>
      </c>
      <c r="M773" s="24" t="str">
        <f t="shared" si="1556"/>
        <v/>
      </c>
      <c r="N773" s="24">
        <f t="shared" si="1556"/>
        <v>3671</v>
      </c>
      <c r="O773" s="24">
        <f t="shared" si="1556"/>
        <v>3786</v>
      </c>
      <c r="P773" s="24">
        <f t="shared" ref="P773:S773" si="1557">L773*$Y$2</f>
        <v>50404</v>
      </c>
      <c r="Q773" s="24">
        <f t="shared" si="1557"/>
        <v>0</v>
      </c>
      <c r="R773" s="24">
        <f t="shared" si="1557"/>
        <v>917.75</v>
      </c>
      <c r="S773" s="24">
        <f t="shared" si="1557"/>
        <v>946.5</v>
      </c>
      <c r="T773" s="24">
        <f t="shared" si="4"/>
        <v>18</v>
      </c>
      <c r="Z773" s="25">
        <f t="shared" si="12"/>
        <v>357.7565299</v>
      </c>
    </row>
    <row r="774">
      <c r="A774" s="16" t="s">
        <v>35</v>
      </c>
      <c r="B774" s="17">
        <v>173.0</v>
      </c>
      <c r="C774" s="24">
        <f t="shared" si="1214"/>
        <v>1543929.568</v>
      </c>
      <c r="D774" s="25">
        <v>0.05</v>
      </c>
      <c r="E774" s="24">
        <f t="shared" si="1215"/>
        <v>1356.569526</v>
      </c>
      <c r="F774" s="25">
        <v>0.02</v>
      </c>
      <c r="G774" s="24">
        <f t="shared" si="1216"/>
        <v>198505.2301</v>
      </c>
      <c r="H774" s="25">
        <v>0.05</v>
      </c>
      <c r="I774" s="24">
        <f t="shared" si="1217"/>
        <v>0</v>
      </c>
      <c r="J774" s="25">
        <v>0.02</v>
      </c>
      <c r="K774" s="25">
        <v>0.0</v>
      </c>
      <c r="L774" s="24">
        <f t="shared" ref="L774:O774" si="1558">IF(L773="", "", 1 + MROUND(IFERROR(MINIFS(OFFSET(L773, -1, 0, -$B774, 1), OFFSET(L773, -1, 0, -$B774, 1), "&gt;0"), L773) + (LN(1 + $Z774) ^ U$2) * U$3, 1))</f>
        <v>202485</v>
      </c>
      <c r="M774" s="24" t="str">
        <f t="shared" si="1558"/>
        <v/>
      </c>
      <c r="N774" s="24">
        <f t="shared" si="1558"/>
        <v>3707</v>
      </c>
      <c r="O774" s="24">
        <f t="shared" si="1558"/>
        <v>3822</v>
      </c>
      <c r="P774" s="24">
        <f t="shared" ref="P774:S774" si="1559">L774*$Y$2</f>
        <v>50621.25</v>
      </c>
      <c r="Q774" s="24">
        <f t="shared" si="1559"/>
        <v>0</v>
      </c>
      <c r="R774" s="24">
        <f t="shared" si="1559"/>
        <v>926.75</v>
      </c>
      <c r="S774" s="24">
        <f t="shared" si="1559"/>
        <v>955.5</v>
      </c>
      <c r="T774" s="24">
        <f t="shared" si="4"/>
        <v>18</v>
      </c>
      <c r="Z774" s="25">
        <f t="shared" si="12"/>
        <v>370.3130084</v>
      </c>
    </row>
    <row r="775">
      <c r="A775" s="16" t="s">
        <v>35</v>
      </c>
      <c r="B775" s="17">
        <v>174.0</v>
      </c>
      <c r="C775" s="24">
        <f t="shared" si="1214"/>
        <v>1621126.046</v>
      </c>
      <c r="D775" s="25">
        <v>0.05</v>
      </c>
      <c r="E775" s="24">
        <f t="shared" si="1215"/>
        <v>1383.700916</v>
      </c>
      <c r="F775" s="25">
        <v>0.02</v>
      </c>
      <c r="G775" s="24">
        <f t="shared" si="1216"/>
        <v>208430.4916</v>
      </c>
      <c r="H775" s="25">
        <v>0.05</v>
      </c>
      <c r="I775" s="24">
        <f t="shared" si="1217"/>
        <v>0</v>
      </c>
      <c r="J775" s="25">
        <v>0.02</v>
      </c>
      <c r="K775" s="25">
        <v>0.0</v>
      </c>
      <c r="L775" s="24">
        <f t="shared" ref="L775:O775" si="1560">IF(L774="", "", 1 + MROUND(IFERROR(MINIFS(OFFSET(L774, -1, 0, -$B775, 1), OFFSET(L774, -1, 0, -$B775, 1), "&gt;0"), L774) + (LN(1 + $Z775) ^ U$2) * U$3, 1))</f>
        <v>203357</v>
      </c>
      <c r="M775" s="24" t="str">
        <f t="shared" si="1560"/>
        <v/>
      </c>
      <c r="N775" s="24">
        <f t="shared" si="1560"/>
        <v>3743</v>
      </c>
      <c r="O775" s="24">
        <f t="shared" si="1560"/>
        <v>3858</v>
      </c>
      <c r="P775" s="24">
        <f t="shared" ref="P775:S775" si="1561">L775*$Y$2</f>
        <v>50839.25</v>
      </c>
      <c r="Q775" s="24">
        <f t="shared" si="1561"/>
        <v>0</v>
      </c>
      <c r="R775" s="24">
        <f t="shared" si="1561"/>
        <v>935.75</v>
      </c>
      <c r="S775" s="24">
        <f t="shared" si="1561"/>
        <v>964.5</v>
      </c>
      <c r="T775" s="24">
        <f t="shared" si="4"/>
        <v>18</v>
      </c>
      <c r="Z775" s="25">
        <f t="shared" si="12"/>
        <v>383.3089637</v>
      </c>
    </row>
    <row r="776">
      <c r="A776" s="16" t="s">
        <v>35</v>
      </c>
      <c r="B776" s="17">
        <v>175.0</v>
      </c>
      <c r="C776" s="24">
        <f t="shared" si="1214"/>
        <v>1702182.348</v>
      </c>
      <c r="D776" s="25">
        <v>0.05</v>
      </c>
      <c r="E776" s="24">
        <f t="shared" si="1215"/>
        <v>1411.374935</v>
      </c>
      <c r="F776" s="25">
        <v>0.02</v>
      </c>
      <c r="G776" s="24">
        <f t="shared" si="1216"/>
        <v>218852.0162</v>
      </c>
      <c r="H776" s="25">
        <v>0.05</v>
      </c>
      <c r="I776" s="24">
        <f t="shared" si="1217"/>
        <v>0</v>
      </c>
      <c r="J776" s="25">
        <v>0.02</v>
      </c>
      <c r="K776" s="25">
        <v>0.0</v>
      </c>
      <c r="L776" s="24">
        <f t="shared" ref="L776:O776" si="1562">IF(L775="", "", 1 + MROUND(IFERROR(MINIFS(OFFSET(L775, -1, 0, -$B776, 1), OFFSET(L775, -1, 0, -$B776, 1), "&gt;0"), L775) + (LN(1 + $Z776) ^ U$2) * U$3, 1))</f>
        <v>204233</v>
      </c>
      <c r="M776" s="24" t="str">
        <f t="shared" si="1562"/>
        <v/>
      </c>
      <c r="N776" s="24">
        <f t="shared" si="1562"/>
        <v>3779</v>
      </c>
      <c r="O776" s="24">
        <f t="shared" si="1562"/>
        <v>3894</v>
      </c>
      <c r="P776" s="24">
        <f t="shared" ref="P776:S776" si="1563">L776*$Y$2</f>
        <v>51058.25</v>
      </c>
      <c r="Q776" s="24">
        <f t="shared" si="1563"/>
        <v>0</v>
      </c>
      <c r="R776" s="24">
        <f t="shared" si="1563"/>
        <v>944.75</v>
      </c>
      <c r="S776" s="24">
        <f t="shared" si="1563"/>
        <v>973.5</v>
      </c>
      <c r="T776" s="24">
        <f t="shared" si="4"/>
        <v>19</v>
      </c>
      <c r="Z776" s="25">
        <f t="shared" si="12"/>
        <v>396.7597775</v>
      </c>
    </row>
    <row r="777">
      <c r="A777" s="16" t="s">
        <v>35</v>
      </c>
      <c r="B777" s="17">
        <v>176.0</v>
      </c>
      <c r="C777" s="24">
        <f t="shared" si="1214"/>
        <v>1787291.466</v>
      </c>
      <c r="D777" s="25">
        <v>0.05</v>
      </c>
      <c r="E777" s="24">
        <f t="shared" si="1215"/>
        <v>1439.602433</v>
      </c>
      <c r="F777" s="25">
        <v>0.02</v>
      </c>
      <c r="G777" s="24">
        <f t="shared" si="1216"/>
        <v>229794.617</v>
      </c>
      <c r="H777" s="25">
        <v>0.05</v>
      </c>
      <c r="I777" s="24">
        <f t="shared" si="1217"/>
        <v>0</v>
      </c>
      <c r="J777" s="25">
        <v>0.02</v>
      </c>
      <c r="K777" s="25">
        <v>0.0</v>
      </c>
      <c r="L777" s="24">
        <f t="shared" ref="L777:O777" si="1564">IF(L776="", "", 1 + MROUND(IFERROR(MINIFS(OFFSET(L776, -1, 0, -$B777, 1), OFFSET(L776, -1, 0, -$B777, 1), "&gt;0"), L776) + (LN(1 + $Z777) ^ U$2) * U$3, 1))</f>
        <v>205112</v>
      </c>
      <c r="M777" s="24" t="str">
        <f t="shared" si="1564"/>
        <v/>
      </c>
      <c r="N777" s="24">
        <f t="shared" si="1564"/>
        <v>3815</v>
      </c>
      <c r="O777" s="24">
        <f t="shared" si="1564"/>
        <v>3930</v>
      </c>
      <c r="P777" s="24">
        <f t="shared" ref="P777:S777" si="1565">L777*$Y$2</f>
        <v>51278</v>
      </c>
      <c r="Q777" s="24">
        <f t="shared" si="1565"/>
        <v>0</v>
      </c>
      <c r="R777" s="24">
        <f t="shared" si="1565"/>
        <v>953.75</v>
      </c>
      <c r="S777" s="24">
        <f t="shared" si="1565"/>
        <v>982.5</v>
      </c>
      <c r="T777" s="24">
        <f t="shared" si="4"/>
        <v>19</v>
      </c>
      <c r="Z777" s="25">
        <f t="shared" si="12"/>
        <v>410.6813697</v>
      </c>
    </row>
    <row r="778">
      <c r="A778" s="16" t="s">
        <v>35</v>
      </c>
      <c r="B778" s="17">
        <v>177.0</v>
      </c>
      <c r="C778" s="24">
        <f t="shared" si="1214"/>
        <v>1876656.039</v>
      </c>
      <c r="D778" s="25">
        <v>0.05</v>
      </c>
      <c r="E778" s="24">
        <f t="shared" si="1215"/>
        <v>1468.394482</v>
      </c>
      <c r="F778" s="25">
        <v>0.02</v>
      </c>
      <c r="G778" s="24">
        <f t="shared" si="1216"/>
        <v>241284.3479</v>
      </c>
      <c r="H778" s="25">
        <v>0.05</v>
      </c>
      <c r="I778" s="24">
        <f t="shared" si="1217"/>
        <v>0</v>
      </c>
      <c r="J778" s="25">
        <v>0.02</v>
      </c>
      <c r="K778" s="25">
        <v>0.0</v>
      </c>
      <c r="L778" s="24">
        <f t="shared" ref="L778:O778" si="1566">IF(L777="", "", 1 + MROUND(IFERROR(MINIFS(OFFSET(L777, -1, 0, -$B778, 1), OFFSET(L777, -1, 0, -$B778, 1), "&gt;0"), L777) + (LN(1 + $Z778) ^ U$2) * U$3, 1))</f>
        <v>205995</v>
      </c>
      <c r="M778" s="24" t="str">
        <f t="shared" si="1566"/>
        <v/>
      </c>
      <c r="N778" s="24">
        <f t="shared" si="1566"/>
        <v>3851</v>
      </c>
      <c r="O778" s="24">
        <f t="shared" si="1566"/>
        <v>3966</v>
      </c>
      <c r="P778" s="24">
        <f t="shared" ref="P778:S778" si="1567">L778*$Y$2</f>
        <v>51498.75</v>
      </c>
      <c r="Q778" s="24">
        <f t="shared" si="1567"/>
        <v>0</v>
      </c>
      <c r="R778" s="24">
        <f t="shared" si="1567"/>
        <v>962.75</v>
      </c>
      <c r="S778" s="24">
        <f t="shared" si="1567"/>
        <v>991.5</v>
      </c>
      <c r="T778" s="24">
        <f t="shared" si="4"/>
        <v>19</v>
      </c>
      <c r="Z778" s="25">
        <f t="shared" si="12"/>
        <v>425.0902176</v>
      </c>
    </row>
    <row r="779">
      <c r="A779" s="16" t="s">
        <v>35</v>
      </c>
      <c r="B779" s="17">
        <v>178.0</v>
      </c>
      <c r="C779" s="24">
        <f t="shared" si="1214"/>
        <v>1970488.841</v>
      </c>
      <c r="D779" s="25">
        <v>0.05</v>
      </c>
      <c r="E779" s="24">
        <f t="shared" si="1215"/>
        <v>1497.762372</v>
      </c>
      <c r="F779" s="25">
        <v>0.02</v>
      </c>
      <c r="G779" s="24">
        <f t="shared" si="1216"/>
        <v>253348.5652</v>
      </c>
      <c r="H779" s="25">
        <v>0.05</v>
      </c>
      <c r="I779" s="24">
        <f t="shared" si="1217"/>
        <v>0</v>
      </c>
      <c r="J779" s="25">
        <v>0.02</v>
      </c>
      <c r="K779" s="25">
        <v>0.0</v>
      </c>
      <c r="L779" s="24">
        <f t="shared" ref="L779:O779" si="1568">IF(L778="", "", 1 + MROUND(IFERROR(MINIFS(OFFSET(L778, -1, 0, -$B779, 1), OFFSET(L778, -1, 0, -$B779, 1), "&gt;0"), L778) + (LN(1 + $Z779) ^ U$2) * U$3, 1))</f>
        <v>206881</v>
      </c>
      <c r="M779" s="24" t="str">
        <f t="shared" si="1568"/>
        <v/>
      </c>
      <c r="N779" s="24">
        <f t="shared" si="1568"/>
        <v>3887</v>
      </c>
      <c r="O779" s="24">
        <f t="shared" si="1568"/>
        <v>4002</v>
      </c>
      <c r="P779" s="24">
        <f t="shared" ref="P779:S779" si="1569">L779*$Y$2</f>
        <v>51720.25</v>
      </c>
      <c r="Q779" s="24">
        <f t="shared" si="1569"/>
        <v>0</v>
      </c>
      <c r="R779" s="24">
        <f t="shared" si="1569"/>
        <v>971.75</v>
      </c>
      <c r="S779" s="24">
        <f t="shared" si="1569"/>
        <v>1000.5</v>
      </c>
      <c r="T779" s="24">
        <f t="shared" si="4"/>
        <v>19</v>
      </c>
      <c r="Z779" s="25">
        <f t="shared" si="12"/>
        <v>440.0033752</v>
      </c>
    </row>
    <row r="780">
      <c r="A780" s="16" t="s">
        <v>35</v>
      </c>
      <c r="B780" s="17">
        <v>179.0</v>
      </c>
      <c r="C780" s="24">
        <f t="shared" si="1214"/>
        <v>2069013.283</v>
      </c>
      <c r="D780" s="25">
        <v>0.05</v>
      </c>
      <c r="E780" s="24">
        <f t="shared" si="1215"/>
        <v>1527.717619</v>
      </c>
      <c r="F780" s="25">
        <v>0.02</v>
      </c>
      <c r="G780" s="24">
        <f t="shared" si="1216"/>
        <v>266015.9935</v>
      </c>
      <c r="H780" s="25">
        <v>0.05</v>
      </c>
      <c r="I780" s="24">
        <f t="shared" si="1217"/>
        <v>0</v>
      </c>
      <c r="J780" s="25">
        <v>0.02</v>
      </c>
      <c r="K780" s="25">
        <v>0.0</v>
      </c>
      <c r="L780" s="24">
        <f t="shared" ref="L780:O780" si="1570">IF(L779="", "", 1 + MROUND(IFERROR(MINIFS(OFFSET(L779, -1, 0, -$B780, 1), OFFSET(L779, -1, 0, -$B780, 1), "&gt;0"), L779) + (LN(1 + $Z780) ^ U$2) * U$3, 1))</f>
        <v>207771</v>
      </c>
      <c r="M780" s="24" t="str">
        <f t="shared" si="1570"/>
        <v/>
      </c>
      <c r="N780" s="24">
        <f t="shared" si="1570"/>
        <v>3924</v>
      </c>
      <c r="O780" s="24">
        <f t="shared" si="1570"/>
        <v>4039</v>
      </c>
      <c r="P780" s="24">
        <f t="shared" ref="P780:S780" si="1571">L780*$Y$2</f>
        <v>51942.75</v>
      </c>
      <c r="Q780" s="24">
        <f t="shared" si="1571"/>
        <v>0</v>
      </c>
      <c r="R780" s="24">
        <f t="shared" si="1571"/>
        <v>981</v>
      </c>
      <c r="S780" s="24">
        <f t="shared" si="1571"/>
        <v>1009.75</v>
      </c>
      <c r="T780" s="24">
        <f t="shared" si="4"/>
        <v>19</v>
      </c>
      <c r="Z780" s="25">
        <f t="shared" si="12"/>
        <v>455.4384933</v>
      </c>
    </row>
    <row r="781">
      <c r="A781" s="16" t="s">
        <v>35</v>
      </c>
      <c r="B781" s="17">
        <v>180.0</v>
      </c>
      <c r="C781" s="24">
        <f t="shared" si="1214"/>
        <v>2172463.947</v>
      </c>
      <c r="D781" s="25">
        <v>0.05</v>
      </c>
      <c r="E781" s="24">
        <f t="shared" si="1215"/>
        <v>1558.271972</v>
      </c>
      <c r="F781" s="25">
        <v>0.02</v>
      </c>
      <c r="G781" s="24">
        <f t="shared" si="1216"/>
        <v>279316.7932</v>
      </c>
      <c r="H781" s="25">
        <v>0.05</v>
      </c>
      <c r="I781" s="24">
        <f t="shared" si="1217"/>
        <v>0</v>
      </c>
      <c r="J781" s="25">
        <v>0.02</v>
      </c>
      <c r="K781" s="25">
        <v>0.0</v>
      </c>
      <c r="L781" s="24">
        <f t="shared" ref="L781:O781" si="1572">IF(L780="", "", 1 + MROUND(IFERROR(MINIFS(OFFSET(L780, -1, 0, -$B781, 1), OFFSET(L780, -1, 0, -$B781, 1), "&gt;0"), L780) + (LN(1 + $Z781) ^ U$2) * U$3, 1))</f>
        <v>208664</v>
      </c>
      <c r="M781" s="24" t="str">
        <f t="shared" si="1572"/>
        <v/>
      </c>
      <c r="N781" s="24">
        <f t="shared" si="1572"/>
        <v>3961</v>
      </c>
      <c r="O781" s="24">
        <f t="shared" si="1572"/>
        <v>4076</v>
      </c>
      <c r="P781" s="24">
        <f t="shared" ref="P781:S781" si="1573">L781*$Y$2</f>
        <v>52166</v>
      </c>
      <c r="Q781" s="24">
        <f t="shared" si="1573"/>
        <v>0</v>
      </c>
      <c r="R781" s="24">
        <f t="shared" si="1573"/>
        <v>990.25</v>
      </c>
      <c r="S781" s="24">
        <f t="shared" si="1573"/>
        <v>1019</v>
      </c>
      <c r="T781" s="24">
        <f t="shared" si="4"/>
        <v>19</v>
      </c>
      <c r="Z781" s="25">
        <f t="shared" si="12"/>
        <v>471.4138406</v>
      </c>
    </row>
    <row r="782">
      <c r="A782" s="16" t="s">
        <v>35</v>
      </c>
      <c r="B782" s="17">
        <v>181.0</v>
      </c>
      <c r="C782" s="24">
        <f t="shared" si="1214"/>
        <v>2281087.144</v>
      </c>
      <c r="D782" s="25">
        <v>0.05</v>
      </c>
      <c r="E782" s="24">
        <f t="shared" si="1215"/>
        <v>1589.437411</v>
      </c>
      <c r="F782" s="25">
        <v>0.02</v>
      </c>
      <c r="G782" s="24">
        <f t="shared" si="1216"/>
        <v>293282.6328</v>
      </c>
      <c r="H782" s="25">
        <v>0.05</v>
      </c>
      <c r="I782" s="24">
        <f t="shared" si="1217"/>
        <v>0</v>
      </c>
      <c r="J782" s="25">
        <v>0.02</v>
      </c>
      <c r="K782" s="25">
        <v>0.0</v>
      </c>
      <c r="L782" s="24">
        <f t="shared" ref="L782:O782" si="1574">IF(L781="", "", 1 + MROUND(IFERROR(MINIFS(OFFSET(L781, -1, 0, -$B782, 1), OFFSET(L781, -1, 0, -$B782, 1), "&gt;0"), L781) + (LN(1 + $Z782) ^ U$2) * U$3, 1))</f>
        <v>209561</v>
      </c>
      <c r="M782" s="24" t="str">
        <f t="shared" si="1574"/>
        <v/>
      </c>
      <c r="N782" s="24">
        <f t="shared" si="1574"/>
        <v>3998</v>
      </c>
      <c r="O782" s="24">
        <f t="shared" si="1574"/>
        <v>4113</v>
      </c>
      <c r="P782" s="24">
        <f t="shared" ref="P782:S782" si="1575">L782*$Y$2</f>
        <v>52390.25</v>
      </c>
      <c r="Q782" s="24">
        <f t="shared" si="1575"/>
        <v>0</v>
      </c>
      <c r="R782" s="24">
        <f t="shared" si="1575"/>
        <v>999.5</v>
      </c>
      <c r="S782" s="24">
        <f t="shared" si="1575"/>
        <v>1028.25</v>
      </c>
      <c r="T782" s="24">
        <f t="shared" si="4"/>
        <v>19</v>
      </c>
      <c r="Z782" s="25">
        <f t="shared" si="12"/>
        <v>487.948325</v>
      </c>
    </row>
    <row r="783">
      <c r="A783" s="16" t="s">
        <v>35</v>
      </c>
      <c r="B783" s="17">
        <v>182.0</v>
      </c>
      <c r="C783" s="24">
        <f t="shared" si="1214"/>
        <v>2395141.502</v>
      </c>
      <c r="D783" s="25">
        <v>0.05</v>
      </c>
      <c r="E783" s="24">
        <f t="shared" si="1215"/>
        <v>1621.226159</v>
      </c>
      <c r="F783" s="25">
        <v>0.02</v>
      </c>
      <c r="G783" s="24">
        <f t="shared" si="1216"/>
        <v>307946.7645</v>
      </c>
      <c r="H783" s="25">
        <v>0.05</v>
      </c>
      <c r="I783" s="24">
        <f t="shared" si="1217"/>
        <v>0</v>
      </c>
      <c r="J783" s="25">
        <v>0.02</v>
      </c>
      <c r="K783" s="25">
        <v>0.0</v>
      </c>
      <c r="L783" s="24">
        <f t="shared" ref="L783:O783" si="1576">IF(L782="", "", 1 + MROUND(IFERROR(MINIFS(OFFSET(L782, -1, 0, -$B783, 1), OFFSET(L782, -1, 0, -$B783, 1), "&gt;0"), L782) + (LN(1 + $Z783) ^ U$2) * U$3, 1))</f>
        <v>210461</v>
      </c>
      <c r="M783" s="24" t="str">
        <f t="shared" si="1576"/>
        <v/>
      </c>
      <c r="N783" s="24">
        <f t="shared" si="1576"/>
        <v>4035</v>
      </c>
      <c r="O783" s="24">
        <f t="shared" si="1576"/>
        <v>4150</v>
      </c>
      <c r="P783" s="24">
        <f t="shared" ref="P783:S783" si="1577">L783*$Y$2</f>
        <v>52615.25</v>
      </c>
      <c r="Q783" s="24">
        <f t="shared" si="1577"/>
        <v>0</v>
      </c>
      <c r="R783" s="24">
        <f t="shared" si="1577"/>
        <v>1008.75</v>
      </c>
      <c r="S783" s="24">
        <f t="shared" si="1577"/>
        <v>1037.5</v>
      </c>
      <c r="T783" s="24">
        <f t="shared" si="4"/>
        <v>19</v>
      </c>
      <c r="Z783" s="25">
        <f t="shared" si="12"/>
        <v>505.0615164</v>
      </c>
    </row>
    <row r="784">
      <c r="A784" s="16" t="s">
        <v>35</v>
      </c>
      <c r="B784" s="17">
        <v>183.0</v>
      </c>
      <c r="C784" s="24">
        <f t="shared" si="1214"/>
        <v>2514898.577</v>
      </c>
      <c r="D784" s="25">
        <v>0.05</v>
      </c>
      <c r="E784" s="24">
        <f t="shared" si="1215"/>
        <v>1653.650682</v>
      </c>
      <c r="F784" s="25">
        <v>0.02</v>
      </c>
      <c r="G784" s="24">
        <f t="shared" si="1216"/>
        <v>323344.1027</v>
      </c>
      <c r="H784" s="25">
        <v>0.05</v>
      </c>
      <c r="I784" s="24">
        <f t="shared" si="1217"/>
        <v>0</v>
      </c>
      <c r="J784" s="25">
        <v>0.02</v>
      </c>
      <c r="K784" s="25">
        <v>0.0</v>
      </c>
      <c r="L784" s="24">
        <f t="shared" ref="L784:O784" si="1578">IF(L783="", "", 1 + MROUND(IFERROR(MINIFS(OFFSET(L783, -1, 0, -$B784, 1), OFFSET(L783, -1, 0, -$B784, 1), "&gt;0"), L783) + (LN(1 + $Z784) ^ U$2) * U$3, 1))</f>
        <v>211365</v>
      </c>
      <c r="M784" s="24" t="str">
        <f t="shared" si="1578"/>
        <v/>
      </c>
      <c r="N784" s="24">
        <f t="shared" si="1578"/>
        <v>4072</v>
      </c>
      <c r="O784" s="24">
        <f t="shared" si="1578"/>
        <v>4187</v>
      </c>
      <c r="P784" s="24">
        <f t="shared" ref="P784:S784" si="1579">L784*$Y$2</f>
        <v>52841.25</v>
      </c>
      <c r="Q784" s="24">
        <f t="shared" si="1579"/>
        <v>0</v>
      </c>
      <c r="R784" s="24">
        <f t="shared" si="1579"/>
        <v>1018</v>
      </c>
      <c r="S784" s="24">
        <f t="shared" si="1579"/>
        <v>1046.75</v>
      </c>
      <c r="T784" s="24">
        <f t="shared" si="4"/>
        <v>19</v>
      </c>
      <c r="Z784" s="25">
        <f t="shared" si="12"/>
        <v>522.7736695</v>
      </c>
    </row>
    <row r="785">
      <c r="A785" s="16" t="s">
        <v>35</v>
      </c>
      <c r="B785" s="17">
        <v>184.0</v>
      </c>
      <c r="C785" s="24">
        <f t="shared" si="1214"/>
        <v>2640643.505</v>
      </c>
      <c r="D785" s="25">
        <v>0.05</v>
      </c>
      <c r="E785" s="24">
        <f t="shared" si="1215"/>
        <v>1686.723696</v>
      </c>
      <c r="F785" s="25">
        <v>0.02</v>
      </c>
      <c r="G785" s="24">
        <f t="shared" si="1216"/>
        <v>339511.3078</v>
      </c>
      <c r="H785" s="25">
        <v>0.05</v>
      </c>
      <c r="I785" s="24">
        <f t="shared" si="1217"/>
        <v>0</v>
      </c>
      <c r="J785" s="25">
        <v>0.02</v>
      </c>
      <c r="K785" s="25">
        <v>0.0</v>
      </c>
      <c r="L785" s="24">
        <f t="shared" ref="L785:O785" si="1580">IF(L784="", "", 1 + MROUND(IFERROR(MINIFS(OFFSET(L784, -1, 0, -$B785, 1), OFFSET(L784, -1, 0, -$B785, 1), "&gt;0"), L784) + (LN(1 + $Z785) ^ U$2) * U$3, 1))</f>
        <v>212272</v>
      </c>
      <c r="M785" s="24" t="str">
        <f t="shared" si="1580"/>
        <v/>
      </c>
      <c r="N785" s="24">
        <f t="shared" si="1580"/>
        <v>4109</v>
      </c>
      <c r="O785" s="24">
        <f t="shared" si="1580"/>
        <v>4224</v>
      </c>
      <c r="P785" s="24">
        <f t="shared" ref="P785:S785" si="1581">L785*$Y$2</f>
        <v>53068</v>
      </c>
      <c r="Q785" s="24">
        <f t="shared" si="1581"/>
        <v>0</v>
      </c>
      <c r="R785" s="24">
        <f t="shared" si="1581"/>
        <v>1027.25</v>
      </c>
      <c r="S785" s="24">
        <f t="shared" si="1581"/>
        <v>1056</v>
      </c>
      <c r="T785" s="24">
        <f t="shared" si="4"/>
        <v>19</v>
      </c>
      <c r="Z785" s="25">
        <f t="shared" si="12"/>
        <v>541.1057479</v>
      </c>
    </row>
    <row r="786">
      <c r="A786" s="16" t="s">
        <v>35</v>
      </c>
      <c r="B786" s="17">
        <v>185.0</v>
      </c>
      <c r="C786" s="24">
        <f t="shared" si="1214"/>
        <v>2772675.681</v>
      </c>
      <c r="D786" s="25">
        <v>0.05</v>
      </c>
      <c r="E786" s="24">
        <f t="shared" si="1215"/>
        <v>1720.45817</v>
      </c>
      <c r="F786" s="25">
        <v>0.02</v>
      </c>
      <c r="G786" s="24">
        <f t="shared" si="1216"/>
        <v>356486.8732</v>
      </c>
      <c r="H786" s="25">
        <v>0.05</v>
      </c>
      <c r="I786" s="24">
        <f t="shared" si="1217"/>
        <v>0</v>
      </c>
      <c r="J786" s="25">
        <v>0.02</v>
      </c>
      <c r="K786" s="25">
        <v>0.0</v>
      </c>
      <c r="L786" s="24">
        <f t="shared" ref="L786:O786" si="1582">IF(L785="", "", 1 + MROUND(IFERROR(MINIFS(OFFSET(L785, -1, 0, -$B786, 1), OFFSET(L785, -1, 0, -$B786, 1), "&gt;0"), L785) + (LN(1 + $Z786) ^ U$2) * U$3, 1))</f>
        <v>213183</v>
      </c>
      <c r="M786" s="24" t="str">
        <f t="shared" si="1582"/>
        <v/>
      </c>
      <c r="N786" s="24">
        <f t="shared" si="1582"/>
        <v>4146</v>
      </c>
      <c r="O786" s="24">
        <f t="shared" si="1582"/>
        <v>4261</v>
      </c>
      <c r="P786" s="24">
        <f t="shared" ref="P786:S786" si="1583">L786*$Y$2</f>
        <v>53295.75</v>
      </c>
      <c r="Q786" s="24">
        <f t="shared" si="1583"/>
        <v>0</v>
      </c>
      <c r="R786" s="24">
        <f t="shared" si="1583"/>
        <v>1036.5</v>
      </c>
      <c r="S786" s="24">
        <f t="shared" si="1583"/>
        <v>1065.25</v>
      </c>
      <c r="T786" s="24">
        <f t="shared" si="4"/>
        <v>20</v>
      </c>
      <c r="Z786" s="25">
        <f t="shared" si="12"/>
        <v>560.0794491</v>
      </c>
    </row>
    <row r="787">
      <c r="A787" s="16" t="s">
        <v>35</v>
      </c>
      <c r="B787" s="17">
        <v>186.0</v>
      </c>
      <c r="C787" s="24">
        <f t="shared" si="1214"/>
        <v>2911309.465</v>
      </c>
      <c r="D787" s="25">
        <v>0.05</v>
      </c>
      <c r="E787" s="24">
        <f t="shared" si="1215"/>
        <v>1754.867333</v>
      </c>
      <c r="F787" s="25">
        <v>0.02</v>
      </c>
      <c r="G787" s="24">
        <f t="shared" si="1216"/>
        <v>374311.2169</v>
      </c>
      <c r="H787" s="25">
        <v>0.05</v>
      </c>
      <c r="I787" s="24">
        <f t="shared" si="1217"/>
        <v>0</v>
      </c>
      <c r="J787" s="25">
        <v>0.02</v>
      </c>
      <c r="K787" s="25">
        <v>0.0</v>
      </c>
      <c r="L787" s="24">
        <f t="shared" ref="L787:O787" si="1584">IF(L786="", "", 1 + MROUND(IFERROR(MINIFS(OFFSET(L786, -1, 0, -$B787, 1), OFFSET(L786, -1, 0, -$B787, 1), "&gt;0"), L786) + (LN(1 + $Z787) ^ U$2) * U$3, 1))</f>
        <v>214097</v>
      </c>
      <c r="M787" s="24" t="str">
        <f t="shared" si="1584"/>
        <v/>
      </c>
      <c r="N787" s="24">
        <f t="shared" si="1584"/>
        <v>4184</v>
      </c>
      <c r="O787" s="24">
        <f t="shared" si="1584"/>
        <v>4299</v>
      </c>
      <c r="P787" s="24">
        <f t="shared" ref="P787:S787" si="1585">L787*$Y$2</f>
        <v>53524.25</v>
      </c>
      <c r="Q787" s="24">
        <f t="shared" si="1585"/>
        <v>0</v>
      </c>
      <c r="R787" s="24">
        <f t="shared" si="1585"/>
        <v>1046</v>
      </c>
      <c r="S787" s="24">
        <f t="shared" si="1585"/>
        <v>1074.75</v>
      </c>
      <c r="T787" s="24">
        <f t="shared" si="4"/>
        <v>20</v>
      </c>
      <c r="Z787" s="25">
        <f t="shared" si="12"/>
        <v>579.7172298</v>
      </c>
    </row>
    <row r="788">
      <c r="A788" s="16" t="s">
        <v>35</v>
      </c>
      <c r="B788" s="17">
        <v>187.0</v>
      </c>
      <c r="C788" s="24">
        <f t="shared" si="1214"/>
        <v>3056874.938</v>
      </c>
      <c r="D788" s="25">
        <v>0.05</v>
      </c>
      <c r="E788" s="24">
        <f t="shared" si="1215"/>
        <v>1789.96468</v>
      </c>
      <c r="F788" s="25">
        <v>0.02</v>
      </c>
      <c r="G788" s="24">
        <f t="shared" si="1216"/>
        <v>393026.7777</v>
      </c>
      <c r="H788" s="25">
        <v>0.05</v>
      </c>
      <c r="I788" s="24">
        <f t="shared" si="1217"/>
        <v>0</v>
      </c>
      <c r="J788" s="25">
        <v>0.02</v>
      </c>
      <c r="K788" s="25">
        <v>0.0</v>
      </c>
      <c r="L788" s="24">
        <f t="shared" ref="L788:O788" si="1586">IF(L787="", "", 1 + MROUND(IFERROR(MINIFS(OFFSET(L787, -1, 0, -$B788, 1), OFFSET(L787, -1, 0, -$B788, 1), "&gt;0"), L787) + (LN(1 + $Z788) ^ U$2) * U$3, 1))</f>
        <v>215015</v>
      </c>
      <c r="M788" s="24" t="str">
        <f t="shared" si="1586"/>
        <v/>
      </c>
      <c r="N788" s="24">
        <f t="shared" si="1586"/>
        <v>4222</v>
      </c>
      <c r="O788" s="24">
        <f t="shared" si="1586"/>
        <v>4337</v>
      </c>
      <c r="P788" s="24">
        <f t="shared" ref="P788:S788" si="1587">L788*$Y$2</f>
        <v>53753.75</v>
      </c>
      <c r="Q788" s="24">
        <f t="shared" si="1587"/>
        <v>0</v>
      </c>
      <c r="R788" s="24">
        <f t="shared" si="1587"/>
        <v>1055.5</v>
      </c>
      <c r="S788" s="24">
        <f t="shared" si="1587"/>
        <v>1084.25</v>
      </c>
      <c r="T788" s="24">
        <f t="shared" si="4"/>
        <v>20</v>
      </c>
      <c r="Z788" s="25">
        <f t="shared" si="12"/>
        <v>600.0423329</v>
      </c>
    </row>
    <row r="789">
      <c r="A789" s="16" t="s">
        <v>35</v>
      </c>
      <c r="B789" s="17">
        <v>188.0</v>
      </c>
      <c r="C789" s="24">
        <f t="shared" si="1214"/>
        <v>3209718.685</v>
      </c>
      <c r="D789" s="25">
        <v>0.05</v>
      </c>
      <c r="E789" s="24">
        <f t="shared" si="1215"/>
        <v>1825.763974</v>
      </c>
      <c r="F789" s="25">
        <v>0.02</v>
      </c>
      <c r="G789" s="24">
        <f t="shared" si="1216"/>
        <v>412678.1166</v>
      </c>
      <c r="H789" s="25">
        <v>0.05</v>
      </c>
      <c r="I789" s="24">
        <f t="shared" si="1217"/>
        <v>0</v>
      </c>
      <c r="J789" s="25">
        <v>0.02</v>
      </c>
      <c r="K789" s="25">
        <v>0.0</v>
      </c>
      <c r="L789" s="24">
        <f t="shared" ref="L789:O789" si="1588">IF(L788="", "", 1 + MROUND(IFERROR(MINIFS(OFFSET(L788, -1, 0, -$B789, 1), OFFSET(L788, -1, 0, -$B789, 1), "&gt;0"), L788) + (LN(1 + $Z789) ^ U$2) * U$3, 1))</f>
        <v>215936</v>
      </c>
      <c r="M789" s="24" t="str">
        <f t="shared" si="1588"/>
        <v/>
      </c>
      <c r="N789" s="24">
        <f t="shared" si="1588"/>
        <v>4260</v>
      </c>
      <c r="O789" s="24">
        <f t="shared" si="1588"/>
        <v>4375</v>
      </c>
      <c r="P789" s="24">
        <f t="shared" ref="P789:S789" si="1589">L789*$Y$2</f>
        <v>53984</v>
      </c>
      <c r="Q789" s="24">
        <f t="shared" si="1589"/>
        <v>0</v>
      </c>
      <c r="R789" s="24">
        <f t="shared" si="1589"/>
        <v>1065</v>
      </c>
      <c r="S789" s="24">
        <f t="shared" si="1589"/>
        <v>1093.75</v>
      </c>
      <c r="T789" s="24">
        <f t="shared" si="4"/>
        <v>20</v>
      </c>
      <c r="Z789" s="25">
        <f t="shared" si="12"/>
        <v>621.0788145</v>
      </c>
    </row>
    <row r="790">
      <c r="A790" s="16" t="s">
        <v>35</v>
      </c>
      <c r="B790" s="17">
        <v>189.0</v>
      </c>
      <c r="C790" s="24">
        <f t="shared" si="1214"/>
        <v>3370204.619</v>
      </c>
      <c r="D790" s="25">
        <v>0.05</v>
      </c>
      <c r="E790" s="24">
        <f t="shared" si="1215"/>
        <v>1862.279253</v>
      </c>
      <c r="F790" s="25">
        <v>0.02</v>
      </c>
      <c r="G790" s="24">
        <f t="shared" si="1216"/>
        <v>433312.0225</v>
      </c>
      <c r="H790" s="25">
        <v>0.05</v>
      </c>
      <c r="I790" s="24">
        <f t="shared" si="1217"/>
        <v>0</v>
      </c>
      <c r="J790" s="25">
        <v>0.02</v>
      </c>
      <c r="K790" s="25">
        <v>0.0</v>
      </c>
      <c r="L790" s="24">
        <f t="shared" ref="L790:O790" si="1590">IF(L789="", "", 1 + MROUND(IFERROR(MINIFS(OFFSET(L789, -1, 0, -$B790, 1), OFFSET(L789, -1, 0, -$B790, 1), "&gt;0"), L789) + (LN(1 + $Z790) ^ U$2) * U$3, 1))</f>
        <v>216861</v>
      </c>
      <c r="M790" s="24" t="str">
        <f t="shared" si="1590"/>
        <v/>
      </c>
      <c r="N790" s="24">
        <f t="shared" si="1590"/>
        <v>4298</v>
      </c>
      <c r="O790" s="24">
        <f t="shared" si="1590"/>
        <v>4413</v>
      </c>
      <c r="P790" s="24">
        <f t="shared" ref="P790:S790" si="1591">L790*$Y$2</f>
        <v>54215.25</v>
      </c>
      <c r="Q790" s="24">
        <f t="shared" si="1591"/>
        <v>0</v>
      </c>
      <c r="R790" s="24">
        <f t="shared" si="1591"/>
        <v>1074.5</v>
      </c>
      <c r="S790" s="24">
        <f t="shared" si="1591"/>
        <v>1103.25</v>
      </c>
      <c r="T790" s="24">
        <f t="shared" si="4"/>
        <v>20</v>
      </c>
      <c r="Z790" s="25">
        <f t="shared" si="12"/>
        <v>642.851573</v>
      </c>
    </row>
    <row r="791">
      <c r="A791" s="16" t="s">
        <v>35</v>
      </c>
      <c r="B791" s="17">
        <v>190.0</v>
      </c>
      <c r="C791" s="24">
        <f t="shared" si="1214"/>
        <v>3538714.85</v>
      </c>
      <c r="D791" s="25">
        <v>0.05</v>
      </c>
      <c r="E791" s="24">
        <f t="shared" si="1215"/>
        <v>1899.524838</v>
      </c>
      <c r="F791" s="25">
        <v>0.02</v>
      </c>
      <c r="G791" s="24">
        <f t="shared" si="1216"/>
        <v>454977.6236</v>
      </c>
      <c r="H791" s="25">
        <v>0.05</v>
      </c>
      <c r="I791" s="24">
        <f t="shared" si="1217"/>
        <v>0</v>
      </c>
      <c r="J791" s="25">
        <v>0.02</v>
      </c>
      <c r="K791" s="25">
        <v>0.0</v>
      </c>
      <c r="L791" s="24">
        <f t="shared" ref="L791:O791" si="1592">IF(L790="", "", 1 + MROUND(IFERROR(MINIFS(OFFSET(L790, -1, 0, -$B791, 1), OFFSET(L790, -1, 0, -$B791, 1), "&gt;0"), L790) + (LN(1 + $Z791) ^ U$2) * U$3, 1))</f>
        <v>217789</v>
      </c>
      <c r="M791" s="24" t="str">
        <f t="shared" si="1592"/>
        <v/>
      </c>
      <c r="N791" s="24">
        <f t="shared" si="1592"/>
        <v>4336</v>
      </c>
      <c r="O791" s="24">
        <f t="shared" si="1592"/>
        <v>4451</v>
      </c>
      <c r="P791" s="24">
        <f t="shared" ref="P791:S791" si="1593">L791*$Y$2</f>
        <v>54447.25</v>
      </c>
      <c r="Q791" s="24">
        <f t="shared" si="1593"/>
        <v>0</v>
      </c>
      <c r="R791" s="24">
        <f t="shared" si="1593"/>
        <v>1084</v>
      </c>
      <c r="S791" s="24">
        <f t="shared" si="1593"/>
        <v>1112.75</v>
      </c>
      <c r="T791" s="24">
        <f t="shared" si="4"/>
        <v>20</v>
      </c>
      <c r="Z791" s="25">
        <f t="shared" si="12"/>
        <v>665.3863781</v>
      </c>
    </row>
    <row r="792">
      <c r="A792" s="16" t="s">
        <v>35</v>
      </c>
      <c r="B792" s="17">
        <v>191.0</v>
      </c>
      <c r="C792" s="24">
        <f t="shared" si="1214"/>
        <v>3715650.593</v>
      </c>
      <c r="D792" s="25">
        <v>0.05</v>
      </c>
      <c r="E792" s="24">
        <f t="shared" si="1215"/>
        <v>1937.515335</v>
      </c>
      <c r="F792" s="25">
        <v>0.02</v>
      </c>
      <c r="G792" s="24">
        <f t="shared" si="1216"/>
        <v>477726.5048</v>
      </c>
      <c r="H792" s="25">
        <v>0.05</v>
      </c>
      <c r="I792" s="24">
        <f t="shared" si="1217"/>
        <v>0</v>
      </c>
      <c r="J792" s="25">
        <v>0.02</v>
      </c>
      <c r="K792" s="25">
        <v>0.0</v>
      </c>
      <c r="L792" s="24">
        <f t="shared" ref="L792:O792" si="1594">IF(L791="", "", 1 + MROUND(IFERROR(MINIFS(OFFSET(L791, -1, 0, -$B792, 1), OFFSET(L791, -1, 0, -$B792, 1), "&gt;0"), L791) + (LN(1 + $Z792) ^ U$2) * U$3, 1))</f>
        <v>218720</v>
      </c>
      <c r="M792" s="24" t="str">
        <f t="shared" si="1594"/>
        <v/>
      </c>
      <c r="N792" s="24">
        <f t="shared" si="1594"/>
        <v>4374</v>
      </c>
      <c r="O792" s="24">
        <f t="shared" si="1594"/>
        <v>4489</v>
      </c>
      <c r="P792" s="24">
        <f t="shared" ref="P792:S792" si="1595">L792*$Y$2</f>
        <v>54680</v>
      </c>
      <c r="Q792" s="24">
        <f t="shared" si="1595"/>
        <v>0</v>
      </c>
      <c r="R792" s="24">
        <f t="shared" si="1595"/>
        <v>1093.5</v>
      </c>
      <c r="S792" s="24">
        <f t="shared" si="1595"/>
        <v>1122.25</v>
      </c>
      <c r="T792" s="24">
        <f t="shared" si="4"/>
        <v>20</v>
      </c>
      <c r="Z792" s="25">
        <f t="shared" si="12"/>
        <v>688.7099013</v>
      </c>
    </row>
    <row r="793">
      <c r="A793" s="16" t="s">
        <v>35</v>
      </c>
      <c r="B793" s="17">
        <v>192.0</v>
      </c>
      <c r="C793" s="24">
        <f t="shared" si="1214"/>
        <v>3901433.122</v>
      </c>
      <c r="D793" s="25">
        <v>0.05</v>
      </c>
      <c r="E793" s="24">
        <f t="shared" si="1215"/>
        <v>1976.265642</v>
      </c>
      <c r="F793" s="25">
        <v>0.02</v>
      </c>
      <c r="G793" s="24">
        <f t="shared" si="1216"/>
        <v>501612.83</v>
      </c>
      <c r="H793" s="25">
        <v>0.05</v>
      </c>
      <c r="I793" s="24">
        <f t="shared" si="1217"/>
        <v>0</v>
      </c>
      <c r="J793" s="25">
        <v>0.02</v>
      </c>
      <c r="K793" s="25">
        <v>0.0</v>
      </c>
      <c r="L793" s="24">
        <f t="shared" ref="L793:O793" si="1596">IF(L792="", "", 1 + MROUND(IFERROR(MINIFS(OFFSET(L792, -1, 0, -$B793, 1), OFFSET(L792, -1, 0, -$B793, 1), "&gt;0"), L792) + (LN(1 + $Z793) ^ U$2) * U$3, 1))</f>
        <v>219655</v>
      </c>
      <c r="M793" s="24" t="str">
        <f t="shared" si="1596"/>
        <v/>
      </c>
      <c r="N793" s="24">
        <f t="shared" si="1596"/>
        <v>4412</v>
      </c>
      <c r="O793" s="24">
        <f t="shared" si="1596"/>
        <v>4527</v>
      </c>
      <c r="P793" s="24">
        <f t="shared" ref="P793:S793" si="1597">L793*$Y$2</f>
        <v>54913.75</v>
      </c>
      <c r="Q793" s="24">
        <f t="shared" si="1597"/>
        <v>0</v>
      </c>
      <c r="R793" s="24">
        <f t="shared" si="1597"/>
        <v>1103</v>
      </c>
      <c r="S793" s="24">
        <f t="shared" si="1597"/>
        <v>1131.75</v>
      </c>
      <c r="T793" s="24">
        <f t="shared" si="4"/>
        <v>20</v>
      </c>
      <c r="Z793" s="25">
        <f t="shared" si="12"/>
        <v>712.8497479</v>
      </c>
    </row>
    <row r="794">
      <c r="A794" s="16" t="s">
        <v>35</v>
      </c>
      <c r="B794" s="17">
        <v>193.0</v>
      </c>
      <c r="C794" s="24">
        <f t="shared" si="1214"/>
        <v>4096504.778</v>
      </c>
      <c r="D794" s="25">
        <v>0.05</v>
      </c>
      <c r="E794" s="24">
        <f t="shared" si="1215"/>
        <v>2015.790955</v>
      </c>
      <c r="F794" s="25">
        <v>0.02</v>
      </c>
      <c r="G794" s="24">
        <f t="shared" si="1216"/>
        <v>526693.4715</v>
      </c>
      <c r="H794" s="25">
        <v>0.05</v>
      </c>
      <c r="I794" s="24">
        <f t="shared" si="1217"/>
        <v>0</v>
      </c>
      <c r="J794" s="25">
        <v>0.02</v>
      </c>
      <c r="K794" s="25">
        <v>0.0</v>
      </c>
      <c r="L794" s="24">
        <f t="shared" ref="L794:O794" si="1598">IF(L793="", "", 1 + MROUND(IFERROR(MINIFS(OFFSET(L793, -1, 0, -$B794, 1), OFFSET(L793, -1, 0, -$B794, 1), "&gt;0"), L793) + (LN(1 + $Z794) ^ U$2) * U$3, 1))</f>
        <v>220593</v>
      </c>
      <c r="M794" s="24" t="str">
        <f t="shared" si="1598"/>
        <v/>
      </c>
      <c r="N794" s="24">
        <f t="shared" si="1598"/>
        <v>4450</v>
      </c>
      <c r="O794" s="24">
        <f t="shared" si="1598"/>
        <v>4565</v>
      </c>
      <c r="P794" s="24">
        <f t="shared" ref="P794:S794" si="1599">L794*$Y$2</f>
        <v>55148.25</v>
      </c>
      <c r="Q794" s="24">
        <f t="shared" si="1599"/>
        <v>0</v>
      </c>
      <c r="R794" s="24">
        <f t="shared" si="1599"/>
        <v>1112.5</v>
      </c>
      <c r="S794" s="24">
        <f t="shared" si="1599"/>
        <v>1141.25</v>
      </c>
      <c r="T794" s="24">
        <f t="shared" si="4"/>
        <v>20</v>
      </c>
      <c r="Z794" s="25">
        <f t="shared" si="12"/>
        <v>737.834489</v>
      </c>
    </row>
    <row r="795">
      <c r="A795" s="16" t="s">
        <v>35</v>
      </c>
      <c r="B795" s="17">
        <v>194.0</v>
      </c>
      <c r="C795" s="24">
        <f t="shared" si="1214"/>
        <v>4301330.017</v>
      </c>
      <c r="D795" s="25">
        <v>0.05</v>
      </c>
      <c r="E795" s="24">
        <f t="shared" si="1215"/>
        <v>2056.106774</v>
      </c>
      <c r="F795" s="25">
        <v>0.02</v>
      </c>
      <c r="G795" s="24">
        <f t="shared" si="1216"/>
        <v>553028.1451</v>
      </c>
      <c r="H795" s="25">
        <v>0.05</v>
      </c>
      <c r="I795" s="24">
        <f t="shared" si="1217"/>
        <v>0</v>
      </c>
      <c r="J795" s="25">
        <v>0.02</v>
      </c>
      <c r="K795" s="25">
        <v>0.0</v>
      </c>
      <c r="L795" s="24">
        <f t="shared" ref="L795:O795" si="1600">IF(L794="", "", 1 + MROUND(IFERROR(MINIFS(OFFSET(L794, -1, 0, -$B795, 1), OFFSET(L794, -1, 0, -$B795, 1), "&gt;0"), L794) + (LN(1 + $Z795) ^ U$2) * U$3, 1))</f>
        <v>221535</v>
      </c>
      <c r="M795" s="24" t="str">
        <f t="shared" si="1600"/>
        <v/>
      </c>
      <c r="N795" s="24">
        <f t="shared" si="1600"/>
        <v>4489</v>
      </c>
      <c r="O795" s="24">
        <f t="shared" si="1600"/>
        <v>4604</v>
      </c>
      <c r="P795" s="24">
        <f t="shared" ref="P795:S795" si="1601">L795*$Y$2</f>
        <v>55383.75</v>
      </c>
      <c r="Q795" s="24">
        <f t="shared" si="1601"/>
        <v>0</v>
      </c>
      <c r="R795" s="24">
        <f t="shared" si="1601"/>
        <v>1122.25</v>
      </c>
      <c r="S795" s="24">
        <f t="shared" si="1601"/>
        <v>1151</v>
      </c>
      <c r="T795" s="24">
        <f t="shared" si="4"/>
        <v>20</v>
      </c>
      <c r="Z795" s="25">
        <f t="shared" si="12"/>
        <v>763.6936961</v>
      </c>
    </row>
    <row r="796">
      <c r="A796" s="16" t="s">
        <v>35</v>
      </c>
      <c r="B796" s="17">
        <v>195.0</v>
      </c>
      <c r="C796" s="24">
        <f t="shared" si="1214"/>
        <v>4516396.518</v>
      </c>
      <c r="D796" s="25">
        <v>0.05</v>
      </c>
      <c r="E796" s="24">
        <f t="shared" si="1215"/>
        <v>2097.228909</v>
      </c>
      <c r="F796" s="25">
        <v>0.02</v>
      </c>
      <c r="G796" s="24">
        <f t="shared" si="1216"/>
        <v>580679.5523</v>
      </c>
      <c r="H796" s="25">
        <v>0.05</v>
      </c>
      <c r="I796" s="24">
        <f t="shared" si="1217"/>
        <v>0</v>
      </c>
      <c r="J796" s="25">
        <v>0.02</v>
      </c>
      <c r="K796" s="25">
        <v>0.0</v>
      </c>
      <c r="L796" s="24">
        <f t="shared" ref="L796:O796" si="1602">IF(L795="", "", 1 + MROUND(IFERROR(MINIFS(OFFSET(L795, -1, 0, -$B796, 1), OFFSET(L795, -1, 0, -$B796, 1), "&gt;0"), L795) + (LN(1 + $Z796) ^ U$2) * U$3, 1))</f>
        <v>222480</v>
      </c>
      <c r="M796" s="24" t="str">
        <f t="shared" si="1602"/>
        <v/>
      </c>
      <c r="N796" s="24">
        <f t="shared" si="1602"/>
        <v>4528</v>
      </c>
      <c r="O796" s="24">
        <f t="shared" si="1602"/>
        <v>4643</v>
      </c>
      <c r="P796" s="24">
        <f t="shared" ref="P796:S796" si="1603">L796*$Y$2</f>
        <v>55620</v>
      </c>
      <c r="Q796" s="24">
        <f t="shared" si="1603"/>
        <v>0</v>
      </c>
      <c r="R796" s="24">
        <f t="shared" si="1603"/>
        <v>1132</v>
      </c>
      <c r="S796" s="24">
        <f t="shared" si="1603"/>
        <v>1160.75</v>
      </c>
      <c r="T796" s="24">
        <f t="shared" si="4"/>
        <v>21</v>
      </c>
      <c r="Z796" s="25">
        <f t="shared" si="12"/>
        <v>790.4579755</v>
      </c>
    </row>
    <row r="797">
      <c r="A797" s="16" t="s">
        <v>35</v>
      </c>
      <c r="B797" s="17">
        <v>196.0</v>
      </c>
      <c r="C797" s="24">
        <f t="shared" si="1214"/>
        <v>4742216.344</v>
      </c>
      <c r="D797" s="25">
        <v>0.05</v>
      </c>
      <c r="E797" s="24">
        <f t="shared" si="1215"/>
        <v>2139.173487</v>
      </c>
      <c r="F797" s="25">
        <v>0.02</v>
      </c>
      <c r="G797" s="24">
        <f t="shared" si="1216"/>
        <v>609713.53</v>
      </c>
      <c r="H797" s="25">
        <v>0.05</v>
      </c>
      <c r="I797" s="24">
        <f t="shared" si="1217"/>
        <v>0</v>
      </c>
      <c r="J797" s="25">
        <v>0.02</v>
      </c>
      <c r="K797" s="25">
        <v>0.0</v>
      </c>
      <c r="L797" s="24">
        <f t="shared" ref="L797:O797" si="1604">IF(L796="", "", 1 + MROUND(IFERROR(MINIFS(OFFSET(L796, -1, 0, -$B797, 1), OFFSET(L796, -1, 0, -$B797, 1), "&gt;0"), L796) + (LN(1 + $Z797) ^ U$2) * U$3, 1))</f>
        <v>223428</v>
      </c>
      <c r="M797" s="24" t="str">
        <f t="shared" si="1604"/>
        <v/>
      </c>
      <c r="N797" s="24">
        <f t="shared" si="1604"/>
        <v>4567</v>
      </c>
      <c r="O797" s="24">
        <f t="shared" si="1604"/>
        <v>4682</v>
      </c>
      <c r="P797" s="24">
        <f t="shared" ref="P797:S797" si="1605">L797*$Y$2</f>
        <v>55857</v>
      </c>
      <c r="Q797" s="24">
        <f t="shared" si="1605"/>
        <v>0</v>
      </c>
      <c r="R797" s="24">
        <f t="shared" si="1605"/>
        <v>1141.75</v>
      </c>
      <c r="S797" s="24">
        <f t="shared" si="1605"/>
        <v>1170.5</v>
      </c>
      <c r="T797" s="24">
        <f t="shared" si="4"/>
        <v>21</v>
      </c>
      <c r="Z797" s="25">
        <f t="shared" si="12"/>
        <v>818.1590046</v>
      </c>
    </row>
    <row r="798">
      <c r="A798" s="16" t="s">
        <v>35</v>
      </c>
      <c r="B798" s="17">
        <v>197.0</v>
      </c>
      <c r="C798" s="24">
        <f t="shared" si="1214"/>
        <v>4979327.161</v>
      </c>
      <c r="D798" s="25">
        <v>0.05</v>
      </c>
      <c r="E798" s="24">
        <f t="shared" si="1215"/>
        <v>2181.956957</v>
      </c>
      <c r="F798" s="25">
        <v>0.02</v>
      </c>
      <c r="G798" s="24">
        <f t="shared" si="1216"/>
        <v>640199.2064</v>
      </c>
      <c r="H798" s="25">
        <v>0.05</v>
      </c>
      <c r="I798" s="24">
        <f t="shared" si="1217"/>
        <v>0</v>
      </c>
      <c r="J798" s="25">
        <v>0.02</v>
      </c>
      <c r="K798" s="25">
        <v>0.0</v>
      </c>
      <c r="L798" s="24">
        <f t="shared" ref="L798:O798" si="1606">IF(L797="", "", 1 + MROUND(IFERROR(MINIFS(OFFSET(L797, -1, 0, -$B798, 1), OFFSET(L797, -1, 0, -$B798, 1), "&gt;0"), L797) + (LN(1 + $Z798) ^ U$2) * U$3, 1))</f>
        <v>224380</v>
      </c>
      <c r="M798" s="24" t="str">
        <f t="shared" si="1606"/>
        <v/>
      </c>
      <c r="N798" s="24">
        <f t="shared" si="1606"/>
        <v>4606</v>
      </c>
      <c r="O798" s="24">
        <f t="shared" si="1606"/>
        <v>4721</v>
      </c>
      <c r="P798" s="24">
        <f t="shared" ref="P798:S798" si="1607">L798*$Y$2</f>
        <v>56095</v>
      </c>
      <c r="Q798" s="24">
        <f t="shared" si="1607"/>
        <v>0</v>
      </c>
      <c r="R798" s="24">
        <f t="shared" si="1607"/>
        <v>1151.5</v>
      </c>
      <c r="S798" s="24">
        <f t="shared" si="1607"/>
        <v>1180.25</v>
      </c>
      <c r="T798" s="24">
        <f t="shared" si="4"/>
        <v>21</v>
      </c>
      <c r="Z798" s="25">
        <f t="shared" si="12"/>
        <v>846.8295698</v>
      </c>
    </row>
    <row r="799">
      <c r="A799" s="16" t="s">
        <v>35</v>
      </c>
      <c r="B799" s="17">
        <v>198.0</v>
      </c>
      <c r="C799" s="24">
        <f t="shared" si="1214"/>
        <v>5228293.519</v>
      </c>
      <c r="D799" s="25">
        <v>0.05</v>
      </c>
      <c r="E799" s="24">
        <f t="shared" si="1215"/>
        <v>2225.596096</v>
      </c>
      <c r="F799" s="25">
        <v>0.02</v>
      </c>
      <c r="G799" s="24">
        <f t="shared" si="1216"/>
        <v>672209.1668</v>
      </c>
      <c r="H799" s="25">
        <v>0.05</v>
      </c>
      <c r="I799" s="24">
        <f t="shared" si="1217"/>
        <v>0</v>
      </c>
      <c r="J799" s="25">
        <v>0.02</v>
      </c>
      <c r="K799" s="25">
        <v>0.0</v>
      </c>
      <c r="L799" s="24">
        <f t="shared" ref="L799:O799" si="1608">IF(L798="", "", 1 + MROUND(IFERROR(MINIFS(OFFSET(L798, -1, 0, -$B799, 1), OFFSET(L798, -1, 0, -$B799, 1), "&gt;0"), L798) + (LN(1 + $Z799) ^ U$2) * U$3, 1))</f>
        <v>225335</v>
      </c>
      <c r="M799" s="24" t="str">
        <f t="shared" si="1608"/>
        <v/>
      </c>
      <c r="N799" s="24">
        <f t="shared" si="1608"/>
        <v>4645</v>
      </c>
      <c r="O799" s="24">
        <f t="shared" si="1608"/>
        <v>4760</v>
      </c>
      <c r="P799" s="24">
        <f t="shared" ref="P799:S799" si="1609">L799*$Y$2</f>
        <v>56333.75</v>
      </c>
      <c r="Q799" s="24">
        <f t="shared" si="1609"/>
        <v>0</v>
      </c>
      <c r="R799" s="24">
        <f t="shared" si="1609"/>
        <v>1161.25</v>
      </c>
      <c r="S799" s="24">
        <f t="shared" si="1609"/>
        <v>1190</v>
      </c>
      <c r="T799" s="24">
        <f t="shared" si="4"/>
        <v>21</v>
      </c>
      <c r="Z799" s="25">
        <f t="shared" si="12"/>
        <v>876.5036048</v>
      </c>
    </row>
    <row r="800">
      <c r="A800" s="16" t="s">
        <v>35</v>
      </c>
      <c r="B800" s="17">
        <v>199.0</v>
      </c>
      <c r="C800" s="24">
        <f t="shared" si="1214"/>
        <v>5489708.195</v>
      </c>
      <c r="D800" s="25">
        <v>0.05</v>
      </c>
      <c r="E800" s="24">
        <f t="shared" si="1215"/>
        <v>2270.108018</v>
      </c>
      <c r="F800" s="25">
        <v>0.02</v>
      </c>
      <c r="G800" s="24">
        <f t="shared" si="1216"/>
        <v>705819.6251</v>
      </c>
      <c r="H800" s="25">
        <v>0.05</v>
      </c>
      <c r="I800" s="24">
        <f t="shared" si="1217"/>
        <v>0</v>
      </c>
      <c r="J800" s="25">
        <v>0.02</v>
      </c>
      <c r="K800" s="25">
        <v>0.0</v>
      </c>
      <c r="L800" s="24">
        <f t="shared" ref="L800:O800" si="1610">IF(L799="", "", 1 + MROUND(IFERROR(MINIFS(OFFSET(L799, -1, 0, -$B800, 1), OFFSET(L799, -1, 0, -$B800, 1), "&gt;0"), L799) + (LN(1 + $Z800) ^ U$2) * U$3, 1))</f>
        <v>226294</v>
      </c>
      <c r="M800" s="24" t="str">
        <f t="shared" si="1610"/>
        <v/>
      </c>
      <c r="N800" s="24">
        <f t="shared" si="1610"/>
        <v>4684</v>
      </c>
      <c r="O800" s="24">
        <f t="shared" si="1610"/>
        <v>4799</v>
      </c>
      <c r="P800" s="24">
        <f t="shared" ref="P800:S800" si="1611">L800*$Y$2</f>
        <v>56573.5</v>
      </c>
      <c r="Q800" s="24">
        <f t="shared" si="1611"/>
        <v>0</v>
      </c>
      <c r="R800" s="24">
        <f t="shared" si="1611"/>
        <v>1171</v>
      </c>
      <c r="S800" s="24">
        <f t="shared" si="1611"/>
        <v>1199.75</v>
      </c>
      <c r="T800" s="24">
        <f t="shared" si="4"/>
        <v>21</v>
      </c>
      <c r="Z800" s="25">
        <f t="shared" si="12"/>
        <v>907.2162309</v>
      </c>
    </row>
    <row r="801">
      <c r="A801" s="16" t="s">
        <v>35</v>
      </c>
      <c r="B801" s="17">
        <v>200.0</v>
      </c>
      <c r="C801" s="24">
        <f t="shared" si="1214"/>
        <v>5764193.605</v>
      </c>
      <c r="D801" s="25">
        <v>0.05</v>
      </c>
      <c r="E801" s="24">
        <f t="shared" si="1215"/>
        <v>2315.510178</v>
      </c>
      <c r="F801" s="25">
        <v>0.02</v>
      </c>
      <c r="G801" s="24">
        <f t="shared" si="1216"/>
        <v>741110.6064</v>
      </c>
      <c r="H801" s="25">
        <v>0.05</v>
      </c>
      <c r="I801" s="24">
        <f t="shared" si="1217"/>
        <v>0</v>
      </c>
      <c r="J801" s="25">
        <v>0.02</v>
      </c>
      <c r="K801" s="25">
        <v>0.0</v>
      </c>
      <c r="L801" s="24">
        <f t="shared" ref="L801:L900" si="1614">IF(L800="", "", 1 + MROUND(IFERROR(MINIFS(OFFSET(L800, -1, 0, -$B801, 1), OFFSET(L800, -1, 0, -$B801, 1), "&gt;0"), L800) + (LN(1 + $Z801) ^ U$2) * U$3, 1))</f>
        <v>227256</v>
      </c>
      <c r="M801" s="24">
        <f>N801*10</f>
        <v>47230</v>
      </c>
      <c r="N801" s="24">
        <f t="shared" ref="N801:O801" si="1612">IF(N800="", "", 1 + MROUND(IFERROR(MINIFS(OFFSET(N800, -1, 0, -$B801, 1), OFFSET(N800, -1, 0, -$B801, 1), "&gt;0"), N800) + (LN(1 + $Z801) ^ W$2) * W$3, 1))</f>
        <v>4723</v>
      </c>
      <c r="O801" s="24">
        <f t="shared" si="1612"/>
        <v>4838</v>
      </c>
      <c r="P801" s="24">
        <f t="shared" ref="P801:S801" si="1613">L801*$Y$2</f>
        <v>56814</v>
      </c>
      <c r="Q801" s="24">
        <f t="shared" si="1613"/>
        <v>11807.5</v>
      </c>
      <c r="R801" s="24">
        <f t="shared" si="1613"/>
        <v>1180.75</v>
      </c>
      <c r="S801" s="24">
        <f t="shared" si="1613"/>
        <v>1209.5</v>
      </c>
      <c r="T801" s="24">
        <f t="shared" si="4"/>
        <v>21</v>
      </c>
      <c r="Z801" s="25">
        <f t="shared" si="12"/>
        <v>939.003799</v>
      </c>
    </row>
    <row r="802">
      <c r="A802" s="16" t="s">
        <v>35</v>
      </c>
      <c r="B802" s="17">
        <v>201.0</v>
      </c>
      <c r="C802" s="24">
        <f t="shared" si="1214"/>
        <v>6052403.285</v>
      </c>
      <c r="D802" s="25">
        <v>0.05</v>
      </c>
      <c r="E802" s="24">
        <f t="shared" si="1215"/>
        <v>2361.820382</v>
      </c>
      <c r="F802" s="25">
        <v>0.02</v>
      </c>
      <c r="G802" s="24">
        <f t="shared" si="1216"/>
        <v>778166.1367</v>
      </c>
      <c r="H802" s="25">
        <v>0.05</v>
      </c>
      <c r="I802" s="24">
        <f t="shared" si="1217"/>
        <v>0</v>
      </c>
      <c r="J802" s="25">
        <v>0.02</v>
      </c>
      <c r="K802" s="25">
        <v>0.0</v>
      </c>
      <c r="L802" s="24">
        <f t="shared" si="1614"/>
        <v>228221</v>
      </c>
      <c r="M802" s="24">
        <f t="shared" ref="M802:O802" si="1615">IF(M801="", "", 1 + MROUND(IFERROR(MINIFS(OFFSET(M801, -1, 0, -$B802, 1), OFFSET(M801, -1, 0, -$B802, 1), "&gt;0"), M801) + (LN(1 + $Z802) ^ V$2) * V$3, 1))</f>
        <v>47308</v>
      </c>
      <c r="N802" s="24">
        <f t="shared" si="1615"/>
        <v>4763</v>
      </c>
      <c r="O802" s="24">
        <f t="shared" si="1615"/>
        <v>4878</v>
      </c>
      <c r="P802" s="24">
        <f t="shared" ref="P802:S802" si="1616">L802*$Y$2</f>
        <v>57055.25</v>
      </c>
      <c r="Q802" s="24">
        <f t="shared" si="1616"/>
        <v>11827</v>
      </c>
      <c r="R802" s="24">
        <f t="shared" si="1616"/>
        <v>1190.75</v>
      </c>
      <c r="S802" s="24">
        <f t="shared" si="1616"/>
        <v>1219.5</v>
      </c>
      <c r="T802" s="24">
        <f t="shared" si="4"/>
        <v>21</v>
      </c>
      <c r="Z802" s="25">
        <f t="shared" si="12"/>
        <v>971.903932</v>
      </c>
    </row>
    <row r="803">
      <c r="A803" s="16" t="s">
        <v>35</v>
      </c>
      <c r="B803" s="17">
        <v>202.0</v>
      </c>
      <c r="C803" s="24">
        <f t="shared" si="1214"/>
        <v>6355023.45</v>
      </c>
      <c r="D803" s="25">
        <v>0.05</v>
      </c>
      <c r="E803" s="24">
        <f t="shared" si="1215"/>
        <v>2409.05679</v>
      </c>
      <c r="F803" s="25">
        <v>0.02</v>
      </c>
      <c r="G803" s="24">
        <f t="shared" si="1216"/>
        <v>817074.4435</v>
      </c>
      <c r="H803" s="25">
        <v>0.05</v>
      </c>
      <c r="I803" s="24">
        <f t="shared" si="1217"/>
        <v>0</v>
      </c>
      <c r="J803" s="25">
        <v>0.02</v>
      </c>
      <c r="K803" s="25">
        <v>0.0</v>
      </c>
      <c r="L803" s="24">
        <f t="shared" si="1614"/>
        <v>229190</v>
      </c>
      <c r="M803" s="24">
        <f t="shared" ref="M803:O803" si="1617">IF(M802="", "", 1 + MROUND(IFERROR(MINIFS(OFFSET(M802, -1, 0, -$B803, 1), OFFSET(M802, -1, 0, -$B803, 1), "&gt;0"), M802) + (LN(1 + $Z803) ^ V$2) * V$3, 1))</f>
        <v>47386</v>
      </c>
      <c r="N803" s="24">
        <f t="shared" si="1617"/>
        <v>4803</v>
      </c>
      <c r="O803" s="24">
        <f t="shared" si="1617"/>
        <v>4918</v>
      </c>
      <c r="P803" s="24">
        <f t="shared" ref="P803:S803" si="1618">L803*$Y$2</f>
        <v>57297.5</v>
      </c>
      <c r="Q803" s="24">
        <f t="shared" si="1618"/>
        <v>11846.5</v>
      </c>
      <c r="R803" s="24">
        <f t="shared" si="1618"/>
        <v>1200.75</v>
      </c>
      <c r="S803" s="24">
        <f t="shared" si="1618"/>
        <v>1229.5</v>
      </c>
      <c r="T803" s="24">
        <f t="shared" si="4"/>
        <v>21</v>
      </c>
      <c r="Z803" s="25">
        <f t="shared" si="12"/>
        <v>1005.95557</v>
      </c>
    </row>
    <row r="804">
      <c r="A804" s="16" t="s">
        <v>35</v>
      </c>
      <c r="B804" s="17">
        <v>203.0</v>
      </c>
      <c r="C804" s="24">
        <f t="shared" si="1214"/>
        <v>6672774.622</v>
      </c>
      <c r="D804" s="25">
        <v>0.05</v>
      </c>
      <c r="E804" s="24">
        <f t="shared" si="1215"/>
        <v>2457.237925</v>
      </c>
      <c r="F804" s="25">
        <v>0.02</v>
      </c>
      <c r="G804" s="24">
        <f t="shared" si="1216"/>
        <v>857928.1657</v>
      </c>
      <c r="H804" s="25">
        <v>0.05</v>
      </c>
      <c r="I804" s="24">
        <f t="shared" si="1217"/>
        <v>0</v>
      </c>
      <c r="J804" s="25">
        <v>0.02</v>
      </c>
      <c r="K804" s="25">
        <v>0.0</v>
      </c>
      <c r="L804" s="24">
        <f t="shared" si="1614"/>
        <v>230162</v>
      </c>
      <c r="M804" s="24">
        <f t="shared" ref="M804:O804" si="1619">IF(M803="", "", 1 + MROUND(IFERROR(MINIFS(OFFSET(M803, -1, 0, -$B804, 1), OFFSET(M803, -1, 0, -$B804, 1), "&gt;0"), M803) + (LN(1 + $Z804) ^ V$2) * V$3, 1))</f>
        <v>47465</v>
      </c>
      <c r="N804" s="24">
        <f t="shared" si="1619"/>
        <v>4843</v>
      </c>
      <c r="O804" s="24">
        <f t="shared" si="1619"/>
        <v>4958</v>
      </c>
      <c r="P804" s="24">
        <f t="shared" ref="P804:S804" si="1620">L804*$Y$2</f>
        <v>57540.5</v>
      </c>
      <c r="Q804" s="24">
        <f t="shared" si="1620"/>
        <v>11866.25</v>
      </c>
      <c r="R804" s="24">
        <f t="shared" si="1620"/>
        <v>1210.75</v>
      </c>
      <c r="S804" s="24">
        <f t="shared" si="1620"/>
        <v>1239.5</v>
      </c>
      <c r="T804" s="24">
        <f t="shared" si="4"/>
        <v>21</v>
      </c>
      <c r="Z804" s="25">
        <f t="shared" si="12"/>
        <v>1041.199015</v>
      </c>
    </row>
    <row r="805">
      <c r="A805" s="16" t="s">
        <v>35</v>
      </c>
      <c r="B805" s="17">
        <v>204.0</v>
      </c>
      <c r="C805" s="24">
        <f t="shared" si="1214"/>
        <v>7006413.353</v>
      </c>
      <c r="D805" s="25">
        <v>0.05</v>
      </c>
      <c r="E805" s="24">
        <f t="shared" si="1215"/>
        <v>2506.382684</v>
      </c>
      <c r="F805" s="25">
        <v>0.02</v>
      </c>
      <c r="G805" s="24">
        <f t="shared" si="1216"/>
        <v>900824.574</v>
      </c>
      <c r="H805" s="25">
        <v>0.05</v>
      </c>
      <c r="I805" s="24">
        <f t="shared" si="1217"/>
        <v>0</v>
      </c>
      <c r="J805" s="25">
        <v>0.02</v>
      </c>
      <c r="K805" s="25">
        <v>0.0</v>
      </c>
      <c r="L805" s="24">
        <f t="shared" si="1614"/>
        <v>231138</v>
      </c>
      <c r="M805" s="24">
        <f t="shared" ref="M805:O805" si="1621">IF(M804="", "", 1 + MROUND(IFERROR(MINIFS(OFFSET(M804, -1, 0, -$B805, 1), OFFSET(M804, -1, 0, -$B805, 1), "&gt;0"), M804) + (LN(1 + $Z805) ^ V$2) * V$3, 1))</f>
        <v>47544</v>
      </c>
      <c r="N805" s="24">
        <f t="shared" si="1621"/>
        <v>4883</v>
      </c>
      <c r="O805" s="24">
        <f t="shared" si="1621"/>
        <v>4998</v>
      </c>
      <c r="P805" s="24">
        <f t="shared" ref="P805:S805" si="1622">L805*$Y$2</f>
        <v>57784.5</v>
      </c>
      <c r="Q805" s="24">
        <f t="shared" si="1622"/>
        <v>11886</v>
      </c>
      <c r="R805" s="24">
        <f t="shared" si="1622"/>
        <v>1220.75</v>
      </c>
      <c r="S805" s="24">
        <f t="shared" si="1622"/>
        <v>1249.5</v>
      </c>
      <c r="T805" s="24">
        <f t="shared" si="4"/>
        <v>21</v>
      </c>
      <c r="Z805" s="25">
        <f t="shared" si="12"/>
        <v>1077.67598</v>
      </c>
    </row>
    <row r="806">
      <c r="A806" s="16" t="s">
        <v>35</v>
      </c>
      <c r="B806" s="17">
        <v>205.0</v>
      </c>
      <c r="C806" s="24">
        <f t="shared" si="1214"/>
        <v>7356734.021</v>
      </c>
      <c r="D806" s="25">
        <v>0.05</v>
      </c>
      <c r="E806" s="24">
        <f t="shared" si="1215"/>
        <v>2556.510338</v>
      </c>
      <c r="F806" s="25">
        <v>0.02</v>
      </c>
      <c r="G806" s="24">
        <f t="shared" si="1216"/>
        <v>945865.8027</v>
      </c>
      <c r="H806" s="25">
        <v>0.05</v>
      </c>
      <c r="I806" s="24">
        <f t="shared" si="1217"/>
        <v>0</v>
      </c>
      <c r="J806" s="25">
        <v>0.02</v>
      </c>
      <c r="K806" s="25">
        <v>0.0</v>
      </c>
      <c r="L806" s="24">
        <f t="shared" si="1614"/>
        <v>232117</v>
      </c>
      <c r="M806" s="24">
        <f t="shared" ref="M806:O806" si="1623">IF(M805="", "", 1 + MROUND(IFERROR(MINIFS(OFFSET(M805, -1, 0, -$B806, 1), OFFSET(M805, -1, 0, -$B806, 1), "&gt;0"), M805) + (LN(1 + $Z806) ^ V$2) * V$3, 1))</f>
        <v>47623</v>
      </c>
      <c r="N806" s="24">
        <f t="shared" si="1623"/>
        <v>4923</v>
      </c>
      <c r="O806" s="24">
        <f t="shared" si="1623"/>
        <v>5038</v>
      </c>
      <c r="P806" s="24">
        <f t="shared" ref="P806:S806" si="1624">L806*$Y$2</f>
        <v>58029.25</v>
      </c>
      <c r="Q806" s="24">
        <f t="shared" si="1624"/>
        <v>11905.75</v>
      </c>
      <c r="R806" s="24">
        <f t="shared" si="1624"/>
        <v>1230.75</v>
      </c>
      <c r="S806" s="24">
        <f t="shared" si="1624"/>
        <v>1259.5</v>
      </c>
      <c r="T806" s="24">
        <f t="shared" si="4"/>
        <v>22</v>
      </c>
      <c r="Z806" s="25">
        <f t="shared" si="12"/>
        <v>1115.429639</v>
      </c>
    </row>
    <row r="807">
      <c r="A807" s="16" t="s">
        <v>35</v>
      </c>
      <c r="B807" s="17">
        <v>206.0</v>
      </c>
      <c r="C807" s="24">
        <f t="shared" si="1214"/>
        <v>7724570.722</v>
      </c>
      <c r="D807" s="25">
        <v>0.05</v>
      </c>
      <c r="E807" s="24">
        <f t="shared" si="1215"/>
        <v>2607.640544</v>
      </c>
      <c r="F807" s="25">
        <v>0.02</v>
      </c>
      <c r="G807" s="24">
        <f t="shared" si="1216"/>
        <v>993159.0928</v>
      </c>
      <c r="H807" s="25">
        <v>0.05</v>
      </c>
      <c r="I807" s="24">
        <f t="shared" si="1217"/>
        <v>0</v>
      </c>
      <c r="J807" s="25">
        <v>0.02</v>
      </c>
      <c r="K807" s="25">
        <v>0.0</v>
      </c>
      <c r="L807" s="24">
        <f t="shared" si="1614"/>
        <v>233099</v>
      </c>
      <c r="M807" s="24">
        <f t="shared" ref="M807:O807" si="1625">IF(M806="", "", 1 + MROUND(IFERROR(MINIFS(OFFSET(M806, -1, 0, -$B807, 1), OFFSET(M806, -1, 0, -$B807, 1), "&gt;0"), M806) + (LN(1 + $Z807) ^ V$2) * V$3, 1))</f>
        <v>47702</v>
      </c>
      <c r="N807" s="24">
        <f t="shared" si="1625"/>
        <v>4963</v>
      </c>
      <c r="O807" s="24">
        <f t="shared" si="1625"/>
        <v>5078</v>
      </c>
      <c r="P807" s="24">
        <f t="shared" ref="P807:S807" si="1626">L807*$Y$2</f>
        <v>58274.75</v>
      </c>
      <c r="Q807" s="24">
        <f t="shared" si="1626"/>
        <v>11925.5</v>
      </c>
      <c r="R807" s="24">
        <f t="shared" si="1626"/>
        <v>1240.75</v>
      </c>
      <c r="S807" s="24">
        <f t="shared" si="1626"/>
        <v>1269.5</v>
      </c>
      <c r="T807" s="24">
        <f t="shared" si="4"/>
        <v>22</v>
      </c>
      <c r="Z807" s="25">
        <f t="shared" si="12"/>
        <v>1154.504677</v>
      </c>
    </row>
    <row r="808">
      <c r="A808" s="16" t="s">
        <v>35</v>
      </c>
      <c r="B808" s="17">
        <v>207.0</v>
      </c>
      <c r="C808" s="24">
        <f t="shared" si="1214"/>
        <v>8110799.258</v>
      </c>
      <c r="D808" s="25">
        <v>0.05</v>
      </c>
      <c r="E808" s="24">
        <f t="shared" si="1215"/>
        <v>2659.793355</v>
      </c>
      <c r="F808" s="25">
        <v>0.02</v>
      </c>
      <c r="G808" s="24">
        <f t="shared" si="1216"/>
        <v>1042817.047</v>
      </c>
      <c r="H808" s="25">
        <v>0.05</v>
      </c>
      <c r="I808" s="24">
        <f t="shared" si="1217"/>
        <v>0</v>
      </c>
      <c r="J808" s="25">
        <v>0.02</v>
      </c>
      <c r="K808" s="25">
        <v>0.0</v>
      </c>
      <c r="L808" s="24">
        <f t="shared" si="1614"/>
        <v>234085</v>
      </c>
      <c r="M808" s="24">
        <f t="shared" ref="M808:O808" si="1627">IF(M807="", "", 1 + MROUND(IFERROR(MINIFS(OFFSET(M807, -1, 0, -$B808, 1), OFFSET(M807, -1, 0, -$B808, 1), "&gt;0"), M807) + (LN(1 + $Z808) ^ V$2) * V$3, 1))</f>
        <v>47782</v>
      </c>
      <c r="N808" s="24">
        <f t="shared" si="1627"/>
        <v>5003</v>
      </c>
      <c r="O808" s="24">
        <f t="shared" si="1627"/>
        <v>5118</v>
      </c>
      <c r="P808" s="24">
        <f t="shared" ref="P808:S808" si="1628">L808*$Y$2</f>
        <v>58521.25</v>
      </c>
      <c r="Q808" s="24">
        <f t="shared" si="1628"/>
        <v>11945.5</v>
      </c>
      <c r="R808" s="24">
        <f t="shared" si="1628"/>
        <v>1250.75</v>
      </c>
      <c r="S808" s="24">
        <f t="shared" si="1628"/>
        <v>1279.5</v>
      </c>
      <c r="T808" s="24">
        <f t="shared" si="4"/>
        <v>22</v>
      </c>
      <c r="Z808" s="25">
        <f t="shared" si="12"/>
        <v>1194.94734</v>
      </c>
    </row>
    <row r="809">
      <c r="A809" s="16" t="s">
        <v>35</v>
      </c>
      <c r="B809" s="17">
        <v>208.0</v>
      </c>
      <c r="C809" s="24">
        <f t="shared" si="1214"/>
        <v>8516339.221</v>
      </c>
      <c r="D809" s="25">
        <v>0.05</v>
      </c>
      <c r="E809" s="24">
        <f t="shared" si="1215"/>
        <v>2712.989222</v>
      </c>
      <c r="F809" s="25">
        <v>0.02</v>
      </c>
      <c r="G809" s="24">
        <f t="shared" si="1216"/>
        <v>1094957.9</v>
      </c>
      <c r="H809" s="25">
        <v>0.05</v>
      </c>
      <c r="I809" s="24">
        <f t="shared" si="1217"/>
        <v>0</v>
      </c>
      <c r="J809" s="25">
        <v>0.02</v>
      </c>
      <c r="K809" s="25">
        <v>0.0</v>
      </c>
      <c r="L809" s="24">
        <f t="shared" si="1614"/>
        <v>235074</v>
      </c>
      <c r="M809" s="24">
        <f t="shared" ref="M809:O809" si="1629">IF(M808="", "", 1 + MROUND(IFERROR(MINIFS(OFFSET(M808, -1, 0, -$B809, 1), OFFSET(M808, -1, 0, -$B809, 1), "&gt;0"), M808) + (LN(1 + $Z809) ^ V$2) * V$3, 1))</f>
        <v>47862</v>
      </c>
      <c r="N809" s="24">
        <f t="shared" si="1629"/>
        <v>5044</v>
      </c>
      <c r="O809" s="24">
        <f t="shared" si="1629"/>
        <v>5159</v>
      </c>
      <c r="P809" s="24">
        <f t="shared" ref="P809:S809" si="1630">L809*$Y$2</f>
        <v>58768.5</v>
      </c>
      <c r="Q809" s="24">
        <f t="shared" si="1630"/>
        <v>11965.5</v>
      </c>
      <c r="R809" s="24">
        <f t="shared" si="1630"/>
        <v>1261</v>
      </c>
      <c r="S809" s="24">
        <f t="shared" si="1630"/>
        <v>1289.75</v>
      </c>
      <c r="T809" s="24">
        <f t="shared" si="4"/>
        <v>22</v>
      </c>
      <c r="Z809" s="25">
        <f t="shared" si="12"/>
        <v>1236.805497</v>
      </c>
    </row>
    <row r="810">
      <c r="A810" s="16" t="s">
        <v>35</v>
      </c>
      <c r="B810" s="17">
        <v>209.0</v>
      </c>
      <c r="C810" s="24">
        <f t="shared" si="1214"/>
        <v>8942156.182</v>
      </c>
      <c r="D810" s="25">
        <v>0.05</v>
      </c>
      <c r="E810" s="24">
        <f t="shared" si="1215"/>
        <v>2767.249007</v>
      </c>
      <c r="F810" s="25">
        <v>0.02</v>
      </c>
      <c r="G810" s="24">
        <f t="shared" si="1216"/>
        <v>1149705.795</v>
      </c>
      <c r="H810" s="25">
        <v>0.05</v>
      </c>
      <c r="I810" s="24">
        <f t="shared" si="1217"/>
        <v>0</v>
      </c>
      <c r="J810" s="25">
        <v>0.02</v>
      </c>
      <c r="K810" s="25">
        <v>0.0</v>
      </c>
      <c r="L810" s="24">
        <f t="shared" si="1614"/>
        <v>236066</v>
      </c>
      <c r="M810" s="24">
        <f t="shared" ref="M810:O810" si="1631">IF(M809="", "", 1 + MROUND(IFERROR(MINIFS(OFFSET(M809, -1, 0, -$B810, 1), OFFSET(M809, -1, 0, -$B810, 1), "&gt;0"), M809) + (LN(1 + $Z810) ^ V$2) * V$3, 1))</f>
        <v>47942</v>
      </c>
      <c r="N810" s="24">
        <f t="shared" si="1631"/>
        <v>5085</v>
      </c>
      <c r="O810" s="24">
        <f t="shared" si="1631"/>
        <v>5200</v>
      </c>
      <c r="P810" s="24">
        <f t="shared" ref="P810:S810" si="1632">L810*$Y$2</f>
        <v>59016.5</v>
      </c>
      <c r="Q810" s="24">
        <f t="shared" si="1632"/>
        <v>11985.5</v>
      </c>
      <c r="R810" s="24">
        <f t="shared" si="1632"/>
        <v>1271.25</v>
      </c>
      <c r="S810" s="24">
        <f t="shared" si="1632"/>
        <v>1300</v>
      </c>
      <c r="T810" s="24">
        <f t="shared" si="4"/>
        <v>22</v>
      </c>
      <c r="Z810" s="25">
        <f t="shared" si="12"/>
        <v>1280.12869</v>
      </c>
    </row>
    <row r="811">
      <c r="A811" s="16" t="s">
        <v>35</v>
      </c>
      <c r="B811" s="17">
        <v>210.0</v>
      </c>
      <c r="C811" s="24">
        <f t="shared" si="1214"/>
        <v>9389263.991</v>
      </c>
      <c r="D811" s="25">
        <v>0.05</v>
      </c>
      <c r="E811" s="24">
        <f t="shared" si="1215"/>
        <v>2822.593987</v>
      </c>
      <c r="F811" s="25">
        <v>0.02</v>
      </c>
      <c r="G811" s="24">
        <f t="shared" si="1216"/>
        <v>1207191.085</v>
      </c>
      <c r="H811" s="25">
        <v>0.05</v>
      </c>
      <c r="I811" s="24">
        <f t="shared" si="1217"/>
        <v>0</v>
      </c>
      <c r="J811" s="25">
        <v>0.02</v>
      </c>
      <c r="K811" s="25">
        <v>0.0</v>
      </c>
      <c r="L811" s="24">
        <f t="shared" si="1614"/>
        <v>237062</v>
      </c>
      <c r="M811" s="24">
        <f t="shared" ref="M811:O811" si="1633">IF(M810="", "", 1 + MROUND(IFERROR(MINIFS(OFFSET(M810, -1, 0, -$B811, 1), OFFSET(M810, -1, 0, -$B811, 1), "&gt;0"), M810) + (LN(1 + $Z811) ^ V$2) * V$3, 1))</f>
        <v>48023</v>
      </c>
      <c r="N811" s="24">
        <f t="shared" si="1633"/>
        <v>5126</v>
      </c>
      <c r="O811" s="24">
        <f t="shared" si="1633"/>
        <v>5241</v>
      </c>
      <c r="P811" s="24">
        <f t="shared" ref="P811:S811" si="1634">L811*$Y$2</f>
        <v>59265.5</v>
      </c>
      <c r="Q811" s="24">
        <f t="shared" si="1634"/>
        <v>12005.75</v>
      </c>
      <c r="R811" s="24">
        <f t="shared" si="1634"/>
        <v>1281.5</v>
      </c>
      <c r="S811" s="24">
        <f t="shared" si="1634"/>
        <v>1310.25</v>
      </c>
      <c r="T811" s="24">
        <f t="shared" si="4"/>
        <v>22</v>
      </c>
      <c r="Z811" s="25">
        <f t="shared" si="12"/>
        <v>1324.968194</v>
      </c>
    </row>
    <row r="812">
      <c r="A812" s="16" t="s">
        <v>35</v>
      </c>
      <c r="B812" s="17">
        <v>211.0</v>
      </c>
      <c r="C812" s="24">
        <f t="shared" si="1214"/>
        <v>9858727.191</v>
      </c>
      <c r="D812" s="25">
        <v>0.05</v>
      </c>
      <c r="E812" s="24">
        <f t="shared" si="1215"/>
        <v>2879.045867</v>
      </c>
      <c r="F812" s="25">
        <v>0.02</v>
      </c>
      <c r="G812" s="24">
        <f t="shared" si="1216"/>
        <v>1267550.639</v>
      </c>
      <c r="H812" s="25">
        <v>0.05</v>
      </c>
      <c r="I812" s="24">
        <f t="shared" si="1217"/>
        <v>0</v>
      </c>
      <c r="J812" s="25">
        <v>0.02</v>
      </c>
      <c r="K812" s="25">
        <v>0.0</v>
      </c>
      <c r="L812" s="24">
        <f t="shared" si="1614"/>
        <v>238061</v>
      </c>
      <c r="M812" s="24">
        <f t="shared" ref="M812:O812" si="1635">IF(M811="", "", 1 + MROUND(IFERROR(MINIFS(OFFSET(M811, -1, 0, -$B812, 1), OFFSET(M811, -1, 0, -$B812, 1), "&gt;0"), M811) + (LN(1 + $Z812) ^ V$2) * V$3, 1))</f>
        <v>48104</v>
      </c>
      <c r="N812" s="24">
        <f t="shared" si="1635"/>
        <v>5167</v>
      </c>
      <c r="O812" s="24">
        <f t="shared" si="1635"/>
        <v>5282</v>
      </c>
      <c r="P812" s="24">
        <f t="shared" ref="P812:S812" si="1636">L812*$Y$2</f>
        <v>59515.25</v>
      </c>
      <c r="Q812" s="24">
        <f t="shared" si="1636"/>
        <v>12026</v>
      </c>
      <c r="R812" s="24">
        <f t="shared" si="1636"/>
        <v>1291.75</v>
      </c>
      <c r="S812" s="24">
        <f t="shared" si="1636"/>
        <v>1320.5</v>
      </c>
      <c r="T812" s="24">
        <f t="shared" si="4"/>
        <v>22</v>
      </c>
      <c r="Z812" s="25">
        <f t="shared" si="12"/>
        <v>1371.377081</v>
      </c>
    </row>
    <row r="813">
      <c r="A813" s="16" t="s">
        <v>35</v>
      </c>
      <c r="B813" s="17">
        <v>212.0</v>
      </c>
      <c r="C813" s="24">
        <f t="shared" si="1214"/>
        <v>10351663.55</v>
      </c>
      <c r="D813" s="25">
        <v>0.05</v>
      </c>
      <c r="E813" s="24">
        <f t="shared" si="1215"/>
        <v>2936.626784</v>
      </c>
      <c r="F813" s="25">
        <v>0.02</v>
      </c>
      <c r="G813" s="24">
        <f t="shared" si="1216"/>
        <v>1330928.171</v>
      </c>
      <c r="H813" s="25">
        <v>0.05</v>
      </c>
      <c r="I813" s="24">
        <f t="shared" si="1217"/>
        <v>0</v>
      </c>
      <c r="J813" s="25">
        <v>0.02</v>
      </c>
      <c r="K813" s="25">
        <v>0.0</v>
      </c>
      <c r="L813" s="24">
        <f t="shared" si="1614"/>
        <v>239063</v>
      </c>
      <c r="M813" s="24">
        <f t="shared" ref="M813:O813" si="1637">IF(M812="", "", 1 + MROUND(IFERROR(MINIFS(OFFSET(M812, -1, 0, -$B813, 1), OFFSET(M812, -1, 0, -$B813, 1), "&gt;0"), M812) + (LN(1 + $Z813) ^ V$2) * V$3, 1))</f>
        <v>48185</v>
      </c>
      <c r="N813" s="24">
        <f t="shared" si="1637"/>
        <v>5208</v>
      </c>
      <c r="O813" s="24">
        <f t="shared" si="1637"/>
        <v>5323</v>
      </c>
      <c r="P813" s="24">
        <f t="shared" ref="P813:S813" si="1638">L813*$Y$2</f>
        <v>59765.75</v>
      </c>
      <c r="Q813" s="24">
        <f t="shared" si="1638"/>
        <v>12046.25</v>
      </c>
      <c r="R813" s="24">
        <f t="shared" si="1638"/>
        <v>1302</v>
      </c>
      <c r="S813" s="24">
        <f t="shared" si="1638"/>
        <v>1330.75</v>
      </c>
      <c r="T813" s="24">
        <f t="shared" si="4"/>
        <v>22</v>
      </c>
      <c r="Z813" s="25">
        <f t="shared" si="12"/>
        <v>1419.410278</v>
      </c>
    </row>
    <row r="814">
      <c r="A814" s="16" t="s">
        <v>35</v>
      </c>
      <c r="B814" s="17">
        <v>213.0</v>
      </c>
      <c r="C814" s="24">
        <f t="shared" si="1214"/>
        <v>10869246.73</v>
      </c>
      <c r="D814" s="25">
        <v>0.05</v>
      </c>
      <c r="E814" s="24">
        <f t="shared" si="1215"/>
        <v>2995.35932</v>
      </c>
      <c r="F814" s="25">
        <v>0.02</v>
      </c>
      <c r="G814" s="24">
        <f t="shared" si="1216"/>
        <v>1397474.579</v>
      </c>
      <c r="H814" s="25">
        <v>0.05</v>
      </c>
      <c r="I814" s="24">
        <f t="shared" si="1217"/>
        <v>0</v>
      </c>
      <c r="J814" s="25">
        <v>0.02</v>
      </c>
      <c r="K814" s="25">
        <v>0.0</v>
      </c>
      <c r="L814" s="24">
        <f t="shared" si="1614"/>
        <v>240069</v>
      </c>
      <c r="M814" s="24">
        <f t="shared" ref="M814:O814" si="1639">IF(M813="", "", 1 + MROUND(IFERROR(MINIFS(OFFSET(M813, -1, 0, -$B814, 1), OFFSET(M813, -1, 0, -$B814, 1), "&gt;0"), M813) + (LN(1 + $Z814) ^ V$2) * V$3, 1))</f>
        <v>48266</v>
      </c>
      <c r="N814" s="24">
        <f t="shared" si="1639"/>
        <v>5249</v>
      </c>
      <c r="O814" s="24">
        <f t="shared" si="1639"/>
        <v>5364</v>
      </c>
      <c r="P814" s="24">
        <f t="shared" ref="P814:S814" si="1640">L814*$Y$2</f>
        <v>60017.25</v>
      </c>
      <c r="Q814" s="24">
        <f t="shared" si="1640"/>
        <v>12066.5</v>
      </c>
      <c r="R814" s="24">
        <f t="shared" si="1640"/>
        <v>1312.25</v>
      </c>
      <c r="S814" s="24">
        <f t="shared" si="1640"/>
        <v>1341</v>
      </c>
      <c r="T814" s="24">
        <f t="shared" si="4"/>
        <v>22</v>
      </c>
      <c r="Z814" s="25">
        <f t="shared" si="12"/>
        <v>1469.124638</v>
      </c>
    </row>
    <row r="815">
      <c r="A815" s="16" t="s">
        <v>35</v>
      </c>
      <c r="B815" s="17">
        <v>214.0</v>
      </c>
      <c r="C815" s="24">
        <f t="shared" si="1214"/>
        <v>11412709.06</v>
      </c>
      <c r="D815" s="25">
        <v>0.05</v>
      </c>
      <c r="E815" s="24">
        <f t="shared" si="1215"/>
        <v>3055.266506</v>
      </c>
      <c r="F815" s="25">
        <v>0.02</v>
      </c>
      <c r="G815" s="24">
        <f t="shared" si="1216"/>
        <v>1467348.308</v>
      </c>
      <c r="H815" s="25">
        <v>0.05</v>
      </c>
      <c r="I815" s="24">
        <f t="shared" si="1217"/>
        <v>0</v>
      </c>
      <c r="J815" s="25">
        <v>0.02</v>
      </c>
      <c r="K815" s="25">
        <v>0.0</v>
      </c>
      <c r="L815" s="24">
        <f t="shared" si="1614"/>
        <v>241078</v>
      </c>
      <c r="M815" s="24">
        <f t="shared" ref="M815:O815" si="1641">IF(M814="", "", 1 + MROUND(IFERROR(MINIFS(OFFSET(M814, -1, 0, -$B815, 1), OFFSET(M814, -1, 0, -$B815, 1), "&gt;0"), M814) + (LN(1 + $Z815) ^ V$2) * V$3, 1))</f>
        <v>48348</v>
      </c>
      <c r="N815" s="24">
        <f t="shared" si="1641"/>
        <v>5290</v>
      </c>
      <c r="O815" s="24">
        <f t="shared" si="1641"/>
        <v>5405</v>
      </c>
      <c r="P815" s="24">
        <f t="shared" ref="P815:S815" si="1642">L815*$Y$2</f>
        <v>60269.5</v>
      </c>
      <c r="Q815" s="24">
        <f t="shared" si="1642"/>
        <v>12087</v>
      </c>
      <c r="R815" s="24">
        <f t="shared" si="1642"/>
        <v>1322.5</v>
      </c>
      <c r="S815" s="24">
        <f t="shared" si="1642"/>
        <v>1351.25</v>
      </c>
      <c r="T815" s="24">
        <f t="shared" si="4"/>
        <v>22</v>
      </c>
      <c r="Z815" s="25">
        <f t="shared" si="12"/>
        <v>1520.579001</v>
      </c>
    </row>
    <row r="816">
      <c r="A816" s="16" t="s">
        <v>35</v>
      </c>
      <c r="B816" s="17">
        <v>215.0</v>
      </c>
      <c r="C816" s="24">
        <f t="shared" si="1214"/>
        <v>11983344.52</v>
      </c>
      <c r="D816" s="25">
        <v>0.05</v>
      </c>
      <c r="E816" s="24">
        <f t="shared" si="1215"/>
        <v>3116.371836</v>
      </c>
      <c r="F816" s="25">
        <v>0.02</v>
      </c>
      <c r="G816" s="24">
        <f t="shared" si="1216"/>
        <v>1540715.724</v>
      </c>
      <c r="H816" s="25">
        <v>0.05</v>
      </c>
      <c r="I816" s="24">
        <f t="shared" si="1217"/>
        <v>0</v>
      </c>
      <c r="J816" s="25">
        <v>0.02</v>
      </c>
      <c r="K816" s="25">
        <v>0.0</v>
      </c>
      <c r="L816" s="24">
        <f t="shared" si="1614"/>
        <v>242090</v>
      </c>
      <c r="M816" s="24">
        <f t="shared" ref="M816:O816" si="1643">IF(M815="", "", 1 + MROUND(IFERROR(MINIFS(OFFSET(M815, -1, 0, -$B816, 1), OFFSET(M815, -1, 0, -$B816, 1), "&gt;0"), M815) + (LN(1 + $Z816) ^ V$2) * V$3, 1))</f>
        <v>48430</v>
      </c>
      <c r="N816" s="24">
        <f t="shared" si="1643"/>
        <v>5331</v>
      </c>
      <c r="O816" s="24">
        <f t="shared" si="1643"/>
        <v>5446</v>
      </c>
      <c r="P816" s="24">
        <f t="shared" ref="P816:S816" si="1644">L816*$Y$2</f>
        <v>60522.5</v>
      </c>
      <c r="Q816" s="24">
        <f t="shared" si="1644"/>
        <v>12107.5</v>
      </c>
      <c r="R816" s="24">
        <f t="shared" si="1644"/>
        <v>1332.75</v>
      </c>
      <c r="S816" s="24">
        <f t="shared" si="1644"/>
        <v>1361.5</v>
      </c>
      <c r="T816" s="24">
        <f t="shared" si="4"/>
        <v>23</v>
      </c>
      <c r="Z816" s="25">
        <f t="shared" si="12"/>
        <v>1573.834266</v>
      </c>
    </row>
    <row r="817">
      <c r="A817" s="16" t="s">
        <v>35</v>
      </c>
      <c r="B817" s="17">
        <v>216.0</v>
      </c>
      <c r="C817" s="24">
        <f t="shared" si="1214"/>
        <v>12582511.74</v>
      </c>
      <c r="D817" s="25">
        <v>0.05</v>
      </c>
      <c r="E817" s="24">
        <f t="shared" si="1215"/>
        <v>3178.699273</v>
      </c>
      <c r="F817" s="25">
        <v>0.02</v>
      </c>
      <c r="G817" s="24">
        <f t="shared" si="1216"/>
        <v>1617751.51</v>
      </c>
      <c r="H817" s="25">
        <v>0.05</v>
      </c>
      <c r="I817" s="24">
        <f t="shared" si="1217"/>
        <v>0</v>
      </c>
      <c r="J817" s="25">
        <v>0.02</v>
      </c>
      <c r="K817" s="25">
        <v>0.0</v>
      </c>
      <c r="L817" s="24">
        <f t="shared" si="1614"/>
        <v>243105</v>
      </c>
      <c r="M817" s="24">
        <f t="shared" ref="M817:O817" si="1645">IF(M816="", "", 1 + MROUND(IFERROR(MINIFS(OFFSET(M816, -1, 0, -$B817, 1), OFFSET(M816, -1, 0, -$B817, 1), "&gt;0"), M816) + (LN(1 + $Z817) ^ V$2) * V$3, 1))</f>
        <v>48512</v>
      </c>
      <c r="N817" s="24">
        <f t="shared" si="1645"/>
        <v>5373</v>
      </c>
      <c r="O817" s="24">
        <f t="shared" si="1645"/>
        <v>5488</v>
      </c>
      <c r="P817" s="24">
        <f t="shared" ref="P817:S817" si="1646">L817*$Y$2</f>
        <v>60776.25</v>
      </c>
      <c r="Q817" s="24">
        <f t="shared" si="1646"/>
        <v>12128</v>
      </c>
      <c r="R817" s="24">
        <f t="shared" si="1646"/>
        <v>1343.25</v>
      </c>
      <c r="S817" s="24">
        <f t="shared" si="1646"/>
        <v>1372</v>
      </c>
      <c r="T817" s="24">
        <f t="shared" si="4"/>
        <v>23</v>
      </c>
      <c r="Z817" s="25">
        <f t="shared" si="12"/>
        <v>1628.953465</v>
      </c>
    </row>
    <row r="818">
      <c r="A818" s="16" t="s">
        <v>35</v>
      </c>
      <c r="B818" s="17">
        <v>217.0</v>
      </c>
      <c r="C818" s="24">
        <f t="shared" si="1214"/>
        <v>13211637.33</v>
      </c>
      <c r="D818" s="25">
        <v>0.05</v>
      </c>
      <c r="E818" s="24">
        <f t="shared" si="1215"/>
        <v>3242.273258</v>
      </c>
      <c r="F818" s="25">
        <v>0.02</v>
      </c>
      <c r="G818" s="24">
        <f t="shared" si="1216"/>
        <v>1698639.085</v>
      </c>
      <c r="H818" s="25">
        <v>0.05</v>
      </c>
      <c r="I818" s="24">
        <f t="shared" si="1217"/>
        <v>0</v>
      </c>
      <c r="J818" s="25">
        <v>0.02</v>
      </c>
      <c r="K818" s="25">
        <v>0.0</v>
      </c>
      <c r="L818" s="24">
        <f t="shared" si="1614"/>
        <v>244124</v>
      </c>
      <c r="M818" s="24">
        <f t="shared" ref="M818:O818" si="1647">IF(M817="", "", 1 + MROUND(IFERROR(MINIFS(OFFSET(M817, -1, 0, -$B818, 1), OFFSET(M817, -1, 0, -$B818, 1), "&gt;0"), M817) + (LN(1 + $Z818) ^ V$2) * V$3, 1))</f>
        <v>48594</v>
      </c>
      <c r="N818" s="24">
        <f t="shared" si="1647"/>
        <v>5415</v>
      </c>
      <c r="O818" s="24">
        <f t="shared" si="1647"/>
        <v>5530</v>
      </c>
      <c r="P818" s="24">
        <f t="shared" ref="P818:S818" si="1648">L818*$Y$2</f>
        <v>61031</v>
      </c>
      <c r="Q818" s="24">
        <f t="shared" si="1648"/>
        <v>12148.5</v>
      </c>
      <c r="R818" s="24">
        <f t="shared" si="1648"/>
        <v>1353.75</v>
      </c>
      <c r="S818" s="24">
        <f t="shared" si="1648"/>
        <v>1382.5</v>
      </c>
      <c r="T818" s="24">
        <f t="shared" si="4"/>
        <v>23</v>
      </c>
      <c r="Z818" s="25">
        <f t="shared" si="12"/>
        <v>1686.001836</v>
      </c>
    </row>
    <row r="819">
      <c r="A819" s="16" t="s">
        <v>35</v>
      </c>
      <c r="B819" s="17">
        <v>218.0</v>
      </c>
      <c r="C819" s="24">
        <f t="shared" si="1214"/>
        <v>13872219.2</v>
      </c>
      <c r="D819" s="25">
        <v>0.05</v>
      </c>
      <c r="E819" s="24">
        <f t="shared" si="1215"/>
        <v>3307.118724</v>
      </c>
      <c r="F819" s="25">
        <v>0.02</v>
      </c>
      <c r="G819" s="24">
        <f t="shared" si="1216"/>
        <v>1783571.04</v>
      </c>
      <c r="H819" s="25">
        <v>0.05</v>
      </c>
      <c r="I819" s="24">
        <f t="shared" si="1217"/>
        <v>0</v>
      </c>
      <c r="J819" s="25">
        <v>0.02</v>
      </c>
      <c r="K819" s="25">
        <v>0.0</v>
      </c>
      <c r="L819" s="24">
        <f t="shared" si="1614"/>
        <v>245146</v>
      </c>
      <c r="M819" s="24">
        <f t="shared" ref="M819:O819" si="1649">IF(M818="", "", 1 + MROUND(IFERROR(MINIFS(OFFSET(M818, -1, 0, -$B819, 1), OFFSET(M818, -1, 0, -$B819, 1), "&gt;0"), M818) + (LN(1 + $Z819) ^ V$2) * V$3, 1))</f>
        <v>48677</v>
      </c>
      <c r="N819" s="24">
        <f t="shared" si="1649"/>
        <v>5457</v>
      </c>
      <c r="O819" s="24">
        <f t="shared" si="1649"/>
        <v>5572</v>
      </c>
      <c r="P819" s="24">
        <f t="shared" ref="P819:S819" si="1650">L819*$Y$2</f>
        <v>61286.5</v>
      </c>
      <c r="Q819" s="24">
        <f t="shared" si="1650"/>
        <v>12169.25</v>
      </c>
      <c r="R819" s="24">
        <f t="shared" si="1650"/>
        <v>1364.25</v>
      </c>
      <c r="S819" s="24">
        <f t="shared" si="1650"/>
        <v>1393</v>
      </c>
      <c r="T819" s="24">
        <f t="shared" si="4"/>
        <v>23</v>
      </c>
      <c r="Z819" s="25">
        <f t="shared" si="12"/>
        <v>1745.0469</v>
      </c>
    </row>
    <row r="820">
      <c r="A820" s="16" t="s">
        <v>35</v>
      </c>
      <c r="B820" s="17">
        <v>219.0</v>
      </c>
      <c r="C820" s="24">
        <f t="shared" si="1214"/>
        <v>14565830.16</v>
      </c>
      <c r="D820" s="25">
        <v>0.05</v>
      </c>
      <c r="E820" s="24">
        <f t="shared" si="1215"/>
        <v>3373.261098</v>
      </c>
      <c r="F820" s="25">
        <v>0.02</v>
      </c>
      <c r="G820" s="24">
        <f t="shared" si="1216"/>
        <v>1872749.592</v>
      </c>
      <c r="H820" s="25">
        <v>0.05</v>
      </c>
      <c r="I820" s="24">
        <f t="shared" si="1217"/>
        <v>0</v>
      </c>
      <c r="J820" s="25">
        <v>0.02</v>
      </c>
      <c r="K820" s="25">
        <v>0.0</v>
      </c>
      <c r="L820" s="24">
        <f t="shared" si="1614"/>
        <v>246171</v>
      </c>
      <c r="M820" s="24">
        <f t="shared" ref="M820:O820" si="1651">IF(M819="", "", 1 + MROUND(IFERROR(MINIFS(OFFSET(M819, -1, 0, -$B820, 1), OFFSET(M819, -1, 0, -$B820, 1), "&gt;0"), M819) + (LN(1 + $Z820) ^ V$2) * V$3, 1))</f>
        <v>48760</v>
      </c>
      <c r="N820" s="24">
        <f t="shared" si="1651"/>
        <v>5499</v>
      </c>
      <c r="O820" s="24">
        <f t="shared" si="1651"/>
        <v>5614</v>
      </c>
      <c r="P820" s="24">
        <f t="shared" ref="P820:S820" si="1652">L820*$Y$2</f>
        <v>61542.75</v>
      </c>
      <c r="Q820" s="24">
        <f t="shared" si="1652"/>
        <v>12190</v>
      </c>
      <c r="R820" s="24">
        <f t="shared" si="1652"/>
        <v>1374.75</v>
      </c>
      <c r="S820" s="24">
        <f t="shared" si="1652"/>
        <v>1403.5</v>
      </c>
      <c r="T820" s="24">
        <f t="shared" si="4"/>
        <v>23</v>
      </c>
      <c r="Z820" s="25">
        <f t="shared" si="12"/>
        <v>1806.158542</v>
      </c>
    </row>
    <row r="821">
      <c r="A821" s="16" t="s">
        <v>35</v>
      </c>
      <c r="B821" s="17">
        <v>220.0</v>
      </c>
      <c r="C821" s="24">
        <f t="shared" si="1214"/>
        <v>15294121.66</v>
      </c>
      <c r="D821" s="25">
        <v>0.05</v>
      </c>
      <c r="E821" s="24">
        <f t="shared" si="1215"/>
        <v>3440.72632</v>
      </c>
      <c r="F821" s="25">
        <v>0.02</v>
      </c>
      <c r="G821" s="24">
        <f t="shared" si="1216"/>
        <v>1966387.071</v>
      </c>
      <c r="H821" s="25">
        <v>0.05</v>
      </c>
      <c r="I821" s="24">
        <f t="shared" si="1217"/>
        <v>0</v>
      </c>
      <c r="J821" s="25">
        <v>0.02</v>
      </c>
      <c r="K821" s="25">
        <v>0.0</v>
      </c>
      <c r="L821" s="24">
        <f t="shared" si="1614"/>
        <v>247200</v>
      </c>
      <c r="M821" s="24">
        <f t="shared" ref="M821:O821" si="1653">IF(M820="", "", 1 + MROUND(IFERROR(MINIFS(OFFSET(M820, -1, 0, -$B821, 1), OFFSET(M820, -1, 0, -$B821, 1), "&gt;0"), M820) + (LN(1 + $Z821) ^ V$2) * V$3, 1))</f>
        <v>48843</v>
      </c>
      <c r="N821" s="24">
        <f t="shared" si="1653"/>
        <v>5541</v>
      </c>
      <c r="O821" s="24">
        <f t="shared" si="1653"/>
        <v>5656</v>
      </c>
      <c r="P821" s="24">
        <f t="shared" ref="P821:S821" si="1654">L821*$Y$2</f>
        <v>61800</v>
      </c>
      <c r="Q821" s="24">
        <f t="shared" si="1654"/>
        <v>12210.75</v>
      </c>
      <c r="R821" s="24">
        <f t="shared" si="1654"/>
        <v>1385.25</v>
      </c>
      <c r="S821" s="24">
        <f t="shared" si="1654"/>
        <v>1414</v>
      </c>
      <c r="T821" s="24">
        <f t="shared" si="4"/>
        <v>23</v>
      </c>
      <c r="Z821" s="25">
        <f t="shared" si="12"/>
        <v>1869.409091</v>
      </c>
    </row>
    <row r="822">
      <c r="A822" s="16" t="s">
        <v>35</v>
      </c>
      <c r="B822" s="17">
        <v>221.0</v>
      </c>
      <c r="C822" s="24">
        <f t="shared" si="1214"/>
        <v>16058827.75</v>
      </c>
      <c r="D822" s="25">
        <v>0.05</v>
      </c>
      <c r="E822" s="24">
        <f t="shared" si="1215"/>
        <v>3509.540846</v>
      </c>
      <c r="F822" s="25">
        <v>0.02</v>
      </c>
      <c r="G822" s="24">
        <f t="shared" si="1216"/>
        <v>2064706.425</v>
      </c>
      <c r="H822" s="25">
        <v>0.05</v>
      </c>
      <c r="I822" s="24">
        <f t="shared" si="1217"/>
        <v>0</v>
      </c>
      <c r="J822" s="25">
        <v>0.02</v>
      </c>
      <c r="K822" s="25">
        <v>0.0</v>
      </c>
      <c r="L822" s="24">
        <f t="shared" si="1614"/>
        <v>248232</v>
      </c>
      <c r="M822" s="24">
        <f t="shared" ref="M822:O822" si="1655">IF(M821="", "", 1 + MROUND(IFERROR(MINIFS(OFFSET(M821, -1, 0, -$B822, 1), OFFSET(M821, -1, 0, -$B822, 1), "&gt;0"), M821) + (LN(1 + $Z822) ^ V$2) * V$3, 1))</f>
        <v>48926</v>
      </c>
      <c r="N822" s="24">
        <f t="shared" si="1655"/>
        <v>5583</v>
      </c>
      <c r="O822" s="24">
        <f t="shared" si="1655"/>
        <v>5698</v>
      </c>
      <c r="P822" s="24">
        <f t="shared" ref="P822:S822" si="1656">L822*$Y$2</f>
        <v>62058</v>
      </c>
      <c r="Q822" s="24">
        <f t="shared" si="1656"/>
        <v>12231.5</v>
      </c>
      <c r="R822" s="24">
        <f t="shared" si="1656"/>
        <v>1395.75</v>
      </c>
      <c r="S822" s="24">
        <f t="shared" si="1656"/>
        <v>1424.5</v>
      </c>
      <c r="T822" s="24">
        <f t="shared" si="4"/>
        <v>23</v>
      </c>
      <c r="Z822" s="25">
        <f t="shared" si="12"/>
        <v>1934.873409</v>
      </c>
    </row>
    <row r="823">
      <c r="A823" s="16" t="s">
        <v>35</v>
      </c>
      <c r="B823" s="17">
        <v>222.0</v>
      </c>
      <c r="C823" s="24">
        <f t="shared" si="1214"/>
        <v>16861769.13</v>
      </c>
      <c r="D823" s="25">
        <v>0.05</v>
      </c>
      <c r="E823" s="24">
        <f t="shared" si="1215"/>
        <v>3579.731663</v>
      </c>
      <c r="F823" s="25">
        <v>0.02</v>
      </c>
      <c r="G823" s="24">
        <f t="shared" si="1216"/>
        <v>2167941.746</v>
      </c>
      <c r="H823" s="25">
        <v>0.05</v>
      </c>
      <c r="I823" s="24">
        <f t="shared" si="1217"/>
        <v>0</v>
      </c>
      <c r="J823" s="25">
        <v>0.02</v>
      </c>
      <c r="K823" s="25">
        <v>0.0</v>
      </c>
      <c r="L823" s="24">
        <f t="shared" si="1614"/>
        <v>249267</v>
      </c>
      <c r="M823" s="24">
        <f t="shared" ref="M823:O823" si="1657">IF(M822="", "", 1 + MROUND(IFERROR(MINIFS(OFFSET(M822, -1, 0, -$B823, 1), OFFSET(M822, -1, 0, -$B823, 1), "&gt;0"), M822) + (LN(1 + $Z823) ^ V$2) * V$3, 1))</f>
        <v>49010</v>
      </c>
      <c r="N823" s="24">
        <f t="shared" si="1657"/>
        <v>5625</v>
      </c>
      <c r="O823" s="24">
        <f t="shared" si="1657"/>
        <v>5740</v>
      </c>
      <c r="P823" s="24">
        <f t="shared" ref="P823:S823" si="1658">L823*$Y$2</f>
        <v>62316.75</v>
      </c>
      <c r="Q823" s="24">
        <f t="shared" si="1658"/>
        <v>12252.5</v>
      </c>
      <c r="R823" s="24">
        <f t="shared" si="1658"/>
        <v>1406.25</v>
      </c>
      <c r="S823" s="24">
        <f t="shared" si="1658"/>
        <v>1435</v>
      </c>
      <c r="T823" s="24">
        <f t="shared" si="4"/>
        <v>23</v>
      </c>
      <c r="Z823" s="25">
        <f t="shared" si="12"/>
        <v>2002.628978</v>
      </c>
    </row>
    <row r="824">
      <c r="A824" s="16" t="s">
        <v>35</v>
      </c>
      <c r="B824" s="17">
        <v>223.0</v>
      </c>
      <c r="C824" s="24">
        <f t="shared" si="1214"/>
        <v>17704857.59</v>
      </c>
      <c r="D824" s="25">
        <v>0.05</v>
      </c>
      <c r="E824" s="24">
        <f t="shared" si="1215"/>
        <v>3651.326297</v>
      </c>
      <c r="F824" s="25">
        <v>0.02</v>
      </c>
      <c r="G824" s="24">
        <f t="shared" si="1216"/>
        <v>2276338.833</v>
      </c>
      <c r="H824" s="25">
        <v>0.05</v>
      </c>
      <c r="I824" s="24">
        <f t="shared" si="1217"/>
        <v>0</v>
      </c>
      <c r="J824" s="25">
        <v>0.02</v>
      </c>
      <c r="K824" s="25">
        <v>0.0</v>
      </c>
      <c r="L824" s="24">
        <f t="shared" si="1614"/>
        <v>250306</v>
      </c>
      <c r="M824" s="24">
        <f t="shared" ref="M824:O824" si="1659">IF(M823="", "", 1 + MROUND(IFERROR(MINIFS(OFFSET(M823, -1, 0, -$B824, 1), OFFSET(M823, -1, 0, -$B824, 1), "&gt;0"), M823) + (LN(1 + $Z824) ^ V$2) * V$3, 1))</f>
        <v>49094</v>
      </c>
      <c r="N824" s="24">
        <f t="shared" si="1659"/>
        <v>5668</v>
      </c>
      <c r="O824" s="24">
        <f t="shared" si="1659"/>
        <v>5783</v>
      </c>
      <c r="P824" s="24">
        <f t="shared" ref="P824:S824" si="1660">L824*$Y$2</f>
        <v>62576.5</v>
      </c>
      <c r="Q824" s="24">
        <f t="shared" si="1660"/>
        <v>12273.5</v>
      </c>
      <c r="R824" s="24">
        <f t="shared" si="1660"/>
        <v>1417</v>
      </c>
      <c r="S824" s="24">
        <f t="shared" si="1660"/>
        <v>1445.75</v>
      </c>
      <c r="T824" s="24">
        <f t="shared" si="4"/>
        <v>23</v>
      </c>
      <c r="Z824" s="25">
        <f t="shared" si="12"/>
        <v>2072.755993</v>
      </c>
    </row>
    <row r="825">
      <c r="A825" s="16" t="s">
        <v>35</v>
      </c>
      <c r="B825" s="17">
        <v>224.0</v>
      </c>
      <c r="C825" s="24">
        <f t="shared" si="1214"/>
        <v>18590100.47</v>
      </c>
      <c r="D825" s="25">
        <v>0.05</v>
      </c>
      <c r="E825" s="24">
        <f t="shared" si="1215"/>
        <v>3724.352823</v>
      </c>
      <c r="F825" s="25">
        <v>0.02</v>
      </c>
      <c r="G825" s="24">
        <f t="shared" si="1216"/>
        <v>2390155.775</v>
      </c>
      <c r="H825" s="25">
        <v>0.05</v>
      </c>
      <c r="I825" s="24">
        <f t="shared" si="1217"/>
        <v>0</v>
      </c>
      <c r="J825" s="25">
        <v>0.02</v>
      </c>
      <c r="K825" s="25">
        <v>0.0</v>
      </c>
      <c r="L825" s="24">
        <f t="shared" si="1614"/>
        <v>251348</v>
      </c>
      <c r="M825" s="24">
        <f t="shared" ref="M825:O825" si="1661">IF(M824="", "", 1 + MROUND(IFERROR(MINIFS(OFFSET(M824, -1, 0, -$B825, 1), OFFSET(M824, -1, 0, -$B825, 1), "&gt;0"), M824) + (LN(1 + $Z825) ^ V$2) * V$3, 1))</f>
        <v>49178</v>
      </c>
      <c r="N825" s="24">
        <f t="shared" si="1661"/>
        <v>5711</v>
      </c>
      <c r="O825" s="24">
        <f t="shared" si="1661"/>
        <v>5826</v>
      </c>
      <c r="P825" s="24">
        <f t="shared" ref="P825:S825" si="1662">L825*$Y$2</f>
        <v>62837</v>
      </c>
      <c r="Q825" s="24">
        <f t="shared" si="1662"/>
        <v>12294.5</v>
      </c>
      <c r="R825" s="24">
        <f t="shared" si="1662"/>
        <v>1427.75</v>
      </c>
      <c r="S825" s="24">
        <f t="shared" si="1662"/>
        <v>1456.5</v>
      </c>
      <c r="T825" s="24">
        <f t="shared" si="4"/>
        <v>23</v>
      </c>
      <c r="Z825" s="25">
        <f t="shared" si="12"/>
        <v>2145.337452</v>
      </c>
    </row>
    <row r="826">
      <c r="A826" s="16" t="s">
        <v>35</v>
      </c>
      <c r="B826" s="17">
        <v>225.0</v>
      </c>
      <c r="C826" s="24">
        <f t="shared" si="1214"/>
        <v>19519605.49</v>
      </c>
      <c r="D826" s="25">
        <v>0.05</v>
      </c>
      <c r="E826" s="24">
        <f t="shared" si="1215"/>
        <v>3798.839879</v>
      </c>
      <c r="F826" s="25">
        <v>0.02</v>
      </c>
      <c r="G826" s="24">
        <f t="shared" si="1216"/>
        <v>2509663.564</v>
      </c>
      <c r="H826" s="25">
        <v>0.05</v>
      </c>
      <c r="I826" s="24">
        <f t="shared" si="1217"/>
        <v>0</v>
      </c>
      <c r="J826" s="25">
        <v>0.02</v>
      </c>
      <c r="K826" s="25">
        <v>0.0</v>
      </c>
      <c r="L826" s="24">
        <f t="shared" si="1614"/>
        <v>252393</v>
      </c>
      <c r="M826" s="24">
        <f t="shared" ref="M826:O826" si="1663">IF(M825="", "", 1 + MROUND(IFERROR(MINIFS(OFFSET(M825, -1, 0, -$B826, 1), OFFSET(M825, -1, 0, -$B826, 1), "&gt;0"), M825) + (LN(1 + $Z826) ^ V$2) * V$3, 1))</f>
        <v>49263</v>
      </c>
      <c r="N826" s="24">
        <f t="shared" si="1663"/>
        <v>5754</v>
      </c>
      <c r="O826" s="24">
        <f t="shared" si="1663"/>
        <v>5869</v>
      </c>
      <c r="P826" s="24">
        <f t="shared" ref="P826:S826" si="1664">L826*$Y$2</f>
        <v>63098.25</v>
      </c>
      <c r="Q826" s="24">
        <f t="shared" si="1664"/>
        <v>12315.75</v>
      </c>
      <c r="R826" s="24">
        <f t="shared" si="1664"/>
        <v>1438.5</v>
      </c>
      <c r="S826" s="24">
        <f t="shared" si="1664"/>
        <v>1467.25</v>
      </c>
      <c r="T826" s="24">
        <f t="shared" si="4"/>
        <v>24</v>
      </c>
      <c r="Z826" s="25">
        <f t="shared" si="12"/>
        <v>2220.459263</v>
      </c>
    </row>
    <row r="827">
      <c r="A827" s="16" t="s">
        <v>35</v>
      </c>
      <c r="B827" s="17">
        <v>226.0</v>
      </c>
      <c r="C827" s="24">
        <f t="shared" si="1214"/>
        <v>20495585.77</v>
      </c>
      <c r="D827" s="25">
        <v>0.05</v>
      </c>
      <c r="E827" s="24">
        <f t="shared" si="1215"/>
        <v>3874.816677</v>
      </c>
      <c r="F827" s="25">
        <v>0.02</v>
      </c>
      <c r="G827" s="24">
        <f t="shared" si="1216"/>
        <v>2635146.742</v>
      </c>
      <c r="H827" s="25">
        <v>0.05</v>
      </c>
      <c r="I827" s="24">
        <f t="shared" si="1217"/>
        <v>0</v>
      </c>
      <c r="J827" s="25">
        <v>0.02</v>
      </c>
      <c r="K827" s="25">
        <v>0.0</v>
      </c>
      <c r="L827" s="24">
        <f t="shared" si="1614"/>
        <v>253441</v>
      </c>
      <c r="M827" s="24">
        <f t="shared" ref="M827:O827" si="1665">IF(M826="", "", 1 + MROUND(IFERROR(MINIFS(OFFSET(M826, -1, 0, -$B827, 1), OFFSET(M826, -1, 0, -$B827, 1), "&gt;0"), M826) + (LN(1 + $Z827) ^ V$2) * V$3, 1))</f>
        <v>49348</v>
      </c>
      <c r="N827" s="24">
        <f t="shared" si="1665"/>
        <v>5797</v>
      </c>
      <c r="O827" s="24">
        <f t="shared" si="1665"/>
        <v>5912</v>
      </c>
      <c r="P827" s="24">
        <f t="shared" ref="P827:S827" si="1666">L827*$Y$2</f>
        <v>63360.25</v>
      </c>
      <c r="Q827" s="24">
        <f t="shared" si="1666"/>
        <v>12337</v>
      </c>
      <c r="R827" s="24">
        <f t="shared" si="1666"/>
        <v>1449.25</v>
      </c>
      <c r="S827" s="24">
        <f t="shared" si="1666"/>
        <v>1478</v>
      </c>
      <c r="T827" s="24">
        <f t="shared" si="4"/>
        <v>24</v>
      </c>
      <c r="Z827" s="25">
        <f t="shared" si="12"/>
        <v>2298.210337</v>
      </c>
    </row>
    <row r="828">
      <c r="A828" s="16" t="s">
        <v>35</v>
      </c>
      <c r="B828" s="17">
        <v>227.0</v>
      </c>
      <c r="C828" s="24">
        <f t="shared" si="1214"/>
        <v>21520365.06</v>
      </c>
      <c r="D828" s="25">
        <v>0.05</v>
      </c>
      <c r="E828" s="24">
        <f t="shared" si="1215"/>
        <v>3952.31301</v>
      </c>
      <c r="F828" s="25">
        <v>0.02</v>
      </c>
      <c r="G828" s="24">
        <f t="shared" si="1216"/>
        <v>2766904.079</v>
      </c>
      <c r="H828" s="25">
        <v>0.05</v>
      </c>
      <c r="I828" s="24">
        <f t="shared" si="1217"/>
        <v>0</v>
      </c>
      <c r="J828" s="25">
        <v>0.02</v>
      </c>
      <c r="K828" s="25">
        <v>0.0</v>
      </c>
      <c r="L828" s="24">
        <f t="shared" si="1614"/>
        <v>254493</v>
      </c>
      <c r="M828" s="24">
        <f t="shared" ref="M828:O828" si="1667">IF(M827="", "", 1 + MROUND(IFERROR(MINIFS(OFFSET(M827, -1, 0, -$B828, 1), OFFSET(M827, -1, 0, -$B828, 1), "&gt;0"), M827) + (LN(1 + $Z828) ^ V$2) * V$3, 1))</f>
        <v>49433</v>
      </c>
      <c r="N828" s="24">
        <f t="shared" si="1667"/>
        <v>5840</v>
      </c>
      <c r="O828" s="24">
        <f t="shared" si="1667"/>
        <v>5955</v>
      </c>
      <c r="P828" s="24">
        <f t="shared" ref="P828:S828" si="1668">L828*$Y$2</f>
        <v>63623.25</v>
      </c>
      <c r="Q828" s="24">
        <f t="shared" si="1668"/>
        <v>12358.25</v>
      </c>
      <c r="R828" s="24">
        <f t="shared" si="1668"/>
        <v>1460</v>
      </c>
      <c r="S828" s="24">
        <f t="shared" si="1668"/>
        <v>1488.75</v>
      </c>
      <c r="T828" s="24">
        <f t="shared" si="4"/>
        <v>24</v>
      </c>
      <c r="Z828" s="25">
        <f t="shared" si="12"/>
        <v>2378.682699</v>
      </c>
    </row>
    <row r="829">
      <c r="A829" s="16" t="s">
        <v>35</v>
      </c>
      <c r="B829" s="17">
        <v>228.0</v>
      </c>
      <c r="C829" s="24">
        <f t="shared" si="1214"/>
        <v>22596383.31</v>
      </c>
      <c r="D829" s="25">
        <v>0.05</v>
      </c>
      <c r="E829" s="24">
        <f t="shared" si="1215"/>
        <v>4031.35927</v>
      </c>
      <c r="F829" s="25">
        <v>0.02</v>
      </c>
      <c r="G829" s="24">
        <f t="shared" si="1216"/>
        <v>2905249.283</v>
      </c>
      <c r="H829" s="25">
        <v>0.05</v>
      </c>
      <c r="I829" s="24">
        <f t="shared" si="1217"/>
        <v>0</v>
      </c>
      <c r="J829" s="25">
        <v>0.02</v>
      </c>
      <c r="K829" s="25">
        <v>0.0</v>
      </c>
      <c r="L829" s="24">
        <f t="shared" si="1614"/>
        <v>255548</v>
      </c>
      <c r="M829" s="24">
        <f t="shared" ref="M829:O829" si="1669">IF(M828="", "", 1 + MROUND(IFERROR(MINIFS(OFFSET(M828, -1, 0, -$B829, 1), OFFSET(M828, -1, 0, -$B829, 1), "&gt;0"), M828) + (LN(1 + $Z829) ^ V$2) * V$3, 1))</f>
        <v>49518</v>
      </c>
      <c r="N829" s="24">
        <f t="shared" si="1669"/>
        <v>5883</v>
      </c>
      <c r="O829" s="24">
        <f t="shared" si="1669"/>
        <v>5998</v>
      </c>
      <c r="P829" s="24">
        <f t="shared" ref="P829:S829" si="1670">L829*$Y$2</f>
        <v>63887</v>
      </c>
      <c r="Q829" s="24">
        <f t="shared" si="1670"/>
        <v>12379.5</v>
      </c>
      <c r="R829" s="24">
        <f t="shared" si="1670"/>
        <v>1470.75</v>
      </c>
      <c r="S829" s="24">
        <f t="shared" si="1670"/>
        <v>1499.5</v>
      </c>
      <c r="T829" s="24">
        <f t="shared" si="4"/>
        <v>24</v>
      </c>
      <c r="Z829" s="25">
        <f t="shared" si="12"/>
        <v>2461.971594</v>
      </c>
    </row>
    <row r="830">
      <c r="A830" s="16" t="s">
        <v>35</v>
      </c>
      <c r="B830" s="17">
        <v>229.0</v>
      </c>
      <c r="C830" s="24">
        <f t="shared" si="1214"/>
        <v>23726202.48</v>
      </c>
      <c r="D830" s="25">
        <v>0.05</v>
      </c>
      <c r="E830" s="24">
        <f t="shared" si="1215"/>
        <v>4111.986456</v>
      </c>
      <c r="F830" s="25">
        <v>0.02</v>
      </c>
      <c r="G830" s="24">
        <f t="shared" si="1216"/>
        <v>3050511.747</v>
      </c>
      <c r="H830" s="25">
        <v>0.05</v>
      </c>
      <c r="I830" s="24">
        <f t="shared" si="1217"/>
        <v>0</v>
      </c>
      <c r="J830" s="25">
        <v>0.02</v>
      </c>
      <c r="K830" s="25">
        <v>0.0</v>
      </c>
      <c r="L830" s="24">
        <f t="shared" si="1614"/>
        <v>256606</v>
      </c>
      <c r="M830" s="24">
        <f t="shared" ref="M830:O830" si="1671">IF(M829="", "", 1 + MROUND(IFERROR(MINIFS(OFFSET(M829, -1, 0, -$B830, 1), OFFSET(M829, -1, 0, -$B830, 1), "&gt;0"), M829) + (LN(1 + $Z830) ^ V$2) * V$3, 1))</f>
        <v>49604</v>
      </c>
      <c r="N830" s="24">
        <f t="shared" si="1671"/>
        <v>5926</v>
      </c>
      <c r="O830" s="24">
        <f t="shared" si="1671"/>
        <v>6041</v>
      </c>
      <c r="P830" s="24">
        <f t="shared" ref="P830:S830" si="1672">L830*$Y$2</f>
        <v>64151.5</v>
      </c>
      <c r="Q830" s="24">
        <f t="shared" si="1672"/>
        <v>12401</v>
      </c>
      <c r="R830" s="24">
        <f t="shared" si="1672"/>
        <v>1481.5</v>
      </c>
      <c r="S830" s="24">
        <f t="shared" si="1672"/>
        <v>1510.25</v>
      </c>
      <c r="T830" s="24">
        <f t="shared" si="4"/>
        <v>24</v>
      </c>
      <c r="Z830" s="25">
        <f t="shared" si="12"/>
        <v>2548.175599</v>
      </c>
    </row>
    <row r="831">
      <c r="A831" s="16" t="s">
        <v>35</v>
      </c>
      <c r="B831" s="17">
        <v>230.0</v>
      </c>
      <c r="C831" s="24">
        <f t="shared" si="1214"/>
        <v>24912512.6</v>
      </c>
      <c r="D831" s="25">
        <v>0.05</v>
      </c>
      <c r="E831" s="24">
        <f t="shared" si="1215"/>
        <v>4194.226185</v>
      </c>
      <c r="F831" s="25">
        <v>0.02</v>
      </c>
      <c r="G831" s="24">
        <f t="shared" si="1216"/>
        <v>3203037.334</v>
      </c>
      <c r="H831" s="25">
        <v>0.05</v>
      </c>
      <c r="I831" s="24">
        <f t="shared" si="1217"/>
        <v>0</v>
      </c>
      <c r="J831" s="25">
        <v>0.02</v>
      </c>
      <c r="K831" s="25">
        <v>0.0</v>
      </c>
      <c r="L831" s="24">
        <f t="shared" si="1614"/>
        <v>257667</v>
      </c>
      <c r="M831" s="24">
        <f t="shared" ref="M831:O831" si="1673">IF(M830="", "", 1 + MROUND(IFERROR(MINIFS(OFFSET(M830, -1, 0, -$B831, 1), OFFSET(M830, -1, 0, -$B831, 1), "&gt;0"), M830) + (LN(1 + $Z831) ^ V$2) * V$3, 1))</f>
        <v>49690</v>
      </c>
      <c r="N831" s="24">
        <f t="shared" si="1673"/>
        <v>5969</v>
      </c>
      <c r="O831" s="24">
        <f t="shared" si="1673"/>
        <v>6084</v>
      </c>
      <c r="P831" s="24">
        <f t="shared" ref="P831:S831" si="1674">L831*$Y$2</f>
        <v>64416.75</v>
      </c>
      <c r="Q831" s="24">
        <f t="shared" si="1674"/>
        <v>12422.5</v>
      </c>
      <c r="R831" s="24">
        <f t="shared" si="1674"/>
        <v>1492.25</v>
      </c>
      <c r="S831" s="24">
        <f t="shared" si="1674"/>
        <v>1521</v>
      </c>
      <c r="T831" s="24">
        <f t="shared" si="4"/>
        <v>24</v>
      </c>
      <c r="Z831" s="25">
        <f t="shared" si="12"/>
        <v>2637.396745</v>
      </c>
    </row>
    <row r="832">
      <c r="A832" s="16" t="s">
        <v>35</v>
      </c>
      <c r="B832" s="17">
        <v>231.0</v>
      </c>
      <c r="C832" s="24">
        <f t="shared" si="1214"/>
        <v>26158138.23</v>
      </c>
      <c r="D832" s="25">
        <v>0.05</v>
      </c>
      <c r="E832" s="24">
        <f t="shared" si="1215"/>
        <v>4278.110709</v>
      </c>
      <c r="F832" s="25">
        <v>0.02</v>
      </c>
      <c r="G832" s="24">
        <f t="shared" si="1216"/>
        <v>3363189.201</v>
      </c>
      <c r="H832" s="25">
        <v>0.05</v>
      </c>
      <c r="I832" s="24">
        <f t="shared" si="1217"/>
        <v>0</v>
      </c>
      <c r="J832" s="25">
        <v>0.02</v>
      </c>
      <c r="K832" s="25">
        <v>0.0</v>
      </c>
      <c r="L832" s="24">
        <f t="shared" si="1614"/>
        <v>258732</v>
      </c>
      <c r="M832" s="24">
        <f t="shared" ref="M832:O832" si="1675">IF(M831="", "", 1 + MROUND(IFERROR(MINIFS(OFFSET(M831, -1, 0, -$B832, 1), OFFSET(M831, -1, 0, -$B832, 1), "&gt;0"), M831) + (LN(1 + $Z832) ^ V$2) * V$3, 1))</f>
        <v>49776</v>
      </c>
      <c r="N832" s="24">
        <f t="shared" si="1675"/>
        <v>6013</v>
      </c>
      <c r="O832" s="24">
        <f t="shared" si="1675"/>
        <v>6128</v>
      </c>
      <c r="P832" s="24">
        <f t="shared" ref="P832:S832" si="1676">L832*$Y$2</f>
        <v>64683</v>
      </c>
      <c r="Q832" s="24">
        <f t="shared" si="1676"/>
        <v>12444</v>
      </c>
      <c r="R832" s="24">
        <f t="shared" si="1676"/>
        <v>1503.25</v>
      </c>
      <c r="S832" s="24">
        <f t="shared" si="1676"/>
        <v>1532</v>
      </c>
      <c r="T832" s="24">
        <f t="shared" si="4"/>
        <v>24</v>
      </c>
      <c r="Z832" s="25">
        <f t="shared" si="12"/>
        <v>2729.740632</v>
      </c>
    </row>
    <row r="833">
      <c r="A833" s="16" t="s">
        <v>35</v>
      </c>
      <c r="B833" s="17">
        <v>232.0</v>
      </c>
      <c r="C833" s="24">
        <f t="shared" si="1214"/>
        <v>27466045.14</v>
      </c>
      <c r="D833" s="25">
        <v>0.05</v>
      </c>
      <c r="E833" s="24">
        <f t="shared" si="1215"/>
        <v>4363.672923</v>
      </c>
      <c r="F833" s="25">
        <v>0.02</v>
      </c>
      <c r="G833" s="24">
        <f t="shared" si="1216"/>
        <v>3531348.661</v>
      </c>
      <c r="H833" s="25">
        <v>0.05</v>
      </c>
      <c r="I833" s="24">
        <f t="shared" si="1217"/>
        <v>0</v>
      </c>
      <c r="J833" s="25">
        <v>0.02</v>
      </c>
      <c r="K833" s="25">
        <v>0.0</v>
      </c>
      <c r="L833" s="24">
        <f t="shared" si="1614"/>
        <v>259800</v>
      </c>
      <c r="M833" s="24">
        <f t="shared" ref="M833:O833" si="1677">IF(M832="", "", 1 + MROUND(IFERROR(MINIFS(OFFSET(M832, -1, 0, -$B833, 1), OFFSET(M832, -1, 0, -$B833, 1), "&gt;0"), M832) + (LN(1 + $Z833) ^ V$2) * V$3, 1))</f>
        <v>49862</v>
      </c>
      <c r="N833" s="24">
        <f t="shared" si="1677"/>
        <v>6057</v>
      </c>
      <c r="O833" s="24">
        <f t="shared" si="1677"/>
        <v>6172</v>
      </c>
      <c r="P833" s="24">
        <f t="shared" ref="P833:S833" si="1678">L833*$Y$2</f>
        <v>64950</v>
      </c>
      <c r="Q833" s="24">
        <f t="shared" si="1678"/>
        <v>12465.5</v>
      </c>
      <c r="R833" s="24">
        <f t="shared" si="1678"/>
        <v>1514.25</v>
      </c>
      <c r="S833" s="24">
        <f t="shared" si="1678"/>
        <v>1543</v>
      </c>
      <c r="T833" s="24">
        <f t="shared" si="4"/>
        <v>24</v>
      </c>
      <c r="Z833" s="25">
        <f t="shared" si="12"/>
        <v>2825.316554</v>
      </c>
    </row>
    <row r="834">
      <c r="A834" s="16" t="s">
        <v>35</v>
      </c>
      <c r="B834" s="17">
        <v>233.0</v>
      </c>
      <c r="C834" s="24">
        <f t="shared" si="1214"/>
        <v>28839347.4</v>
      </c>
      <c r="D834" s="25">
        <v>0.05</v>
      </c>
      <c r="E834" s="24">
        <f t="shared" si="1215"/>
        <v>4450.946381</v>
      </c>
      <c r="F834" s="25">
        <v>0.02</v>
      </c>
      <c r="G834" s="24">
        <f t="shared" si="1216"/>
        <v>3707916.094</v>
      </c>
      <c r="H834" s="25">
        <v>0.05</v>
      </c>
      <c r="I834" s="24">
        <f t="shared" si="1217"/>
        <v>0</v>
      </c>
      <c r="J834" s="25">
        <v>0.02</v>
      </c>
      <c r="K834" s="25">
        <v>0.0</v>
      </c>
      <c r="L834" s="24">
        <f t="shared" si="1614"/>
        <v>260871</v>
      </c>
      <c r="M834" s="24">
        <f t="shared" ref="M834:O834" si="1679">IF(M833="", "", 1 + MROUND(IFERROR(MINIFS(OFFSET(M833, -1, 0, -$B834, 1), OFFSET(M833, -1, 0, -$B834, 1), "&gt;0"), M833) + (LN(1 + $Z834) ^ V$2) * V$3, 1))</f>
        <v>49949</v>
      </c>
      <c r="N834" s="24">
        <f t="shared" si="1679"/>
        <v>6101</v>
      </c>
      <c r="O834" s="24">
        <f t="shared" si="1679"/>
        <v>6216</v>
      </c>
      <c r="P834" s="24">
        <f t="shared" ref="P834:S834" si="1680">L834*$Y$2</f>
        <v>65217.75</v>
      </c>
      <c r="Q834" s="24">
        <f t="shared" si="1680"/>
        <v>12487.25</v>
      </c>
      <c r="R834" s="24">
        <f t="shared" si="1680"/>
        <v>1525.25</v>
      </c>
      <c r="S834" s="24">
        <f t="shared" si="1680"/>
        <v>1554</v>
      </c>
      <c r="T834" s="24">
        <f t="shared" si="4"/>
        <v>24</v>
      </c>
      <c r="Z834" s="25">
        <f t="shared" si="12"/>
        <v>2924.237633</v>
      </c>
    </row>
    <row r="835">
      <c r="A835" s="16" t="s">
        <v>35</v>
      </c>
      <c r="B835" s="17">
        <v>234.0</v>
      </c>
      <c r="C835" s="24">
        <f t="shared" si="1214"/>
        <v>30281314.77</v>
      </c>
      <c r="D835" s="25">
        <v>0.05</v>
      </c>
      <c r="E835" s="24">
        <f t="shared" si="1215"/>
        <v>4539.965309</v>
      </c>
      <c r="F835" s="25">
        <v>0.02</v>
      </c>
      <c r="G835" s="24">
        <f t="shared" si="1216"/>
        <v>3893311.899</v>
      </c>
      <c r="H835" s="25">
        <v>0.05</v>
      </c>
      <c r="I835" s="24">
        <f t="shared" si="1217"/>
        <v>0</v>
      </c>
      <c r="J835" s="25">
        <v>0.02</v>
      </c>
      <c r="K835" s="25">
        <v>0.0</v>
      </c>
      <c r="L835" s="24">
        <f t="shared" si="1614"/>
        <v>261945</v>
      </c>
      <c r="M835" s="24">
        <f t="shared" ref="M835:O835" si="1681">IF(M834="", "", 1 + MROUND(IFERROR(MINIFS(OFFSET(M834, -1, 0, -$B835, 1), OFFSET(M834, -1, 0, -$B835, 1), "&gt;0"), M834) + (LN(1 + $Z835) ^ V$2) * V$3, 1))</f>
        <v>50036</v>
      </c>
      <c r="N835" s="24">
        <f t="shared" si="1681"/>
        <v>6145</v>
      </c>
      <c r="O835" s="24">
        <f t="shared" si="1681"/>
        <v>6260</v>
      </c>
      <c r="P835" s="24">
        <f t="shared" ref="P835:S835" si="1682">L835*$Y$2</f>
        <v>65486.25</v>
      </c>
      <c r="Q835" s="24">
        <f t="shared" si="1682"/>
        <v>12509</v>
      </c>
      <c r="R835" s="24">
        <f t="shared" si="1682"/>
        <v>1536.25</v>
      </c>
      <c r="S835" s="24">
        <f t="shared" si="1682"/>
        <v>1565</v>
      </c>
      <c r="T835" s="24">
        <f t="shared" si="4"/>
        <v>24</v>
      </c>
      <c r="Z835" s="25">
        <f t="shared" si="12"/>
        <v>3026.62095</v>
      </c>
    </row>
    <row r="836">
      <c r="A836" s="16" t="s">
        <v>35</v>
      </c>
      <c r="B836" s="17">
        <v>235.0</v>
      </c>
      <c r="C836" s="24">
        <f t="shared" si="1214"/>
        <v>31795380.51</v>
      </c>
      <c r="D836" s="25">
        <v>0.05</v>
      </c>
      <c r="E836" s="24">
        <f t="shared" si="1215"/>
        <v>4630.764615</v>
      </c>
      <c r="F836" s="25">
        <v>0.02</v>
      </c>
      <c r="G836" s="24">
        <f t="shared" si="1216"/>
        <v>4087977.494</v>
      </c>
      <c r="H836" s="25">
        <v>0.05</v>
      </c>
      <c r="I836" s="24">
        <f t="shared" si="1217"/>
        <v>0</v>
      </c>
      <c r="J836" s="25">
        <v>0.02</v>
      </c>
      <c r="K836" s="25">
        <v>0.0</v>
      </c>
      <c r="L836" s="24">
        <f t="shared" si="1614"/>
        <v>263022</v>
      </c>
      <c r="M836" s="24">
        <f t="shared" ref="M836:O836" si="1683">IF(M835="", "", 1 + MROUND(IFERROR(MINIFS(OFFSET(M835, -1, 0, -$B836, 1), OFFSET(M835, -1, 0, -$B836, 1), "&gt;0"), M835) + (LN(1 + $Z836) ^ V$2) * V$3, 1))</f>
        <v>50123</v>
      </c>
      <c r="N836" s="24">
        <f t="shared" si="1683"/>
        <v>6189</v>
      </c>
      <c r="O836" s="24">
        <f t="shared" si="1683"/>
        <v>6304</v>
      </c>
      <c r="P836" s="24">
        <f t="shared" ref="P836:S836" si="1684">L836*$Y$2</f>
        <v>65755.5</v>
      </c>
      <c r="Q836" s="24">
        <f t="shared" si="1684"/>
        <v>12530.75</v>
      </c>
      <c r="R836" s="24">
        <f t="shared" si="1684"/>
        <v>1547.25</v>
      </c>
      <c r="S836" s="24">
        <f t="shared" si="1684"/>
        <v>1576</v>
      </c>
      <c r="T836" s="24">
        <f t="shared" si="4"/>
        <v>25</v>
      </c>
      <c r="Z836" s="25">
        <f t="shared" si="12"/>
        <v>3132.587683</v>
      </c>
    </row>
    <row r="837">
      <c r="A837" s="16" t="s">
        <v>35</v>
      </c>
      <c r="B837" s="17">
        <v>236.0</v>
      </c>
      <c r="C837" s="24">
        <f t="shared" si="1214"/>
        <v>33385149.53</v>
      </c>
      <c r="D837" s="25">
        <v>0.05</v>
      </c>
      <c r="E837" s="24">
        <f t="shared" si="1215"/>
        <v>4723.379907</v>
      </c>
      <c r="F837" s="25">
        <v>0.02</v>
      </c>
      <c r="G837" s="24">
        <f t="shared" si="1216"/>
        <v>4292376.368</v>
      </c>
      <c r="H837" s="25">
        <v>0.05</v>
      </c>
      <c r="I837" s="24">
        <f t="shared" si="1217"/>
        <v>0</v>
      </c>
      <c r="J837" s="25">
        <v>0.02</v>
      </c>
      <c r="K837" s="25">
        <v>0.0</v>
      </c>
      <c r="L837" s="24">
        <f t="shared" si="1614"/>
        <v>264103</v>
      </c>
      <c r="M837" s="24">
        <f t="shared" ref="M837:O837" si="1685">IF(M836="", "", 1 + MROUND(IFERROR(MINIFS(OFFSET(M836, -1, 0, -$B837, 1), OFFSET(M836, -1, 0, -$B837, 1), "&gt;0"), M836) + (LN(1 + $Z837) ^ V$2) * V$3, 1))</f>
        <v>50210</v>
      </c>
      <c r="N837" s="24">
        <f t="shared" si="1685"/>
        <v>6233</v>
      </c>
      <c r="O837" s="24">
        <f t="shared" si="1685"/>
        <v>6348</v>
      </c>
      <c r="P837" s="24">
        <f t="shared" ref="P837:S837" si="1686">L837*$Y$2</f>
        <v>66025.75</v>
      </c>
      <c r="Q837" s="24">
        <f t="shared" si="1686"/>
        <v>12552.5</v>
      </c>
      <c r="R837" s="24">
        <f t="shared" si="1686"/>
        <v>1558.25</v>
      </c>
      <c r="S837" s="24">
        <f t="shared" si="1686"/>
        <v>1587</v>
      </c>
      <c r="T837" s="24">
        <f t="shared" si="4"/>
        <v>25</v>
      </c>
      <c r="Z837" s="25">
        <f t="shared" si="12"/>
        <v>3242.263252</v>
      </c>
    </row>
    <row r="838">
      <c r="A838" s="16" t="s">
        <v>35</v>
      </c>
      <c r="B838" s="17">
        <v>237.0</v>
      </c>
      <c r="C838" s="24">
        <f t="shared" si="1214"/>
        <v>35054407.01</v>
      </c>
      <c r="D838" s="25">
        <v>0.05</v>
      </c>
      <c r="E838" s="24">
        <f t="shared" si="1215"/>
        <v>4817.847505</v>
      </c>
      <c r="F838" s="25">
        <v>0.02</v>
      </c>
      <c r="G838" s="24">
        <f t="shared" si="1216"/>
        <v>4506995.187</v>
      </c>
      <c r="H838" s="25">
        <v>0.05</v>
      </c>
      <c r="I838" s="24">
        <f t="shared" si="1217"/>
        <v>0</v>
      </c>
      <c r="J838" s="25">
        <v>0.02</v>
      </c>
      <c r="K838" s="25">
        <v>0.0</v>
      </c>
      <c r="L838" s="24">
        <f t="shared" si="1614"/>
        <v>265187</v>
      </c>
      <c r="M838" s="24">
        <f t="shared" ref="M838:O838" si="1687">IF(M837="", "", 1 + MROUND(IFERROR(MINIFS(OFFSET(M837, -1, 0, -$B838, 1), OFFSET(M837, -1, 0, -$B838, 1), "&gt;0"), M837) + (LN(1 + $Z838) ^ V$2) * V$3, 1))</f>
        <v>50298</v>
      </c>
      <c r="N838" s="24">
        <f t="shared" si="1687"/>
        <v>6277</v>
      </c>
      <c r="O838" s="24">
        <f t="shared" si="1687"/>
        <v>6392</v>
      </c>
      <c r="P838" s="24">
        <f t="shared" ref="P838:S838" si="1688">L838*$Y$2</f>
        <v>66296.75</v>
      </c>
      <c r="Q838" s="24">
        <f t="shared" si="1688"/>
        <v>12574.5</v>
      </c>
      <c r="R838" s="24">
        <f t="shared" si="1688"/>
        <v>1569.25</v>
      </c>
      <c r="S838" s="24">
        <f t="shared" si="1688"/>
        <v>1598</v>
      </c>
      <c r="T838" s="24">
        <f t="shared" si="4"/>
        <v>25</v>
      </c>
      <c r="Z838" s="25">
        <f t="shared" si="12"/>
        <v>3355.777466</v>
      </c>
    </row>
    <row r="839">
      <c r="A839" s="16" t="s">
        <v>35</v>
      </c>
      <c r="B839" s="17">
        <v>238.0</v>
      </c>
      <c r="C839" s="24">
        <f t="shared" si="1214"/>
        <v>36807127.36</v>
      </c>
      <c r="D839" s="25">
        <v>0.05</v>
      </c>
      <c r="E839" s="24">
        <f t="shared" si="1215"/>
        <v>4914.204456</v>
      </c>
      <c r="F839" s="25">
        <v>0.02</v>
      </c>
      <c r="G839" s="24">
        <f t="shared" si="1216"/>
        <v>4732344.946</v>
      </c>
      <c r="H839" s="25">
        <v>0.05</v>
      </c>
      <c r="I839" s="24">
        <f t="shared" si="1217"/>
        <v>0</v>
      </c>
      <c r="J839" s="25">
        <v>0.02</v>
      </c>
      <c r="K839" s="25">
        <v>0.0</v>
      </c>
      <c r="L839" s="24">
        <f t="shared" si="1614"/>
        <v>266274</v>
      </c>
      <c r="M839" s="24">
        <f t="shared" ref="M839:O839" si="1689">IF(M838="", "", 1 + MROUND(IFERROR(MINIFS(OFFSET(M838, -1, 0, -$B839, 1), OFFSET(M838, -1, 0, -$B839, 1), "&gt;0"), M838) + (LN(1 + $Z839) ^ V$2) * V$3, 1))</f>
        <v>50386</v>
      </c>
      <c r="N839" s="24">
        <f t="shared" si="1689"/>
        <v>6321</v>
      </c>
      <c r="O839" s="24">
        <f t="shared" si="1689"/>
        <v>6436</v>
      </c>
      <c r="P839" s="24">
        <f t="shared" ref="P839:S839" si="1690">L839*$Y$2</f>
        <v>66568.5</v>
      </c>
      <c r="Q839" s="24">
        <f t="shared" si="1690"/>
        <v>12596.5</v>
      </c>
      <c r="R839" s="24">
        <f t="shared" si="1690"/>
        <v>1580.25</v>
      </c>
      <c r="S839" s="24">
        <f t="shared" si="1690"/>
        <v>1609</v>
      </c>
      <c r="T839" s="24">
        <f t="shared" si="4"/>
        <v>25</v>
      </c>
      <c r="Z839" s="25">
        <f t="shared" si="12"/>
        <v>3473.264677</v>
      </c>
    </row>
    <row r="840">
      <c r="A840" s="16" t="s">
        <v>35</v>
      </c>
      <c r="B840" s="17">
        <v>239.0</v>
      </c>
      <c r="C840" s="24">
        <f t="shared" si="1214"/>
        <v>38647483.73</v>
      </c>
      <c r="D840" s="25">
        <v>0.05</v>
      </c>
      <c r="E840" s="24">
        <f t="shared" si="1215"/>
        <v>5012.488545</v>
      </c>
      <c r="F840" s="25">
        <v>0.02</v>
      </c>
      <c r="G840" s="24">
        <f t="shared" si="1216"/>
        <v>4968962.194</v>
      </c>
      <c r="H840" s="25">
        <v>0.05</v>
      </c>
      <c r="I840" s="24">
        <f t="shared" si="1217"/>
        <v>0</v>
      </c>
      <c r="J840" s="25">
        <v>0.02</v>
      </c>
      <c r="K840" s="25">
        <v>0.0</v>
      </c>
      <c r="L840" s="24">
        <f t="shared" si="1614"/>
        <v>267364</v>
      </c>
      <c r="M840" s="24">
        <f t="shared" ref="M840:O840" si="1691">IF(M839="", "", 1 + MROUND(IFERROR(MINIFS(OFFSET(M839, -1, 0, -$B840, 1), OFFSET(M839, -1, 0, -$B840, 1), "&gt;0"), M839) + (LN(1 + $Z840) ^ V$2) * V$3, 1))</f>
        <v>50474</v>
      </c>
      <c r="N840" s="24">
        <f t="shared" si="1691"/>
        <v>6366</v>
      </c>
      <c r="O840" s="24">
        <f t="shared" si="1691"/>
        <v>6481</v>
      </c>
      <c r="P840" s="24">
        <f t="shared" ref="P840:S840" si="1692">L840*$Y$2</f>
        <v>66841</v>
      </c>
      <c r="Q840" s="24">
        <f t="shared" si="1692"/>
        <v>12618.5</v>
      </c>
      <c r="R840" s="24">
        <f t="shared" si="1692"/>
        <v>1591.5</v>
      </c>
      <c r="S840" s="24">
        <f t="shared" si="1692"/>
        <v>1620.25</v>
      </c>
      <c r="T840" s="24">
        <f t="shared" si="4"/>
        <v>25</v>
      </c>
      <c r="Z840" s="25">
        <f t="shared" si="12"/>
        <v>3594.863941</v>
      </c>
    </row>
    <row r="841">
      <c r="A841" s="16" t="s">
        <v>35</v>
      </c>
      <c r="B841" s="17">
        <v>240.0</v>
      </c>
      <c r="C841" s="24">
        <f t="shared" si="1214"/>
        <v>40579857.91</v>
      </c>
      <c r="D841" s="25">
        <v>0.05</v>
      </c>
      <c r="E841" s="24">
        <f t="shared" si="1215"/>
        <v>5112.738316</v>
      </c>
      <c r="F841" s="25">
        <v>0.02</v>
      </c>
      <c r="G841" s="24">
        <f t="shared" si="1216"/>
        <v>5217410.303</v>
      </c>
      <c r="H841" s="25">
        <v>0.05</v>
      </c>
      <c r="I841" s="24">
        <f t="shared" si="1217"/>
        <v>0</v>
      </c>
      <c r="J841" s="25">
        <v>0.02</v>
      </c>
      <c r="K841" s="25">
        <v>0.0</v>
      </c>
      <c r="L841" s="24">
        <f t="shared" si="1614"/>
        <v>268458</v>
      </c>
      <c r="M841" s="24">
        <f t="shared" ref="M841:O841" si="1693">IF(M840="", "", 1 + MROUND(IFERROR(MINIFS(OFFSET(M840, -1, 0, -$B841, 1), OFFSET(M840, -1, 0, -$B841, 1), "&gt;0"), M840) + (LN(1 + $Z841) ^ V$2) * V$3, 1))</f>
        <v>50562</v>
      </c>
      <c r="N841" s="24">
        <f t="shared" si="1693"/>
        <v>6411</v>
      </c>
      <c r="O841" s="24">
        <f t="shared" si="1693"/>
        <v>6526</v>
      </c>
      <c r="P841" s="24">
        <f t="shared" ref="P841:S841" si="1694">L841*$Y$2</f>
        <v>67114.5</v>
      </c>
      <c r="Q841" s="24">
        <f t="shared" si="1694"/>
        <v>12640.5</v>
      </c>
      <c r="R841" s="24">
        <f t="shared" si="1694"/>
        <v>1602.75</v>
      </c>
      <c r="S841" s="24">
        <f t="shared" si="1694"/>
        <v>1631.5</v>
      </c>
      <c r="T841" s="24">
        <f t="shared" si="4"/>
        <v>25</v>
      </c>
      <c r="Z841" s="25">
        <f t="shared" si="12"/>
        <v>3720.719179</v>
      </c>
    </row>
    <row r="842">
      <c r="A842" s="16" t="s">
        <v>35</v>
      </c>
      <c r="B842" s="17">
        <v>241.0</v>
      </c>
      <c r="C842" s="24">
        <f t="shared" si="1214"/>
        <v>42608850.81</v>
      </c>
      <c r="D842" s="25">
        <v>0.05</v>
      </c>
      <c r="E842" s="24">
        <f t="shared" si="1215"/>
        <v>5214.993082</v>
      </c>
      <c r="F842" s="25">
        <v>0.02</v>
      </c>
      <c r="G842" s="24">
        <f t="shared" si="1216"/>
        <v>5478280.818</v>
      </c>
      <c r="H842" s="25">
        <v>0.05</v>
      </c>
      <c r="I842" s="24">
        <f t="shared" si="1217"/>
        <v>0</v>
      </c>
      <c r="J842" s="25">
        <v>0.02</v>
      </c>
      <c r="K842" s="25">
        <v>0.0</v>
      </c>
      <c r="L842" s="24">
        <f t="shared" si="1614"/>
        <v>269555</v>
      </c>
      <c r="M842" s="24">
        <f t="shared" ref="M842:O842" si="1695">IF(M841="", "", 1 + MROUND(IFERROR(MINIFS(OFFSET(M841, -1, 0, -$B842, 1), OFFSET(M841, -1, 0, -$B842, 1), "&gt;0"), M841) + (LN(1 + $Z842) ^ V$2) * V$3, 1))</f>
        <v>50651</v>
      </c>
      <c r="N842" s="24">
        <f t="shared" si="1695"/>
        <v>6456</v>
      </c>
      <c r="O842" s="24">
        <f t="shared" si="1695"/>
        <v>6571</v>
      </c>
      <c r="P842" s="24">
        <f t="shared" ref="P842:S842" si="1696">L842*$Y$2</f>
        <v>67388.75</v>
      </c>
      <c r="Q842" s="24">
        <f t="shared" si="1696"/>
        <v>12662.75</v>
      </c>
      <c r="R842" s="24">
        <f t="shared" si="1696"/>
        <v>1614</v>
      </c>
      <c r="S842" s="24">
        <f t="shared" si="1696"/>
        <v>1642.75</v>
      </c>
      <c r="T842" s="24">
        <f t="shared" si="4"/>
        <v>25</v>
      </c>
      <c r="Z842" s="25">
        <f t="shared" si="12"/>
        <v>3850.97935</v>
      </c>
    </row>
    <row r="843">
      <c r="A843" s="16" t="s">
        <v>35</v>
      </c>
      <c r="B843" s="17">
        <v>242.0</v>
      </c>
      <c r="C843" s="24">
        <f t="shared" si="1214"/>
        <v>44739293.35</v>
      </c>
      <c r="D843" s="25">
        <v>0.05</v>
      </c>
      <c r="E843" s="24">
        <f t="shared" si="1215"/>
        <v>5319.292944</v>
      </c>
      <c r="F843" s="25">
        <v>0.02</v>
      </c>
      <c r="G843" s="24">
        <f t="shared" si="1216"/>
        <v>5752194.859</v>
      </c>
      <c r="H843" s="25">
        <v>0.05</v>
      </c>
      <c r="I843" s="24">
        <f t="shared" si="1217"/>
        <v>0</v>
      </c>
      <c r="J843" s="25">
        <v>0.02</v>
      </c>
      <c r="K843" s="25">
        <v>0.0</v>
      </c>
      <c r="L843" s="24">
        <f t="shared" si="1614"/>
        <v>270655</v>
      </c>
      <c r="M843" s="24">
        <f t="shared" ref="M843:O843" si="1697">IF(M842="", "", 1 + MROUND(IFERROR(MINIFS(OFFSET(M842, -1, 0, -$B843, 1), OFFSET(M842, -1, 0, -$B843, 1), "&gt;0"), M842) + (LN(1 + $Z843) ^ V$2) * V$3, 1))</f>
        <v>50740</v>
      </c>
      <c r="N843" s="24">
        <f t="shared" si="1697"/>
        <v>6501</v>
      </c>
      <c r="O843" s="24">
        <f t="shared" si="1697"/>
        <v>6616</v>
      </c>
      <c r="P843" s="24">
        <f t="shared" ref="P843:S843" si="1698">L843*$Y$2</f>
        <v>67663.75</v>
      </c>
      <c r="Q843" s="24">
        <f t="shared" si="1698"/>
        <v>12685</v>
      </c>
      <c r="R843" s="24">
        <f t="shared" si="1698"/>
        <v>1625.25</v>
      </c>
      <c r="S843" s="24">
        <f t="shared" si="1698"/>
        <v>1654</v>
      </c>
      <c r="T843" s="24">
        <f t="shared" si="4"/>
        <v>25</v>
      </c>
      <c r="Z843" s="25">
        <f t="shared" si="12"/>
        <v>3985.798628</v>
      </c>
    </row>
    <row r="844">
      <c r="A844" s="16" t="s">
        <v>35</v>
      </c>
      <c r="B844" s="17">
        <v>243.0</v>
      </c>
      <c r="C844" s="24">
        <f t="shared" si="1214"/>
        <v>46976258.02</v>
      </c>
      <c r="D844" s="25">
        <v>0.05</v>
      </c>
      <c r="E844" s="24">
        <f t="shared" si="1215"/>
        <v>5425.678802</v>
      </c>
      <c r="F844" s="25">
        <v>0.02</v>
      </c>
      <c r="G844" s="24">
        <f t="shared" si="1216"/>
        <v>6039804.602</v>
      </c>
      <c r="H844" s="25">
        <v>0.05</v>
      </c>
      <c r="I844" s="24">
        <f t="shared" si="1217"/>
        <v>0</v>
      </c>
      <c r="J844" s="25">
        <v>0.02</v>
      </c>
      <c r="K844" s="25">
        <v>0.0</v>
      </c>
      <c r="L844" s="24">
        <f t="shared" si="1614"/>
        <v>271758</v>
      </c>
      <c r="M844" s="24">
        <f t="shared" ref="M844:O844" si="1699">IF(M843="", "", 1 + MROUND(IFERROR(MINIFS(OFFSET(M843, -1, 0, -$B844, 1), OFFSET(M843, -1, 0, -$B844, 1), "&gt;0"), M843) + (LN(1 + $Z844) ^ V$2) * V$3, 1))</f>
        <v>50829</v>
      </c>
      <c r="N844" s="24">
        <f t="shared" si="1699"/>
        <v>6546</v>
      </c>
      <c r="O844" s="24">
        <f t="shared" si="1699"/>
        <v>6661</v>
      </c>
      <c r="P844" s="24">
        <f t="shared" ref="P844:S844" si="1700">L844*$Y$2</f>
        <v>67939.5</v>
      </c>
      <c r="Q844" s="24">
        <f t="shared" si="1700"/>
        <v>12707.25</v>
      </c>
      <c r="R844" s="24">
        <f t="shared" si="1700"/>
        <v>1636.5</v>
      </c>
      <c r="S844" s="24">
        <f t="shared" si="1700"/>
        <v>1665.25</v>
      </c>
      <c r="T844" s="24">
        <f t="shared" si="4"/>
        <v>25</v>
      </c>
      <c r="Z844" s="25">
        <f t="shared" si="12"/>
        <v>4125.33658</v>
      </c>
    </row>
    <row r="845">
      <c r="A845" s="16" t="s">
        <v>35</v>
      </c>
      <c r="B845" s="17">
        <v>244.0</v>
      </c>
      <c r="C845" s="24">
        <f t="shared" si="1214"/>
        <v>49325070.92</v>
      </c>
      <c r="D845" s="25">
        <v>0.05</v>
      </c>
      <c r="E845" s="24">
        <f t="shared" si="1215"/>
        <v>5534.192378</v>
      </c>
      <c r="F845" s="25">
        <v>0.02</v>
      </c>
      <c r="G845" s="24">
        <f t="shared" si="1216"/>
        <v>6341794.832</v>
      </c>
      <c r="H845" s="25">
        <v>0.05</v>
      </c>
      <c r="I845" s="24">
        <f t="shared" si="1217"/>
        <v>0</v>
      </c>
      <c r="J845" s="25">
        <v>0.02</v>
      </c>
      <c r="K845" s="25">
        <v>0.0</v>
      </c>
      <c r="L845" s="24">
        <f t="shared" si="1614"/>
        <v>272864</v>
      </c>
      <c r="M845" s="24">
        <f t="shared" ref="M845:O845" si="1701">IF(M844="", "", 1 + MROUND(IFERROR(MINIFS(OFFSET(M844, -1, 0, -$B845, 1), OFFSET(M844, -1, 0, -$B845, 1), "&gt;0"), M844) + (LN(1 + $Z845) ^ V$2) * V$3, 1))</f>
        <v>50918</v>
      </c>
      <c r="N845" s="24">
        <f t="shared" si="1701"/>
        <v>6591</v>
      </c>
      <c r="O845" s="24">
        <f t="shared" si="1701"/>
        <v>6706</v>
      </c>
      <c r="P845" s="24">
        <f t="shared" ref="P845:S845" si="1702">L845*$Y$2</f>
        <v>68216</v>
      </c>
      <c r="Q845" s="24">
        <f t="shared" si="1702"/>
        <v>12729.5</v>
      </c>
      <c r="R845" s="24">
        <f t="shared" si="1702"/>
        <v>1647.75</v>
      </c>
      <c r="S845" s="24">
        <f t="shared" si="1702"/>
        <v>1676.5</v>
      </c>
      <c r="T845" s="24">
        <f t="shared" si="4"/>
        <v>25</v>
      </c>
      <c r="Z845" s="25">
        <f t="shared" si="12"/>
        <v>4269.75836</v>
      </c>
    </row>
    <row r="846">
      <c r="A846" s="16" t="s">
        <v>35</v>
      </c>
      <c r="B846" s="17">
        <v>245.0</v>
      </c>
      <c r="C846" s="24">
        <f t="shared" si="1214"/>
        <v>51791324.46</v>
      </c>
      <c r="D846" s="25">
        <v>0.05</v>
      </c>
      <c r="E846" s="24">
        <f t="shared" si="1215"/>
        <v>5644.876226</v>
      </c>
      <c r="F846" s="25">
        <v>0.02</v>
      </c>
      <c r="G846" s="24">
        <f t="shared" si="1216"/>
        <v>6658884.574</v>
      </c>
      <c r="H846" s="25">
        <v>0.05</v>
      </c>
      <c r="I846" s="24">
        <f t="shared" si="1217"/>
        <v>0</v>
      </c>
      <c r="J846" s="25">
        <v>0.02</v>
      </c>
      <c r="K846" s="25">
        <v>0.0</v>
      </c>
      <c r="L846" s="24">
        <f t="shared" si="1614"/>
        <v>273973</v>
      </c>
      <c r="M846" s="24">
        <f t="shared" ref="M846:O846" si="1703">IF(M845="", "", 1 + MROUND(IFERROR(MINIFS(OFFSET(M845, -1, 0, -$B846, 1), OFFSET(M845, -1, 0, -$B846, 1), "&gt;0"), M845) + (LN(1 + $Z846) ^ V$2) * V$3, 1))</f>
        <v>51008</v>
      </c>
      <c r="N846" s="24">
        <f t="shared" si="1703"/>
        <v>6636</v>
      </c>
      <c r="O846" s="24">
        <f t="shared" si="1703"/>
        <v>6751</v>
      </c>
      <c r="P846" s="24">
        <f t="shared" ref="P846:S846" si="1704">L846*$Y$2</f>
        <v>68493.25</v>
      </c>
      <c r="Q846" s="24">
        <f t="shared" si="1704"/>
        <v>12752</v>
      </c>
      <c r="R846" s="24">
        <f t="shared" si="1704"/>
        <v>1659</v>
      </c>
      <c r="S846" s="24">
        <f t="shared" si="1704"/>
        <v>1687.75</v>
      </c>
      <c r="T846" s="24">
        <f t="shared" si="4"/>
        <v>26</v>
      </c>
      <c r="Z846" s="25">
        <f t="shared" si="12"/>
        <v>4419.234903</v>
      </c>
    </row>
    <row r="847">
      <c r="A847" s="16" t="s">
        <v>35</v>
      </c>
      <c r="B847" s="17">
        <v>246.0</v>
      </c>
      <c r="C847" s="24">
        <f t="shared" si="1214"/>
        <v>54380890.69</v>
      </c>
      <c r="D847" s="25">
        <v>0.05</v>
      </c>
      <c r="E847" s="24">
        <f t="shared" si="1215"/>
        <v>5757.773751</v>
      </c>
      <c r="F847" s="25">
        <v>0.02</v>
      </c>
      <c r="G847" s="24">
        <f t="shared" si="1216"/>
        <v>6991828.803</v>
      </c>
      <c r="H847" s="25">
        <v>0.05</v>
      </c>
      <c r="I847" s="24">
        <f t="shared" si="1217"/>
        <v>0</v>
      </c>
      <c r="J847" s="25">
        <v>0.02</v>
      </c>
      <c r="K847" s="25">
        <v>0.0</v>
      </c>
      <c r="L847" s="24">
        <f t="shared" si="1614"/>
        <v>275086</v>
      </c>
      <c r="M847" s="24">
        <f t="shared" ref="M847:O847" si="1705">IF(M846="", "", 1 + MROUND(IFERROR(MINIFS(OFFSET(M846, -1, 0, -$B847, 1), OFFSET(M846, -1, 0, -$B847, 1), "&gt;0"), M846) + (LN(1 + $Z847) ^ V$2) * V$3, 1))</f>
        <v>51098</v>
      </c>
      <c r="N847" s="24">
        <f t="shared" si="1705"/>
        <v>6681</v>
      </c>
      <c r="O847" s="24">
        <f t="shared" si="1705"/>
        <v>6796</v>
      </c>
      <c r="P847" s="24">
        <f t="shared" ref="P847:S847" si="1706">L847*$Y$2</f>
        <v>68771.5</v>
      </c>
      <c r="Q847" s="24">
        <f t="shared" si="1706"/>
        <v>12774.5</v>
      </c>
      <c r="R847" s="24">
        <f t="shared" si="1706"/>
        <v>1670.25</v>
      </c>
      <c r="S847" s="24">
        <f t="shared" si="1706"/>
        <v>1699</v>
      </c>
      <c r="T847" s="24">
        <f t="shared" si="4"/>
        <v>26</v>
      </c>
      <c r="Z847" s="25">
        <f t="shared" si="12"/>
        <v>4573.943124</v>
      </c>
    </row>
    <row r="848">
      <c r="A848" s="16" t="s">
        <v>35</v>
      </c>
      <c r="B848" s="17">
        <v>247.0</v>
      </c>
      <c r="C848" s="24">
        <f t="shared" si="1214"/>
        <v>57099935.22</v>
      </c>
      <c r="D848" s="25">
        <v>0.05</v>
      </c>
      <c r="E848" s="24">
        <f t="shared" si="1215"/>
        <v>5872.929226</v>
      </c>
      <c r="F848" s="25">
        <v>0.02</v>
      </c>
      <c r="G848" s="24">
        <f t="shared" si="1216"/>
        <v>7341420.243</v>
      </c>
      <c r="H848" s="25">
        <v>0.05</v>
      </c>
      <c r="I848" s="24">
        <f t="shared" si="1217"/>
        <v>0</v>
      </c>
      <c r="J848" s="25">
        <v>0.02</v>
      </c>
      <c r="K848" s="25">
        <v>0.0</v>
      </c>
      <c r="L848" s="24">
        <f t="shared" si="1614"/>
        <v>276202</v>
      </c>
      <c r="M848" s="24">
        <f t="shared" ref="M848:O848" si="1707">IF(M847="", "", 1 + MROUND(IFERROR(MINIFS(OFFSET(M847, -1, 0, -$B848, 1), OFFSET(M847, -1, 0, -$B848, 1), "&gt;0"), M847) + (LN(1 + $Z848) ^ V$2) * V$3, 1))</f>
        <v>51188</v>
      </c>
      <c r="N848" s="24">
        <f t="shared" si="1707"/>
        <v>6727</v>
      </c>
      <c r="O848" s="24">
        <f t="shared" si="1707"/>
        <v>6842</v>
      </c>
      <c r="P848" s="24">
        <f t="shared" ref="P848:S848" si="1708">L848*$Y$2</f>
        <v>69050.5</v>
      </c>
      <c r="Q848" s="24">
        <f t="shared" si="1708"/>
        <v>12797</v>
      </c>
      <c r="R848" s="24">
        <f t="shared" si="1708"/>
        <v>1681.75</v>
      </c>
      <c r="S848" s="24">
        <f t="shared" si="1708"/>
        <v>1710.5</v>
      </c>
      <c r="T848" s="24">
        <f t="shared" si="4"/>
        <v>26</v>
      </c>
      <c r="Z848" s="25">
        <f t="shared" si="12"/>
        <v>4734.066133</v>
      </c>
    </row>
    <row r="849">
      <c r="A849" s="16" t="s">
        <v>35</v>
      </c>
      <c r="B849" s="17">
        <v>248.0</v>
      </c>
      <c r="C849" s="24">
        <f t="shared" si="1214"/>
        <v>59954931.98</v>
      </c>
      <c r="D849" s="25">
        <v>0.05</v>
      </c>
      <c r="E849" s="24">
        <f t="shared" si="1215"/>
        <v>5990.38781</v>
      </c>
      <c r="F849" s="25">
        <v>0.02</v>
      </c>
      <c r="G849" s="24">
        <f t="shared" si="1216"/>
        <v>7708491.255</v>
      </c>
      <c r="H849" s="25">
        <v>0.05</v>
      </c>
      <c r="I849" s="24">
        <f t="shared" si="1217"/>
        <v>0</v>
      </c>
      <c r="J849" s="25">
        <v>0.02</v>
      </c>
      <c r="K849" s="25">
        <v>0.0</v>
      </c>
      <c r="L849" s="24">
        <f t="shared" si="1614"/>
        <v>277321</v>
      </c>
      <c r="M849" s="24">
        <f t="shared" ref="M849:O849" si="1709">IF(M848="", "", 1 + MROUND(IFERROR(MINIFS(OFFSET(M848, -1, 0, -$B849, 1), OFFSET(M848, -1, 0, -$B849, 1), "&gt;0"), M848) + (LN(1 + $Z849) ^ V$2) * V$3, 1))</f>
        <v>51278</v>
      </c>
      <c r="N849" s="24">
        <f t="shared" si="1709"/>
        <v>6773</v>
      </c>
      <c r="O849" s="24">
        <f t="shared" si="1709"/>
        <v>6888</v>
      </c>
      <c r="P849" s="24">
        <f t="shared" ref="P849:S849" si="1710">L849*$Y$2</f>
        <v>69330.25</v>
      </c>
      <c r="Q849" s="24">
        <f t="shared" si="1710"/>
        <v>12819.5</v>
      </c>
      <c r="R849" s="24">
        <f t="shared" si="1710"/>
        <v>1693.25</v>
      </c>
      <c r="S849" s="24">
        <f t="shared" si="1710"/>
        <v>1722</v>
      </c>
      <c r="T849" s="24">
        <f t="shared" si="4"/>
        <v>26</v>
      </c>
      <c r="Z849" s="25">
        <f t="shared" si="12"/>
        <v>4899.793448</v>
      </c>
    </row>
    <row r="850">
      <c r="A850" s="16" t="s">
        <v>35</v>
      </c>
      <c r="B850" s="17">
        <v>249.0</v>
      </c>
      <c r="C850" s="24">
        <f t="shared" si="1214"/>
        <v>62952678.58</v>
      </c>
      <c r="D850" s="25">
        <v>0.05</v>
      </c>
      <c r="E850" s="24">
        <f t="shared" si="1215"/>
        <v>6110.195566</v>
      </c>
      <c r="F850" s="25">
        <v>0.02</v>
      </c>
      <c r="G850" s="24">
        <f t="shared" si="1216"/>
        <v>8093915.818</v>
      </c>
      <c r="H850" s="25">
        <v>0.05</v>
      </c>
      <c r="I850" s="24">
        <f t="shared" si="1217"/>
        <v>0</v>
      </c>
      <c r="J850" s="25">
        <v>0.02</v>
      </c>
      <c r="K850" s="25">
        <v>0.0</v>
      </c>
      <c r="L850" s="24">
        <f t="shared" si="1614"/>
        <v>278443</v>
      </c>
      <c r="M850" s="24">
        <f t="shared" ref="M850:O850" si="1711">IF(M849="", "", 1 + MROUND(IFERROR(MINIFS(OFFSET(M849, -1, 0, -$B850, 1), OFFSET(M849, -1, 0, -$B850, 1), "&gt;0"), M849) + (LN(1 + $Z850) ^ V$2) * V$3, 1))</f>
        <v>51369</v>
      </c>
      <c r="N850" s="24">
        <f t="shared" si="1711"/>
        <v>6819</v>
      </c>
      <c r="O850" s="24">
        <f t="shared" si="1711"/>
        <v>6934</v>
      </c>
      <c r="P850" s="24">
        <f t="shared" ref="P850:S850" si="1712">L850*$Y$2</f>
        <v>69610.75</v>
      </c>
      <c r="Q850" s="24">
        <f t="shared" si="1712"/>
        <v>12842.25</v>
      </c>
      <c r="R850" s="24">
        <f t="shared" si="1712"/>
        <v>1704.75</v>
      </c>
      <c r="S850" s="24">
        <f t="shared" si="1712"/>
        <v>1733.5</v>
      </c>
      <c r="T850" s="24">
        <f t="shared" si="4"/>
        <v>26</v>
      </c>
      <c r="Z850" s="25">
        <f t="shared" si="12"/>
        <v>5071.321219</v>
      </c>
    </row>
    <row r="851">
      <c r="A851" s="16" t="s">
        <v>35</v>
      </c>
      <c r="B851" s="17">
        <v>250.0</v>
      </c>
      <c r="C851" s="24">
        <f t="shared" si="1214"/>
        <v>66100312.51</v>
      </c>
      <c r="D851" s="25">
        <v>0.05</v>
      </c>
      <c r="E851" s="24">
        <f t="shared" si="1215"/>
        <v>6232.399478</v>
      </c>
      <c r="F851" s="25">
        <v>0.02</v>
      </c>
      <c r="G851" s="24">
        <f t="shared" si="1216"/>
        <v>8498611.609</v>
      </c>
      <c r="H851" s="25">
        <v>0.05</v>
      </c>
      <c r="I851" s="24">
        <f t="shared" si="1217"/>
        <v>0</v>
      </c>
      <c r="J851" s="25">
        <v>0.02</v>
      </c>
      <c r="K851" s="25">
        <v>0.0</v>
      </c>
      <c r="L851" s="24">
        <f t="shared" si="1614"/>
        <v>279568</v>
      </c>
      <c r="M851" s="24">
        <f t="shared" ref="M851:O851" si="1713">IF(M850="", "", 1 + MROUND(IFERROR(MINIFS(OFFSET(M850, -1, 0, -$B851, 1), OFFSET(M850, -1, 0, -$B851, 1), "&gt;0"), M850) + (LN(1 + $Z851) ^ V$2) * V$3, 1))</f>
        <v>51460</v>
      </c>
      <c r="N851" s="24">
        <f t="shared" si="1713"/>
        <v>6865</v>
      </c>
      <c r="O851" s="24">
        <f t="shared" si="1713"/>
        <v>6980</v>
      </c>
      <c r="P851" s="24">
        <f t="shared" ref="P851:S851" si="1714">L851*$Y$2</f>
        <v>69892</v>
      </c>
      <c r="Q851" s="24">
        <f t="shared" si="1714"/>
        <v>12865</v>
      </c>
      <c r="R851" s="24">
        <f t="shared" si="1714"/>
        <v>1716.25</v>
      </c>
      <c r="S851" s="24">
        <f t="shared" si="1714"/>
        <v>1745</v>
      </c>
      <c r="T851" s="24">
        <f t="shared" si="4"/>
        <v>26</v>
      </c>
      <c r="Z851" s="25">
        <f t="shared" si="12"/>
        <v>5248.852461</v>
      </c>
    </row>
    <row r="852">
      <c r="A852" s="16" t="s">
        <v>35</v>
      </c>
      <c r="B852" s="17">
        <v>251.0</v>
      </c>
      <c r="C852" s="24">
        <f t="shared" si="1214"/>
        <v>69405328.14</v>
      </c>
      <c r="D852" s="25">
        <v>0.05</v>
      </c>
      <c r="E852" s="24">
        <f t="shared" si="1215"/>
        <v>6357.047467</v>
      </c>
      <c r="F852" s="25">
        <v>0.02</v>
      </c>
      <c r="G852" s="24">
        <f t="shared" si="1216"/>
        <v>8923542.189</v>
      </c>
      <c r="H852" s="25">
        <v>0.05</v>
      </c>
      <c r="I852" s="24">
        <f t="shared" si="1217"/>
        <v>0</v>
      </c>
      <c r="J852" s="25">
        <v>0.02</v>
      </c>
      <c r="K852" s="25">
        <v>0.0</v>
      </c>
      <c r="L852" s="24">
        <f t="shared" si="1614"/>
        <v>280696</v>
      </c>
      <c r="M852" s="24">
        <f t="shared" ref="M852:O852" si="1715">IF(M851="", "", 1 + MROUND(IFERROR(MINIFS(OFFSET(M851, -1, 0, -$B852, 1), OFFSET(M851, -1, 0, -$B852, 1), "&gt;0"), M851) + (LN(1 + $Z852) ^ V$2) * V$3, 1))</f>
        <v>51551</v>
      </c>
      <c r="N852" s="24">
        <f t="shared" si="1715"/>
        <v>6911</v>
      </c>
      <c r="O852" s="24">
        <f t="shared" si="1715"/>
        <v>7026</v>
      </c>
      <c r="P852" s="24">
        <f t="shared" ref="P852:S852" si="1716">L852*$Y$2</f>
        <v>70174</v>
      </c>
      <c r="Q852" s="24">
        <f t="shared" si="1716"/>
        <v>12887.75</v>
      </c>
      <c r="R852" s="24">
        <f t="shared" si="1716"/>
        <v>1727.75</v>
      </c>
      <c r="S852" s="24">
        <f t="shared" si="1716"/>
        <v>1756.5</v>
      </c>
      <c r="T852" s="24">
        <f t="shared" si="4"/>
        <v>26</v>
      </c>
      <c r="Z852" s="25">
        <f t="shared" si="12"/>
        <v>5432.597298</v>
      </c>
    </row>
    <row r="853">
      <c r="A853" s="16" t="s">
        <v>35</v>
      </c>
      <c r="B853" s="17">
        <v>252.0</v>
      </c>
      <c r="C853" s="24">
        <f t="shared" si="1214"/>
        <v>72875594.54</v>
      </c>
      <c r="D853" s="25">
        <v>0.05</v>
      </c>
      <c r="E853" s="24">
        <f t="shared" si="1215"/>
        <v>6484.188416</v>
      </c>
      <c r="F853" s="25">
        <v>0.02</v>
      </c>
      <c r="G853" s="24">
        <f t="shared" si="1216"/>
        <v>9369719.299</v>
      </c>
      <c r="H853" s="25">
        <v>0.05</v>
      </c>
      <c r="I853" s="24">
        <f t="shared" si="1217"/>
        <v>0</v>
      </c>
      <c r="J853" s="25">
        <v>0.02</v>
      </c>
      <c r="K853" s="25">
        <v>0.0</v>
      </c>
      <c r="L853" s="24">
        <f t="shared" si="1614"/>
        <v>281828</v>
      </c>
      <c r="M853" s="24">
        <f t="shared" ref="M853:O853" si="1717">IF(M852="", "", 1 + MROUND(IFERROR(MINIFS(OFFSET(M852, -1, 0, -$B853, 1), OFFSET(M852, -1, 0, -$B853, 1), "&gt;0"), M852) + (LN(1 + $Z853) ^ V$2) * V$3, 1))</f>
        <v>51642</v>
      </c>
      <c r="N853" s="24">
        <f t="shared" si="1717"/>
        <v>6957</v>
      </c>
      <c r="O853" s="24">
        <f t="shared" si="1717"/>
        <v>7072</v>
      </c>
      <c r="P853" s="24">
        <f t="shared" ref="P853:S853" si="1718">L853*$Y$2</f>
        <v>70457</v>
      </c>
      <c r="Q853" s="24">
        <f t="shared" si="1718"/>
        <v>12910.5</v>
      </c>
      <c r="R853" s="24">
        <f t="shared" si="1718"/>
        <v>1739.25</v>
      </c>
      <c r="S853" s="24">
        <f t="shared" si="1718"/>
        <v>1768</v>
      </c>
      <c r="T853" s="24">
        <f t="shared" si="4"/>
        <v>26</v>
      </c>
      <c r="Z853" s="25">
        <f t="shared" si="12"/>
        <v>5622.773203</v>
      </c>
    </row>
    <row r="854">
      <c r="A854" s="16" t="s">
        <v>35</v>
      </c>
      <c r="B854" s="17">
        <v>253.0</v>
      </c>
      <c r="C854" s="24">
        <f t="shared" si="1214"/>
        <v>76519374.27</v>
      </c>
      <c r="D854" s="25">
        <v>0.05</v>
      </c>
      <c r="E854" s="24">
        <f t="shared" si="1215"/>
        <v>6613.872185</v>
      </c>
      <c r="F854" s="25">
        <v>0.02</v>
      </c>
      <c r="G854" s="24">
        <f t="shared" si="1216"/>
        <v>9838205.263</v>
      </c>
      <c r="H854" s="25">
        <v>0.05</v>
      </c>
      <c r="I854" s="24">
        <f t="shared" si="1217"/>
        <v>0</v>
      </c>
      <c r="J854" s="25">
        <v>0.02</v>
      </c>
      <c r="K854" s="25">
        <v>0.0</v>
      </c>
      <c r="L854" s="24">
        <f t="shared" si="1614"/>
        <v>282963</v>
      </c>
      <c r="M854" s="24">
        <f t="shared" ref="M854:O854" si="1719">IF(M853="", "", 1 + MROUND(IFERROR(MINIFS(OFFSET(M853, -1, 0, -$B854, 1), OFFSET(M853, -1, 0, -$B854, 1), "&gt;0"), M853) + (LN(1 + $Z854) ^ V$2) * V$3, 1))</f>
        <v>51734</v>
      </c>
      <c r="N854" s="24">
        <f t="shared" si="1719"/>
        <v>7003</v>
      </c>
      <c r="O854" s="24">
        <f t="shared" si="1719"/>
        <v>7118</v>
      </c>
      <c r="P854" s="24">
        <f t="shared" ref="P854:S854" si="1720">L854*$Y$2</f>
        <v>70740.75</v>
      </c>
      <c r="Q854" s="24">
        <f t="shared" si="1720"/>
        <v>12933.5</v>
      </c>
      <c r="R854" s="24">
        <f t="shared" si="1720"/>
        <v>1750.75</v>
      </c>
      <c r="S854" s="24">
        <f t="shared" si="1720"/>
        <v>1779.5</v>
      </c>
      <c r="T854" s="24">
        <f t="shared" si="4"/>
        <v>26</v>
      </c>
      <c r="Z854" s="25">
        <f t="shared" si="12"/>
        <v>5819.605265</v>
      </c>
    </row>
    <row r="855">
      <c r="A855" s="16" t="s">
        <v>35</v>
      </c>
      <c r="B855" s="17">
        <v>254.0</v>
      </c>
      <c r="C855" s="24">
        <f t="shared" si="1214"/>
        <v>80345342.98</v>
      </c>
      <c r="D855" s="25">
        <v>0.05</v>
      </c>
      <c r="E855" s="24">
        <f t="shared" si="1215"/>
        <v>6746.149628</v>
      </c>
      <c r="F855" s="25">
        <v>0.02</v>
      </c>
      <c r="G855" s="24">
        <f t="shared" si="1216"/>
        <v>10330115.53</v>
      </c>
      <c r="H855" s="25">
        <v>0.05</v>
      </c>
      <c r="I855" s="24">
        <f t="shared" si="1217"/>
        <v>0</v>
      </c>
      <c r="J855" s="25">
        <v>0.02</v>
      </c>
      <c r="K855" s="25">
        <v>0.0</v>
      </c>
      <c r="L855" s="24">
        <f t="shared" si="1614"/>
        <v>284101</v>
      </c>
      <c r="M855" s="24">
        <f t="shared" ref="M855:O855" si="1721">IF(M854="", "", 1 + MROUND(IFERROR(MINIFS(OFFSET(M854, -1, 0, -$B855, 1), OFFSET(M854, -1, 0, -$B855, 1), "&gt;0"), M854) + (LN(1 + $Z855) ^ V$2) * V$3, 1))</f>
        <v>51826</v>
      </c>
      <c r="N855" s="24">
        <f t="shared" si="1721"/>
        <v>7049</v>
      </c>
      <c r="O855" s="24">
        <f t="shared" si="1721"/>
        <v>7164</v>
      </c>
      <c r="P855" s="24">
        <f t="shared" ref="P855:S855" si="1722">L855*$Y$2</f>
        <v>71025.25</v>
      </c>
      <c r="Q855" s="24">
        <f t="shared" si="1722"/>
        <v>12956.5</v>
      </c>
      <c r="R855" s="24">
        <f t="shared" si="1722"/>
        <v>1762.25</v>
      </c>
      <c r="S855" s="24">
        <f t="shared" si="1722"/>
        <v>1791</v>
      </c>
      <c r="T855" s="24">
        <f t="shared" si="4"/>
        <v>26</v>
      </c>
      <c r="Z855" s="25">
        <f t="shared" si="12"/>
        <v>6023.326449</v>
      </c>
    </row>
    <row r="856">
      <c r="A856" s="16" t="s">
        <v>35</v>
      </c>
      <c r="B856" s="17">
        <v>255.0</v>
      </c>
      <c r="C856" s="24">
        <f t="shared" si="1214"/>
        <v>84362610.13</v>
      </c>
      <c r="D856" s="25">
        <v>0.05</v>
      </c>
      <c r="E856" s="24">
        <f t="shared" si="1215"/>
        <v>6881.072621</v>
      </c>
      <c r="F856" s="25">
        <v>0.02</v>
      </c>
      <c r="G856" s="24">
        <f t="shared" si="1216"/>
        <v>10846621.3</v>
      </c>
      <c r="H856" s="25">
        <v>0.05</v>
      </c>
      <c r="I856" s="24">
        <f t="shared" si="1217"/>
        <v>0</v>
      </c>
      <c r="J856" s="25">
        <v>0.02</v>
      </c>
      <c r="K856" s="25">
        <v>0.0</v>
      </c>
      <c r="L856" s="24">
        <f t="shared" si="1614"/>
        <v>285242</v>
      </c>
      <c r="M856" s="24">
        <f t="shared" ref="M856:O856" si="1723">IF(M855="", "", 1 + MROUND(IFERROR(MINIFS(OFFSET(M855, -1, 0, -$B856, 1), OFFSET(M855, -1, 0, -$B856, 1), "&gt;0"), M855) + (LN(1 + $Z856) ^ V$2) * V$3, 1))</f>
        <v>51918</v>
      </c>
      <c r="N856" s="24">
        <f t="shared" si="1723"/>
        <v>7096</v>
      </c>
      <c r="O856" s="24">
        <f t="shared" si="1723"/>
        <v>7211</v>
      </c>
      <c r="P856" s="24">
        <f t="shared" ref="P856:S856" si="1724">L856*$Y$2</f>
        <v>71310.5</v>
      </c>
      <c r="Q856" s="24">
        <f t="shared" si="1724"/>
        <v>12979.5</v>
      </c>
      <c r="R856" s="24">
        <f t="shared" si="1724"/>
        <v>1774</v>
      </c>
      <c r="S856" s="24">
        <f t="shared" si="1724"/>
        <v>1802.75</v>
      </c>
      <c r="T856" s="24">
        <f t="shared" si="4"/>
        <v>27</v>
      </c>
      <c r="Z856" s="25">
        <f t="shared" si="12"/>
        <v>6234.177875</v>
      </c>
    </row>
    <row r="857">
      <c r="A857" s="16" t="s">
        <v>35</v>
      </c>
      <c r="B857" s="17">
        <v>256.0</v>
      </c>
      <c r="C857" s="24">
        <f t="shared" si="1214"/>
        <v>88580740.64</v>
      </c>
      <c r="D857" s="25">
        <v>0.05</v>
      </c>
      <c r="E857" s="24">
        <f t="shared" si="1215"/>
        <v>7018.694073</v>
      </c>
      <c r="F857" s="25">
        <v>0.02</v>
      </c>
      <c r="G857" s="24">
        <f t="shared" si="1216"/>
        <v>11388952.37</v>
      </c>
      <c r="H857" s="25">
        <v>0.05</v>
      </c>
      <c r="I857" s="24">
        <f t="shared" si="1217"/>
        <v>0</v>
      </c>
      <c r="J857" s="25">
        <v>0.02</v>
      </c>
      <c r="K857" s="25">
        <v>0.0</v>
      </c>
      <c r="L857" s="24">
        <f t="shared" si="1614"/>
        <v>286386</v>
      </c>
      <c r="M857" s="24">
        <f t="shared" ref="M857:O857" si="1725">IF(M856="", "", 1 + MROUND(IFERROR(MINIFS(OFFSET(M856, -1, 0, -$B857, 1), OFFSET(M856, -1, 0, -$B857, 1), "&gt;0"), M856) + (LN(1 + $Z857) ^ V$2) * V$3, 1))</f>
        <v>52010</v>
      </c>
      <c r="N857" s="24">
        <f t="shared" si="1725"/>
        <v>7143</v>
      </c>
      <c r="O857" s="24">
        <f t="shared" si="1725"/>
        <v>7258</v>
      </c>
      <c r="P857" s="24">
        <f t="shared" ref="P857:S857" si="1726">L857*$Y$2</f>
        <v>71596.5</v>
      </c>
      <c r="Q857" s="24">
        <f t="shared" si="1726"/>
        <v>13002.5</v>
      </c>
      <c r="R857" s="24">
        <f t="shared" si="1726"/>
        <v>1785.75</v>
      </c>
      <c r="S857" s="24">
        <f t="shared" si="1726"/>
        <v>1814.5</v>
      </c>
      <c r="T857" s="24">
        <f t="shared" si="4"/>
        <v>27</v>
      </c>
      <c r="Z857" s="25">
        <f t="shared" si="12"/>
        <v>6452.409101</v>
      </c>
    </row>
    <row r="858">
      <c r="A858" s="16" t="s">
        <v>35</v>
      </c>
      <c r="B858" s="17">
        <v>257.0</v>
      </c>
      <c r="C858" s="24">
        <f t="shared" si="1214"/>
        <v>93009777.67</v>
      </c>
      <c r="D858" s="25">
        <v>0.05</v>
      </c>
      <c r="E858" s="24">
        <f t="shared" si="1215"/>
        <v>7159.067955</v>
      </c>
      <c r="F858" s="25">
        <v>0.02</v>
      </c>
      <c r="G858" s="24">
        <f t="shared" si="1216"/>
        <v>11958399.99</v>
      </c>
      <c r="H858" s="25">
        <v>0.05</v>
      </c>
      <c r="I858" s="24">
        <f t="shared" si="1217"/>
        <v>0</v>
      </c>
      <c r="J858" s="25">
        <v>0.02</v>
      </c>
      <c r="K858" s="25">
        <v>0.0</v>
      </c>
      <c r="L858" s="24">
        <f t="shared" si="1614"/>
        <v>287533</v>
      </c>
      <c r="M858" s="24">
        <f t="shared" ref="M858:O858" si="1727">IF(M857="", "", 1 + MROUND(IFERROR(MINIFS(OFFSET(M857, -1, 0, -$B858, 1), OFFSET(M857, -1, 0, -$B858, 1), "&gt;0"), M857) + (LN(1 + $Z858) ^ V$2) * V$3, 1))</f>
        <v>52103</v>
      </c>
      <c r="N858" s="24">
        <f t="shared" si="1727"/>
        <v>7190</v>
      </c>
      <c r="O858" s="24">
        <f t="shared" si="1727"/>
        <v>7305</v>
      </c>
      <c r="P858" s="24">
        <f t="shared" ref="P858:S858" si="1728">L858*$Y$2</f>
        <v>71883.25</v>
      </c>
      <c r="Q858" s="24">
        <f t="shared" si="1728"/>
        <v>13025.75</v>
      </c>
      <c r="R858" s="24">
        <f t="shared" si="1728"/>
        <v>1797.5</v>
      </c>
      <c r="S858" s="24">
        <f t="shared" si="1728"/>
        <v>1826.25</v>
      </c>
      <c r="T858" s="24">
        <f t="shared" si="4"/>
        <v>27</v>
      </c>
      <c r="Z858" s="25">
        <f t="shared" si="12"/>
        <v>6678.278419</v>
      </c>
    </row>
    <row r="859">
      <c r="A859" s="16" t="s">
        <v>35</v>
      </c>
      <c r="B859" s="17">
        <v>258.0</v>
      </c>
      <c r="C859" s="24">
        <f t="shared" si="1214"/>
        <v>97660266.56</v>
      </c>
      <c r="D859" s="25">
        <v>0.05</v>
      </c>
      <c r="E859" s="24">
        <f t="shared" si="1215"/>
        <v>7302.249314</v>
      </c>
      <c r="F859" s="25">
        <v>0.02</v>
      </c>
      <c r="G859" s="24">
        <f t="shared" si="1216"/>
        <v>12556319.99</v>
      </c>
      <c r="H859" s="25">
        <v>0.05</v>
      </c>
      <c r="I859" s="24">
        <f t="shared" si="1217"/>
        <v>0</v>
      </c>
      <c r="J859" s="25">
        <v>0.02</v>
      </c>
      <c r="K859" s="25">
        <v>0.0</v>
      </c>
      <c r="L859" s="24">
        <f t="shared" si="1614"/>
        <v>288683</v>
      </c>
      <c r="M859" s="24">
        <f t="shared" ref="M859:O859" si="1729">IF(M858="", "", 1 + MROUND(IFERROR(MINIFS(OFFSET(M858, -1, 0, -$B859, 1), OFFSET(M858, -1, 0, -$B859, 1), "&gt;0"), M858) + (LN(1 + $Z859) ^ V$2) * V$3, 1))</f>
        <v>52196</v>
      </c>
      <c r="N859" s="24">
        <f t="shared" si="1729"/>
        <v>7237</v>
      </c>
      <c r="O859" s="24">
        <f t="shared" si="1729"/>
        <v>7352</v>
      </c>
      <c r="P859" s="24">
        <f t="shared" ref="P859:S859" si="1730">L859*$Y$2</f>
        <v>72170.75</v>
      </c>
      <c r="Q859" s="24">
        <f t="shared" si="1730"/>
        <v>13049</v>
      </c>
      <c r="R859" s="24">
        <f t="shared" si="1730"/>
        <v>1809.25</v>
      </c>
      <c r="S859" s="24">
        <f t="shared" si="1730"/>
        <v>1838</v>
      </c>
      <c r="T859" s="24">
        <f t="shared" si="4"/>
        <v>27</v>
      </c>
      <c r="Z859" s="25">
        <f t="shared" si="12"/>
        <v>6912.053164</v>
      </c>
    </row>
    <row r="860">
      <c r="A860" s="16" t="s">
        <v>35</v>
      </c>
      <c r="B860" s="17">
        <v>259.0</v>
      </c>
      <c r="C860" s="24">
        <f t="shared" si="1214"/>
        <v>102543279.9</v>
      </c>
      <c r="D860" s="25">
        <v>0.05</v>
      </c>
      <c r="E860" s="24">
        <f t="shared" si="1215"/>
        <v>7448.2943</v>
      </c>
      <c r="F860" s="25">
        <v>0.02</v>
      </c>
      <c r="G860" s="24">
        <f t="shared" si="1216"/>
        <v>13184135.99</v>
      </c>
      <c r="H860" s="25">
        <v>0.05</v>
      </c>
      <c r="I860" s="24">
        <f t="shared" si="1217"/>
        <v>0</v>
      </c>
      <c r="J860" s="25">
        <v>0.02</v>
      </c>
      <c r="K860" s="25">
        <v>0.0</v>
      </c>
      <c r="L860" s="24">
        <f t="shared" si="1614"/>
        <v>289837</v>
      </c>
      <c r="M860" s="24">
        <f t="shared" ref="M860:O860" si="1731">IF(M859="", "", 1 + MROUND(IFERROR(MINIFS(OFFSET(M859, -1, 0, -$B860, 1), OFFSET(M859, -1, 0, -$B860, 1), "&gt;0"), M859) + (LN(1 + $Z860) ^ V$2) * V$3, 1))</f>
        <v>52289</v>
      </c>
      <c r="N860" s="24">
        <f t="shared" si="1731"/>
        <v>7284</v>
      </c>
      <c r="O860" s="24">
        <f t="shared" si="1731"/>
        <v>7399</v>
      </c>
      <c r="P860" s="24">
        <f t="shared" ref="P860:S860" si="1732">L860*$Y$2</f>
        <v>72459.25</v>
      </c>
      <c r="Q860" s="24">
        <f t="shared" si="1732"/>
        <v>13072.25</v>
      </c>
      <c r="R860" s="24">
        <f t="shared" si="1732"/>
        <v>1821</v>
      </c>
      <c r="S860" s="24">
        <f t="shared" si="1732"/>
        <v>1849.75</v>
      </c>
      <c r="T860" s="24">
        <f t="shared" si="4"/>
        <v>27</v>
      </c>
      <c r="Z860" s="25">
        <f t="shared" si="12"/>
        <v>7154.010025</v>
      </c>
    </row>
    <row r="861">
      <c r="A861" s="16" t="s">
        <v>35</v>
      </c>
      <c r="B861" s="17">
        <v>260.0</v>
      </c>
      <c r="C861" s="24">
        <f t="shared" si="1214"/>
        <v>107670443.9</v>
      </c>
      <c r="D861" s="25">
        <v>0.05</v>
      </c>
      <c r="E861" s="24">
        <f t="shared" si="1215"/>
        <v>7597.260186</v>
      </c>
      <c r="F861" s="25">
        <v>0.02</v>
      </c>
      <c r="G861" s="24">
        <f t="shared" si="1216"/>
        <v>13843342.78</v>
      </c>
      <c r="H861" s="25">
        <v>0.05</v>
      </c>
      <c r="I861" s="24">
        <f t="shared" si="1217"/>
        <v>0</v>
      </c>
      <c r="J861" s="25">
        <v>0.02</v>
      </c>
      <c r="K861" s="25">
        <v>0.0</v>
      </c>
      <c r="L861" s="24">
        <f t="shared" si="1614"/>
        <v>290994</v>
      </c>
      <c r="M861" s="24">
        <f t="shared" ref="M861:O861" si="1733">IF(M860="", "", 1 + MROUND(IFERROR(MINIFS(OFFSET(M860, -1, 0, -$B861, 1), OFFSET(M860, -1, 0, -$B861, 1), "&gt;0"), M860) + (LN(1 + $Z861) ^ V$2) * V$3, 1))</f>
        <v>52382</v>
      </c>
      <c r="N861" s="24">
        <f t="shared" si="1733"/>
        <v>7331</v>
      </c>
      <c r="O861" s="24">
        <f t="shared" si="1733"/>
        <v>7446</v>
      </c>
      <c r="P861" s="24">
        <f t="shared" ref="P861:S861" si="1734">L861*$Y$2</f>
        <v>72748.5</v>
      </c>
      <c r="Q861" s="24">
        <f t="shared" si="1734"/>
        <v>13095.5</v>
      </c>
      <c r="R861" s="24">
        <f t="shared" si="1734"/>
        <v>1832.75</v>
      </c>
      <c r="S861" s="24">
        <f t="shared" si="1734"/>
        <v>1861.5</v>
      </c>
      <c r="T861" s="24">
        <f t="shared" si="4"/>
        <v>27</v>
      </c>
      <c r="Z861" s="25">
        <f t="shared" si="12"/>
        <v>7404.435376</v>
      </c>
    </row>
    <row r="862">
      <c r="A862" s="16" t="s">
        <v>35</v>
      </c>
      <c r="B862" s="17">
        <v>261.0</v>
      </c>
      <c r="C862" s="24">
        <f t="shared" si="1214"/>
        <v>113053966.1</v>
      </c>
      <c r="D862" s="25">
        <v>0.05</v>
      </c>
      <c r="E862" s="24">
        <f t="shared" si="1215"/>
        <v>7749.20539</v>
      </c>
      <c r="F862" s="25">
        <v>0.02</v>
      </c>
      <c r="G862" s="24">
        <f t="shared" si="1216"/>
        <v>14535509.92</v>
      </c>
      <c r="H862" s="25">
        <v>0.05</v>
      </c>
      <c r="I862" s="24">
        <f t="shared" si="1217"/>
        <v>0</v>
      </c>
      <c r="J862" s="25">
        <v>0.02</v>
      </c>
      <c r="K862" s="25">
        <v>0.0</v>
      </c>
      <c r="L862" s="24">
        <f t="shared" si="1614"/>
        <v>292154</v>
      </c>
      <c r="M862" s="24">
        <f t="shared" ref="M862:O862" si="1735">IF(M861="", "", 1 + MROUND(IFERROR(MINIFS(OFFSET(M861, -1, 0, -$B862, 1), OFFSET(M861, -1, 0, -$B862, 1), "&gt;0"), M861) + (LN(1 + $Z862) ^ V$2) * V$3, 1))</f>
        <v>52476</v>
      </c>
      <c r="N862" s="24">
        <f t="shared" si="1735"/>
        <v>7378</v>
      </c>
      <c r="O862" s="24">
        <f t="shared" si="1735"/>
        <v>7493</v>
      </c>
      <c r="P862" s="24">
        <f t="shared" ref="P862:S862" si="1736">L862*$Y$2</f>
        <v>73038.5</v>
      </c>
      <c r="Q862" s="24">
        <f t="shared" si="1736"/>
        <v>13119</v>
      </c>
      <c r="R862" s="24">
        <f t="shared" si="1736"/>
        <v>1844.5</v>
      </c>
      <c r="S862" s="24">
        <f t="shared" si="1736"/>
        <v>1873.25</v>
      </c>
      <c r="T862" s="24">
        <f t="shared" si="4"/>
        <v>27</v>
      </c>
      <c r="Z862" s="25">
        <f t="shared" si="12"/>
        <v>7663.625614</v>
      </c>
    </row>
    <row r="863">
      <c r="A863" s="16" t="s">
        <v>35</v>
      </c>
      <c r="B863" s="17">
        <v>262.0</v>
      </c>
      <c r="C863" s="24">
        <f t="shared" si="1214"/>
        <v>118706664.4</v>
      </c>
      <c r="D863" s="25">
        <v>0.05</v>
      </c>
      <c r="E863" s="24">
        <f t="shared" si="1215"/>
        <v>7904.189498</v>
      </c>
      <c r="F863" s="25">
        <v>0.02</v>
      </c>
      <c r="G863" s="24">
        <f t="shared" si="1216"/>
        <v>15262285.42</v>
      </c>
      <c r="H863" s="25">
        <v>0.05</v>
      </c>
      <c r="I863" s="24">
        <f t="shared" si="1217"/>
        <v>0</v>
      </c>
      <c r="J863" s="25">
        <v>0.02</v>
      </c>
      <c r="K863" s="25">
        <v>0.0</v>
      </c>
      <c r="L863" s="24">
        <f t="shared" si="1614"/>
        <v>293317</v>
      </c>
      <c r="M863" s="24">
        <f t="shared" ref="M863:O863" si="1737">IF(M862="", "", 1 + MROUND(IFERROR(MINIFS(OFFSET(M862, -1, 0, -$B863, 1), OFFSET(M862, -1, 0, -$B863, 1), "&gt;0"), M862) + (LN(1 + $Z863) ^ V$2) * V$3, 1))</f>
        <v>52570</v>
      </c>
      <c r="N863" s="24">
        <f t="shared" si="1737"/>
        <v>7425</v>
      </c>
      <c r="O863" s="24">
        <f t="shared" si="1737"/>
        <v>7540</v>
      </c>
      <c r="P863" s="24">
        <f t="shared" ref="P863:S863" si="1738">L863*$Y$2</f>
        <v>73329.25</v>
      </c>
      <c r="Q863" s="24">
        <f t="shared" si="1738"/>
        <v>13142.5</v>
      </c>
      <c r="R863" s="24">
        <f t="shared" si="1738"/>
        <v>1856.25</v>
      </c>
      <c r="S863" s="24">
        <f t="shared" si="1738"/>
        <v>1885</v>
      </c>
      <c r="T863" s="24">
        <f t="shared" si="4"/>
        <v>27</v>
      </c>
      <c r="Z863" s="25">
        <f t="shared" si="12"/>
        <v>7931.88751</v>
      </c>
    </row>
    <row r="864">
      <c r="A864" s="16" t="s">
        <v>35</v>
      </c>
      <c r="B864" s="17">
        <v>263.0</v>
      </c>
      <c r="C864" s="24">
        <f t="shared" si="1214"/>
        <v>124641997.6</v>
      </c>
      <c r="D864" s="25">
        <v>0.05</v>
      </c>
      <c r="E864" s="24">
        <f t="shared" si="1215"/>
        <v>8062.273288</v>
      </c>
      <c r="F864" s="25">
        <v>0.02</v>
      </c>
      <c r="G864" s="24">
        <f t="shared" si="1216"/>
        <v>16025399.69</v>
      </c>
      <c r="H864" s="25">
        <v>0.05</v>
      </c>
      <c r="I864" s="24">
        <f t="shared" si="1217"/>
        <v>0</v>
      </c>
      <c r="J864" s="25">
        <v>0.02</v>
      </c>
      <c r="K864" s="25">
        <v>0.0</v>
      </c>
      <c r="L864" s="24">
        <f t="shared" si="1614"/>
        <v>294483</v>
      </c>
      <c r="M864" s="24">
        <f t="shared" ref="M864:O864" si="1739">IF(M863="", "", 1 + MROUND(IFERROR(MINIFS(OFFSET(M863, -1, 0, -$B864, 1), OFFSET(M863, -1, 0, -$B864, 1), "&gt;0"), M863) + (LN(1 + $Z864) ^ V$2) * V$3, 1))</f>
        <v>52664</v>
      </c>
      <c r="N864" s="24">
        <f t="shared" si="1739"/>
        <v>7473</v>
      </c>
      <c r="O864" s="24">
        <f t="shared" si="1739"/>
        <v>7588</v>
      </c>
      <c r="P864" s="24">
        <f t="shared" ref="P864:S864" si="1740">L864*$Y$2</f>
        <v>73620.75</v>
      </c>
      <c r="Q864" s="24">
        <f t="shared" si="1740"/>
        <v>13166</v>
      </c>
      <c r="R864" s="24">
        <f t="shared" si="1740"/>
        <v>1868.25</v>
      </c>
      <c r="S864" s="24">
        <f t="shared" si="1740"/>
        <v>1897</v>
      </c>
      <c r="T864" s="24">
        <f t="shared" si="4"/>
        <v>27</v>
      </c>
      <c r="Z864" s="25">
        <f t="shared" si="12"/>
        <v>8209.538573</v>
      </c>
    </row>
    <row r="865">
      <c r="A865" s="16" t="s">
        <v>35</v>
      </c>
      <c r="B865" s="17">
        <v>264.0</v>
      </c>
      <c r="C865" s="24">
        <f t="shared" si="1214"/>
        <v>130874097.5</v>
      </c>
      <c r="D865" s="25">
        <v>0.05</v>
      </c>
      <c r="E865" s="24">
        <f t="shared" si="1215"/>
        <v>8223.518754</v>
      </c>
      <c r="F865" s="25">
        <v>0.02</v>
      </c>
      <c r="G865" s="24">
        <f t="shared" si="1216"/>
        <v>16826669.68</v>
      </c>
      <c r="H865" s="25">
        <v>0.05</v>
      </c>
      <c r="I865" s="24">
        <f t="shared" si="1217"/>
        <v>0</v>
      </c>
      <c r="J865" s="25">
        <v>0.02</v>
      </c>
      <c r="K865" s="25">
        <v>0.0</v>
      </c>
      <c r="L865" s="24">
        <f t="shared" si="1614"/>
        <v>295652</v>
      </c>
      <c r="M865" s="24">
        <f t="shared" ref="M865:O865" si="1741">IF(M864="", "", 1 + MROUND(IFERROR(MINIFS(OFFSET(M864, -1, 0, -$B865, 1), OFFSET(M864, -1, 0, -$B865, 1), "&gt;0"), M864) + (LN(1 + $Z865) ^ V$2) * V$3, 1))</f>
        <v>52758</v>
      </c>
      <c r="N865" s="24">
        <f t="shared" si="1741"/>
        <v>7521</v>
      </c>
      <c r="O865" s="24">
        <f t="shared" si="1741"/>
        <v>7636</v>
      </c>
      <c r="P865" s="24">
        <f t="shared" ref="P865:S865" si="1742">L865*$Y$2</f>
        <v>73913</v>
      </c>
      <c r="Q865" s="24">
        <f t="shared" si="1742"/>
        <v>13189.5</v>
      </c>
      <c r="R865" s="24">
        <f t="shared" si="1742"/>
        <v>1880.25</v>
      </c>
      <c r="S865" s="24">
        <f t="shared" si="1742"/>
        <v>1909</v>
      </c>
      <c r="T865" s="24">
        <f t="shared" si="4"/>
        <v>27</v>
      </c>
      <c r="Z865" s="25">
        <f t="shared" si="12"/>
        <v>8496.907423</v>
      </c>
    </row>
    <row r="866">
      <c r="A866" s="16" t="s">
        <v>35</v>
      </c>
      <c r="B866" s="17">
        <v>265.0</v>
      </c>
      <c r="C866" s="24">
        <f t="shared" si="1214"/>
        <v>137417802.3</v>
      </c>
      <c r="D866" s="25">
        <v>0.05</v>
      </c>
      <c r="E866" s="24">
        <f t="shared" si="1215"/>
        <v>8387.989129</v>
      </c>
      <c r="F866" s="25">
        <v>0.02</v>
      </c>
      <c r="G866" s="24">
        <f t="shared" si="1216"/>
        <v>17668003.16</v>
      </c>
      <c r="H866" s="25">
        <v>0.05</v>
      </c>
      <c r="I866" s="24">
        <f t="shared" si="1217"/>
        <v>0</v>
      </c>
      <c r="J866" s="25">
        <v>0.02</v>
      </c>
      <c r="K866" s="25">
        <v>0.0</v>
      </c>
      <c r="L866" s="24">
        <f t="shared" si="1614"/>
        <v>296824</v>
      </c>
      <c r="M866" s="24">
        <f t="shared" ref="M866:O866" si="1743">IF(M865="", "", 1 + MROUND(IFERROR(MINIFS(OFFSET(M865, -1, 0, -$B866, 1), OFFSET(M865, -1, 0, -$B866, 1), "&gt;0"), M865) + (LN(1 + $Z866) ^ V$2) * V$3, 1))</f>
        <v>52853</v>
      </c>
      <c r="N866" s="24">
        <f t="shared" si="1743"/>
        <v>7569</v>
      </c>
      <c r="O866" s="24">
        <f t="shared" si="1743"/>
        <v>7684</v>
      </c>
      <c r="P866" s="24">
        <f t="shared" ref="P866:S866" si="1744">L866*$Y$2</f>
        <v>74206</v>
      </c>
      <c r="Q866" s="24">
        <f t="shared" si="1744"/>
        <v>13213.25</v>
      </c>
      <c r="R866" s="24">
        <f t="shared" si="1744"/>
        <v>1892.25</v>
      </c>
      <c r="S866" s="24">
        <f t="shared" si="1744"/>
        <v>1921</v>
      </c>
      <c r="T866" s="24">
        <f t="shared" si="4"/>
        <v>28</v>
      </c>
      <c r="Z866" s="25">
        <f t="shared" si="12"/>
        <v>8794.334183</v>
      </c>
    </row>
    <row r="867">
      <c r="A867" s="16" t="s">
        <v>35</v>
      </c>
      <c r="B867" s="17">
        <v>266.0</v>
      </c>
      <c r="C867" s="24">
        <f t="shared" si="1214"/>
        <v>144288692.5</v>
      </c>
      <c r="D867" s="25">
        <v>0.05</v>
      </c>
      <c r="E867" s="24">
        <f t="shared" si="1215"/>
        <v>8555.748911</v>
      </c>
      <c r="F867" s="25">
        <v>0.02</v>
      </c>
      <c r="G867" s="24">
        <f t="shared" si="1216"/>
        <v>18551403.32</v>
      </c>
      <c r="H867" s="25">
        <v>0.05</v>
      </c>
      <c r="I867" s="24">
        <f t="shared" si="1217"/>
        <v>0</v>
      </c>
      <c r="J867" s="25">
        <v>0.02</v>
      </c>
      <c r="K867" s="25">
        <v>0.0</v>
      </c>
      <c r="L867" s="24">
        <f t="shared" si="1614"/>
        <v>297999</v>
      </c>
      <c r="M867" s="24">
        <f t="shared" ref="M867:O867" si="1745">IF(M866="", "", 1 + MROUND(IFERROR(MINIFS(OFFSET(M866, -1, 0, -$B867, 1), OFFSET(M866, -1, 0, -$B867, 1), "&gt;0"), M866) + (LN(1 + $Z867) ^ V$2) * V$3, 1))</f>
        <v>52948</v>
      </c>
      <c r="N867" s="24">
        <f t="shared" si="1745"/>
        <v>7617</v>
      </c>
      <c r="O867" s="24">
        <f t="shared" si="1745"/>
        <v>7732</v>
      </c>
      <c r="P867" s="24">
        <f t="shared" ref="P867:S867" si="1746">L867*$Y$2</f>
        <v>74499.75</v>
      </c>
      <c r="Q867" s="24">
        <f t="shared" si="1746"/>
        <v>13237</v>
      </c>
      <c r="R867" s="24">
        <f t="shared" si="1746"/>
        <v>1904.25</v>
      </c>
      <c r="S867" s="24">
        <f t="shared" si="1746"/>
        <v>1933</v>
      </c>
      <c r="T867" s="24">
        <f t="shared" si="4"/>
        <v>28</v>
      </c>
      <c r="Z867" s="25">
        <f t="shared" si="12"/>
        <v>9102.170879</v>
      </c>
    </row>
    <row r="868">
      <c r="A868" s="16" t="s">
        <v>35</v>
      </c>
      <c r="B868" s="17">
        <v>267.0</v>
      </c>
      <c r="C868" s="24">
        <f t="shared" si="1214"/>
        <v>151503127.1</v>
      </c>
      <c r="D868" s="25">
        <v>0.05</v>
      </c>
      <c r="E868" s="24">
        <f t="shared" si="1215"/>
        <v>8726.863889</v>
      </c>
      <c r="F868" s="25">
        <v>0.02</v>
      </c>
      <c r="G868" s="24">
        <f t="shared" si="1216"/>
        <v>19478973.48</v>
      </c>
      <c r="H868" s="25">
        <v>0.05</v>
      </c>
      <c r="I868" s="24">
        <f t="shared" si="1217"/>
        <v>0</v>
      </c>
      <c r="J868" s="25">
        <v>0.02</v>
      </c>
      <c r="K868" s="25">
        <v>0.0</v>
      </c>
      <c r="L868" s="24">
        <f t="shared" si="1614"/>
        <v>299177</v>
      </c>
      <c r="M868" s="24">
        <f t="shared" ref="M868:O868" si="1747">IF(M867="", "", 1 + MROUND(IFERROR(MINIFS(OFFSET(M867, -1, 0, -$B868, 1), OFFSET(M867, -1, 0, -$B868, 1), "&gt;0"), M867) + (LN(1 + $Z868) ^ V$2) * V$3, 1))</f>
        <v>53043</v>
      </c>
      <c r="N868" s="24">
        <f t="shared" si="1747"/>
        <v>7665</v>
      </c>
      <c r="O868" s="24">
        <f t="shared" si="1747"/>
        <v>7780</v>
      </c>
      <c r="P868" s="24">
        <f t="shared" ref="P868:S868" si="1748">L868*$Y$2</f>
        <v>74794.25</v>
      </c>
      <c r="Q868" s="24">
        <f t="shared" si="1748"/>
        <v>13260.75</v>
      </c>
      <c r="R868" s="24">
        <f t="shared" si="1748"/>
        <v>1916.25</v>
      </c>
      <c r="S868" s="24">
        <f t="shared" si="1748"/>
        <v>1945</v>
      </c>
      <c r="T868" s="24">
        <f t="shared" si="4"/>
        <v>28</v>
      </c>
      <c r="Z868" s="25">
        <f t="shared" si="12"/>
        <v>9420.78186</v>
      </c>
    </row>
    <row r="869">
      <c r="A869" s="16" t="s">
        <v>35</v>
      </c>
      <c r="B869" s="17">
        <v>268.0</v>
      </c>
      <c r="C869" s="24">
        <f t="shared" si="1214"/>
        <v>159078283.4</v>
      </c>
      <c r="D869" s="25">
        <v>0.05</v>
      </c>
      <c r="E869" s="24">
        <f t="shared" si="1215"/>
        <v>8901.401167</v>
      </c>
      <c r="F869" s="25">
        <v>0.02</v>
      </c>
      <c r="G869" s="24">
        <f t="shared" si="1216"/>
        <v>20452922.16</v>
      </c>
      <c r="H869" s="25">
        <v>0.05</v>
      </c>
      <c r="I869" s="24">
        <f t="shared" si="1217"/>
        <v>0</v>
      </c>
      <c r="J869" s="25">
        <v>0.02</v>
      </c>
      <c r="K869" s="25">
        <v>0.0</v>
      </c>
      <c r="L869" s="24">
        <f t="shared" si="1614"/>
        <v>300359</v>
      </c>
      <c r="M869" s="24">
        <f t="shared" ref="M869:O869" si="1749">IF(M868="", "", 1 + MROUND(IFERROR(MINIFS(OFFSET(M868, -1, 0, -$B869, 1), OFFSET(M868, -1, 0, -$B869, 1), "&gt;0"), M868) + (LN(1 + $Z869) ^ V$2) * V$3, 1))</f>
        <v>53138</v>
      </c>
      <c r="N869" s="24">
        <f t="shared" si="1749"/>
        <v>7713</v>
      </c>
      <c r="O869" s="24">
        <f t="shared" si="1749"/>
        <v>7828</v>
      </c>
      <c r="P869" s="24">
        <f t="shared" ref="P869:S869" si="1750">L869*$Y$2</f>
        <v>75089.75</v>
      </c>
      <c r="Q869" s="24">
        <f t="shared" si="1750"/>
        <v>13284.5</v>
      </c>
      <c r="R869" s="24">
        <f t="shared" si="1750"/>
        <v>1928.25</v>
      </c>
      <c r="S869" s="24">
        <f t="shared" si="1750"/>
        <v>1957</v>
      </c>
      <c r="T869" s="24">
        <f t="shared" si="4"/>
        <v>28</v>
      </c>
      <c r="Z869" s="25">
        <f t="shared" si="12"/>
        <v>9750.544225</v>
      </c>
    </row>
    <row r="870">
      <c r="A870" s="16" t="s">
        <v>35</v>
      </c>
      <c r="B870" s="17">
        <v>269.0</v>
      </c>
      <c r="C870" s="24">
        <f t="shared" si="1214"/>
        <v>167032197.6</v>
      </c>
      <c r="D870" s="25">
        <v>0.05</v>
      </c>
      <c r="E870" s="24">
        <f t="shared" si="1215"/>
        <v>9079.429191</v>
      </c>
      <c r="F870" s="25">
        <v>0.02</v>
      </c>
      <c r="G870" s="24">
        <f t="shared" si="1216"/>
        <v>21475568.26</v>
      </c>
      <c r="H870" s="25">
        <v>0.05</v>
      </c>
      <c r="I870" s="24">
        <f t="shared" si="1217"/>
        <v>0</v>
      </c>
      <c r="J870" s="25">
        <v>0.02</v>
      </c>
      <c r="K870" s="25">
        <v>0.0</v>
      </c>
      <c r="L870" s="24">
        <f t="shared" si="1614"/>
        <v>301544</v>
      </c>
      <c r="M870" s="24">
        <f t="shared" ref="M870:O870" si="1751">IF(M869="", "", 1 + MROUND(IFERROR(MINIFS(OFFSET(M869, -1, 0, -$B870, 1), OFFSET(M869, -1, 0, -$B870, 1), "&gt;0"), M869) + (LN(1 + $Z870) ^ V$2) * V$3, 1))</f>
        <v>53234</v>
      </c>
      <c r="N870" s="24">
        <f t="shared" si="1751"/>
        <v>7761</v>
      </c>
      <c r="O870" s="24">
        <f t="shared" si="1751"/>
        <v>7876</v>
      </c>
      <c r="P870" s="24">
        <f t="shared" ref="P870:S870" si="1752">L870*$Y$2</f>
        <v>75386</v>
      </c>
      <c r="Q870" s="24">
        <f t="shared" si="1752"/>
        <v>13308.5</v>
      </c>
      <c r="R870" s="24">
        <f t="shared" si="1752"/>
        <v>1940.25</v>
      </c>
      <c r="S870" s="24">
        <f t="shared" si="1752"/>
        <v>1969</v>
      </c>
      <c r="T870" s="24">
        <f t="shared" si="4"/>
        <v>28</v>
      </c>
      <c r="Z870" s="25">
        <f t="shared" si="12"/>
        <v>10091.84827</v>
      </c>
    </row>
    <row r="871">
      <c r="A871" s="16" t="s">
        <v>35</v>
      </c>
      <c r="B871" s="17">
        <v>270.0</v>
      </c>
      <c r="C871" s="24">
        <f t="shared" si="1214"/>
        <v>175383807.5</v>
      </c>
      <c r="D871" s="25">
        <v>0.05</v>
      </c>
      <c r="E871" s="24">
        <f t="shared" si="1215"/>
        <v>9261.017774</v>
      </c>
      <c r="F871" s="25">
        <v>0.02</v>
      </c>
      <c r="G871" s="24">
        <f t="shared" si="1216"/>
        <v>22549346.68</v>
      </c>
      <c r="H871" s="25">
        <v>0.05</v>
      </c>
      <c r="I871" s="24">
        <f t="shared" si="1217"/>
        <v>0</v>
      </c>
      <c r="J871" s="25">
        <v>0.02</v>
      </c>
      <c r="K871" s="25">
        <v>0.0</v>
      </c>
      <c r="L871" s="24">
        <f t="shared" si="1614"/>
        <v>302732</v>
      </c>
      <c r="M871" s="24">
        <f t="shared" ref="M871:O871" si="1753">IF(M870="", "", 1 + MROUND(IFERROR(MINIFS(OFFSET(M870, -1, 0, -$B871, 1), OFFSET(M870, -1, 0, -$B871, 1), "&gt;0"), M870) + (LN(1 + $Z871) ^ V$2) * V$3, 1))</f>
        <v>53330</v>
      </c>
      <c r="N871" s="24">
        <f t="shared" si="1753"/>
        <v>7809</v>
      </c>
      <c r="O871" s="24">
        <f t="shared" si="1753"/>
        <v>7924</v>
      </c>
      <c r="P871" s="24">
        <f t="shared" ref="P871:S871" si="1754">L871*$Y$2</f>
        <v>75683</v>
      </c>
      <c r="Q871" s="24">
        <f t="shared" si="1754"/>
        <v>13332.5</v>
      </c>
      <c r="R871" s="24">
        <f t="shared" si="1754"/>
        <v>1952.25</v>
      </c>
      <c r="S871" s="24">
        <f t="shared" si="1754"/>
        <v>1981</v>
      </c>
      <c r="T871" s="24">
        <f t="shared" si="4"/>
        <v>28</v>
      </c>
      <c r="Z871" s="25">
        <f t="shared" si="12"/>
        <v>10445.09796</v>
      </c>
    </row>
    <row r="872">
      <c r="A872" s="16" t="s">
        <v>35</v>
      </c>
      <c r="B872" s="17">
        <v>271.0</v>
      </c>
      <c r="C872" s="24">
        <f t="shared" si="1214"/>
        <v>184152997.9</v>
      </c>
      <c r="D872" s="25">
        <v>0.05</v>
      </c>
      <c r="E872" s="24">
        <f t="shared" si="1215"/>
        <v>9446.23813</v>
      </c>
      <c r="F872" s="25">
        <v>0.02</v>
      </c>
      <c r="G872" s="24">
        <f t="shared" si="1216"/>
        <v>23676814.01</v>
      </c>
      <c r="H872" s="25">
        <v>0.05</v>
      </c>
      <c r="I872" s="24">
        <f t="shared" si="1217"/>
        <v>0</v>
      </c>
      <c r="J872" s="25">
        <v>0.02</v>
      </c>
      <c r="K872" s="25">
        <v>0.0</v>
      </c>
      <c r="L872" s="24">
        <f t="shared" si="1614"/>
        <v>303923</v>
      </c>
      <c r="M872" s="24">
        <f t="shared" ref="M872:O872" si="1755">IF(M871="", "", 1 + MROUND(IFERROR(MINIFS(OFFSET(M871, -1, 0, -$B872, 1), OFFSET(M871, -1, 0, -$B872, 1), "&gt;0"), M871) + (LN(1 + $Z872) ^ V$2) * V$3, 1))</f>
        <v>53426</v>
      </c>
      <c r="N872" s="24">
        <f t="shared" si="1755"/>
        <v>7858</v>
      </c>
      <c r="O872" s="24">
        <f t="shared" si="1755"/>
        <v>7973</v>
      </c>
      <c r="P872" s="24">
        <f t="shared" ref="P872:S872" si="1756">L872*$Y$2</f>
        <v>75980.75</v>
      </c>
      <c r="Q872" s="24">
        <f t="shared" si="1756"/>
        <v>13356.5</v>
      </c>
      <c r="R872" s="24">
        <f t="shared" si="1756"/>
        <v>1964.5</v>
      </c>
      <c r="S872" s="24">
        <f t="shared" si="1756"/>
        <v>1993.25</v>
      </c>
      <c r="T872" s="24">
        <f t="shared" si="4"/>
        <v>28</v>
      </c>
      <c r="Z872" s="25">
        <f t="shared" si="12"/>
        <v>10810.71139</v>
      </c>
    </row>
    <row r="873">
      <c r="A873" s="16" t="s">
        <v>35</v>
      </c>
      <c r="B873" s="17">
        <v>272.0</v>
      </c>
      <c r="C873" s="24">
        <f t="shared" si="1214"/>
        <v>193360647.8</v>
      </c>
      <c r="D873" s="25">
        <v>0.05</v>
      </c>
      <c r="E873" s="24">
        <f t="shared" si="1215"/>
        <v>9635.162892</v>
      </c>
      <c r="F873" s="25">
        <v>0.02</v>
      </c>
      <c r="G873" s="24">
        <f t="shared" si="1216"/>
        <v>24860654.71</v>
      </c>
      <c r="H873" s="25">
        <v>0.05</v>
      </c>
      <c r="I873" s="24">
        <f t="shared" si="1217"/>
        <v>0</v>
      </c>
      <c r="J873" s="25">
        <v>0.02</v>
      </c>
      <c r="K873" s="25">
        <v>0.0</v>
      </c>
      <c r="L873" s="24">
        <f t="shared" si="1614"/>
        <v>305117</v>
      </c>
      <c r="M873" s="24">
        <f t="shared" ref="M873:O873" si="1757">IF(M872="", "", 1 + MROUND(IFERROR(MINIFS(OFFSET(M872, -1, 0, -$B873, 1), OFFSET(M872, -1, 0, -$B873, 1), "&gt;0"), M872) + (LN(1 + $Z873) ^ V$2) * V$3, 1))</f>
        <v>53522</v>
      </c>
      <c r="N873" s="24">
        <f t="shared" si="1757"/>
        <v>7907</v>
      </c>
      <c r="O873" s="24">
        <f t="shared" si="1757"/>
        <v>8022</v>
      </c>
      <c r="P873" s="24">
        <f t="shared" ref="P873:S873" si="1758">L873*$Y$2</f>
        <v>76279.25</v>
      </c>
      <c r="Q873" s="24">
        <f t="shared" si="1758"/>
        <v>13380.5</v>
      </c>
      <c r="R873" s="24">
        <f t="shared" si="1758"/>
        <v>1976.75</v>
      </c>
      <c r="S873" s="24">
        <f t="shared" si="1758"/>
        <v>2005.5</v>
      </c>
      <c r="T873" s="24">
        <f t="shared" si="4"/>
        <v>28</v>
      </c>
      <c r="Z873" s="25">
        <f t="shared" si="12"/>
        <v>11189.12129</v>
      </c>
    </row>
    <row r="874">
      <c r="A874" s="16" t="s">
        <v>35</v>
      </c>
      <c r="B874" s="17">
        <v>273.0</v>
      </c>
      <c r="C874" s="24">
        <f t="shared" si="1214"/>
        <v>203028680.2</v>
      </c>
      <c r="D874" s="25">
        <v>0.05</v>
      </c>
      <c r="E874" s="24">
        <f t="shared" si="1215"/>
        <v>9827.86615</v>
      </c>
      <c r="F874" s="25">
        <v>0.02</v>
      </c>
      <c r="G874" s="24">
        <f t="shared" si="1216"/>
        <v>26103687.45</v>
      </c>
      <c r="H874" s="25">
        <v>0.05</v>
      </c>
      <c r="I874" s="24">
        <f t="shared" si="1217"/>
        <v>0</v>
      </c>
      <c r="J874" s="25">
        <v>0.02</v>
      </c>
      <c r="K874" s="25">
        <v>0.0</v>
      </c>
      <c r="L874" s="24">
        <f t="shared" si="1614"/>
        <v>306314</v>
      </c>
      <c r="M874" s="24">
        <f t="shared" ref="M874:O874" si="1759">IF(M873="", "", 1 + MROUND(IFERROR(MINIFS(OFFSET(M873, -1, 0, -$B874, 1), OFFSET(M873, -1, 0, -$B874, 1), "&gt;0"), M873) + (LN(1 + $Z874) ^ V$2) * V$3, 1))</f>
        <v>53619</v>
      </c>
      <c r="N874" s="24">
        <f t="shared" si="1759"/>
        <v>7956</v>
      </c>
      <c r="O874" s="24">
        <f t="shared" si="1759"/>
        <v>8071</v>
      </c>
      <c r="P874" s="24">
        <f t="shared" ref="P874:S874" si="1760">L874*$Y$2</f>
        <v>76578.5</v>
      </c>
      <c r="Q874" s="24">
        <f t="shared" si="1760"/>
        <v>13404.75</v>
      </c>
      <c r="R874" s="24">
        <f t="shared" si="1760"/>
        <v>1989</v>
      </c>
      <c r="S874" s="24">
        <f t="shared" si="1760"/>
        <v>2017.75</v>
      </c>
      <c r="T874" s="24">
        <f t="shared" si="4"/>
        <v>28</v>
      </c>
      <c r="Z874" s="25">
        <f t="shared" si="12"/>
        <v>11580.77554</v>
      </c>
    </row>
    <row r="875">
      <c r="A875" s="16" t="s">
        <v>35</v>
      </c>
      <c r="B875" s="17">
        <v>274.0</v>
      </c>
      <c r="C875" s="24">
        <f t="shared" si="1214"/>
        <v>213180114.2</v>
      </c>
      <c r="D875" s="25">
        <v>0.05</v>
      </c>
      <c r="E875" s="24">
        <f t="shared" si="1215"/>
        <v>10024.42347</v>
      </c>
      <c r="F875" s="25">
        <v>0.02</v>
      </c>
      <c r="G875" s="24">
        <f t="shared" si="1216"/>
        <v>27408871.82</v>
      </c>
      <c r="H875" s="25">
        <v>0.05</v>
      </c>
      <c r="I875" s="24">
        <f t="shared" si="1217"/>
        <v>0</v>
      </c>
      <c r="J875" s="25">
        <v>0.02</v>
      </c>
      <c r="K875" s="25">
        <v>0.0</v>
      </c>
      <c r="L875" s="24">
        <f t="shared" si="1614"/>
        <v>307514</v>
      </c>
      <c r="M875" s="24">
        <f t="shared" ref="M875:O875" si="1761">IF(M874="", "", 1 + MROUND(IFERROR(MINIFS(OFFSET(M874, -1, 0, -$B875, 1), OFFSET(M874, -1, 0, -$B875, 1), "&gt;0"), M874) + (LN(1 + $Z875) ^ V$2) * V$3, 1))</f>
        <v>53716</v>
      </c>
      <c r="N875" s="24">
        <f t="shared" si="1761"/>
        <v>8005</v>
      </c>
      <c r="O875" s="24">
        <f t="shared" si="1761"/>
        <v>8120</v>
      </c>
      <c r="P875" s="24">
        <f t="shared" ref="P875:S875" si="1762">L875*$Y$2</f>
        <v>76878.5</v>
      </c>
      <c r="Q875" s="24">
        <f t="shared" si="1762"/>
        <v>13429</v>
      </c>
      <c r="R875" s="24">
        <f t="shared" si="1762"/>
        <v>2001.25</v>
      </c>
      <c r="S875" s="24">
        <f t="shared" si="1762"/>
        <v>2030</v>
      </c>
      <c r="T875" s="24">
        <f t="shared" si="4"/>
        <v>28</v>
      </c>
      <c r="Z875" s="25">
        <f t="shared" si="12"/>
        <v>11986.13768</v>
      </c>
    </row>
    <row r="876">
      <c r="A876" s="16" t="s">
        <v>35</v>
      </c>
      <c r="B876" s="17">
        <v>275.0</v>
      </c>
      <c r="C876" s="24">
        <f t="shared" si="1214"/>
        <v>223839119.9</v>
      </c>
      <c r="D876" s="25">
        <v>0.05</v>
      </c>
      <c r="E876" s="24">
        <f t="shared" si="1215"/>
        <v>10224.91194</v>
      </c>
      <c r="F876" s="25">
        <v>0.02</v>
      </c>
      <c r="G876" s="24">
        <f t="shared" si="1216"/>
        <v>28779315.41</v>
      </c>
      <c r="H876" s="25">
        <v>0.05</v>
      </c>
      <c r="I876" s="24">
        <f t="shared" si="1217"/>
        <v>0</v>
      </c>
      <c r="J876" s="25">
        <v>0.02</v>
      </c>
      <c r="K876" s="25">
        <v>0.0</v>
      </c>
      <c r="L876" s="24">
        <f t="shared" si="1614"/>
        <v>308717</v>
      </c>
      <c r="M876" s="24">
        <f t="shared" ref="M876:O876" si="1763">IF(M875="", "", 1 + MROUND(IFERROR(MINIFS(OFFSET(M875, -1, 0, -$B876, 1), OFFSET(M875, -1, 0, -$B876, 1), "&gt;0"), M875) + (LN(1 + $Z876) ^ V$2) * V$3, 1))</f>
        <v>53813</v>
      </c>
      <c r="N876" s="24">
        <f t="shared" si="1763"/>
        <v>8054</v>
      </c>
      <c r="O876" s="24">
        <f t="shared" si="1763"/>
        <v>8169</v>
      </c>
      <c r="P876" s="24">
        <f t="shared" ref="P876:S876" si="1764">L876*$Y$2</f>
        <v>77179.25</v>
      </c>
      <c r="Q876" s="24">
        <f t="shared" si="1764"/>
        <v>13453.25</v>
      </c>
      <c r="R876" s="24">
        <f t="shared" si="1764"/>
        <v>2013.5</v>
      </c>
      <c r="S876" s="24">
        <f t="shared" si="1764"/>
        <v>2042.25</v>
      </c>
      <c r="T876" s="24">
        <f t="shared" si="4"/>
        <v>29</v>
      </c>
      <c r="Z876" s="25">
        <f t="shared" si="12"/>
        <v>12405.6875</v>
      </c>
    </row>
    <row r="877">
      <c r="A877" s="16" t="s">
        <v>35</v>
      </c>
      <c r="B877" s="17">
        <v>276.0</v>
      </c>
      <c r="C877" s="24">
        <f t="shared" si="1214"/>
        <v>235031075.9</v>
      </c>
      <c r="D877" s="25">
        <v>0.05</v>
      </c>
      <c r="E877" s="24">
        <f t="shared" si="1215"/>
        <v>10429.41018</v>
      </c>
      <c r="F877" s="25">
        <v>0.02</v>
      </c>
      <c r="G877" s="24">
        <f t="shared" si="1216"/>
        <v>30218281.18</v>
      </c>
      <c r="H877" s="25">
        <v>0.05</v>
      </c>
      <c r="I877" s="24">
        <f t="shared" si="1217"/>
        <v>0</v>
      </c>
      <c r="J877" s="25">
        <v>0.02</v>
      </c>
      <c r="K877" s="25">
        <v>0.0</v>
      </c>
      <c r="L877" s="24">
        <f t="shared" si="1614"/>
        <v>309923</v>
      </c>
      <c r="M877" s="24">
        <f t="shared" ref="M877:O877" si="1765">IF(M876="", "", 1 + MROUND(IFERROR(MINIFS(OFFSET(M876, -1, 0, -$B877, 1), OFFSET(M876, -1, 0, -$B877, 1), "&gt;0"), M876) + (LN(1 + $Z877) ^ V$2) * V$3, 1))</f>
        <v>53910</v>
      </c>
      <c r="N877" s="24">
        <f t="shared" si="1765"/>
        <v>8103</v>
      </c>
      <c r="O877" s="24">
        <f t="shared" si="1765"/>
        <v>8218</v>
      </c>
      <c r="P877" s="24">
        <f t="shared" ref="P877:S877" si="1766">L877*$Y$2</f>
        <v>77480.75</v>
      </c>
      <c r="Q877" s="24">
        <f t="shared" si="1766"/>
        <v>13477.5</v>
      </c>
      <c r="R877" s="24">
        <f t="shared" si="1766"/>
        <v>2025.75</v>
      </c>
      <c r="S877" s="24">
        <f t="shared" si="1766"/>
        <v>2054.5</v>
      </c>
      <c r="T877" s="24">
        <f t="shared" si="4"/>
        <v>29</v>
      </c>
      <c r="Z877" s="25">
        <f t="shared" si="12"/>
        <v>12839.92156</v>
      </c>
    </row>
    <row r="878">
      <c r="A878" s="16" t="s">
        <v>35</v>
      </c>
      <c r="B878" s="17">
        <v>277.0</v>
      </c>
      <c r="C878" s="24">
        <f t="shared" si="1214"/>
        <v>246782629.7</v>
      </c>
      <c r="D878" s="25">
        <v>0.05</v>
      </c>
      <c r="E878" s="24">
        <f t="shared" si="1215"/>
        <v>10637.99839</v>
      </c>
      <c r="F878" s="25">
        <v>0.02</v>
      </c>
      <c r="G878" s="24">
        <f t="shared" si="1216"/>
        <v>31729195.24</v>
      </c>
      <c r="H878" s="25">
        <v>0.05</v>
      </c>
      <c r="I878" s="24">
        <f t="shared" si="1217"/>
        <v>0</v>
      </c>
      <c r="J878" s="25">
        <v>0.02</v>
      </c>
      <c r="K878" s="25">
        <v>0.0</v>
      </c>
      <c r="L878" s="24">
        <f t="shared" si="1614"/>
        <v>311132</v>
      </c>
      <c r="M878" s="24">
        <f t="shared" ref="M878:O878" si="1767">IF(M877="", "", 1 + MROUND(IFERROR(MINIFS(OFFSET(M877, -1, 0, -$B878, 1), OFFSET(M877, -1, 0, -$B878, 1), "&gt;0"), M877) + (LN(1 + $Z878) ^ V$2) * V$3, 1))</f>
        <v>54008</v>
      </c>
      <c r="N878" s="24">
        <f t="shared" si="1767"/>
        <v>8152</v>
      </c>
      <c r="O878" s="24">
        <f t="shared" si="1767"/>
        <v>8267</v>
      </c>
      <c r="P878" s="24">
        <f t="shared" ref="P878:S878" si="1768">L878*$Y$2</f>
        <v>77783</v>
      </c>
      <c r="Q878" s="24">
        <f t="shared" si="1768"/>
        <v>13502</v>
      </c>
      <c r="R878" s="24">
        <f t="shared" si="1768"/>
        <v>2038</v>
      </c>
      <c r="S878" s="24">
        <f t="shared" si="1768"/>
        <v>2066.75</v>
      </c>
      <c r="T878" s="24">
        <f t="shared" si="4"/>
        <v>29</v>
      </c>
      <c r="Z878" s="25">
        <f t="shared" si="12"/>
        <v>13289.35381</v>
      </c>
    </row>
    <row r="879">
      <c r="A879" s="16" t="s">
        <v>35</v>
      </c>
      <c r="B879" s="17">
        <v>278.0</v>
      </c>
      <c r="C879" s="24">
        <f t="shared" si="1214"/>
        <v>259121761.1</v>
      </c>
      <c r="D879" s="25">
        <v>0.05</v>
      </c>
      <c r="E879" s="24">
        <f t="shared" si="1215"/>
        <v>10850.75835</v>
      </c>
      <c r="F879" s="25">
        <v>0.02</v>
      </c>
      <c r="G879" s="24">
        <f t="shared" si="1216"/>
        <v>33315655</v>
      </c>
      <c r="H879" s="25">
        <v>0.05</v>
      </c>
      <c r="I879" s="24">
        <f t="shared" si="1217"/>
        <v>0</v>
      </c>
      <c r="J879" s="25">
        <v>0.02</v>
      </c>
      <c r="K879" s="25">
        <v>0.0</v>
      </c>
      <c r="L879" s="24">
        <f t="shared" si="1614"/>
        <v>312344</v>
      </c>
      <c r="M879" s="24">
        <f t="shared" ref="M879:O879" si="1769">IF(M878="", "", 1 + MROUND(IFERROR(MINIFS(OFFSET(M878, -1, 0, -$B879, 1), OFFSET(M878, -1, 0, -$B879, 1), "&gt;0"), M878) + (LN(1 + $Z879) ^ V$2) * V$3, 1))</f>
        <v>54106</v>
      </c>
      <c r="N879" s="24">
        <f t="shared" si="1769"/>
        <v>8201</v>
      </c>
      <c r="O879" s="24">
        <f t="shared" si="1769"/>
        <v>8316</v>
      </c>
      <c r="P879" s="24">
        <f t="shared" ref="P879:S879" si="1770">L879*$Y$2</f>
        <v>78086</v>
      </c>
      <c r="Q879" s="24">
        <f t="shared" si="1770"/>
        <v>13526.5</v>
      </c>
      <c r="R879" s="24">
        <f t="shared" si="1770"/>
        <v>2050.25</v>
      </c>
      <c r="S879" s="24">
        <f t="shared" si="1770"/>
        <v>2079</v>
      </c>
      <c r="T879" s="24">
        <f t="shared" si="4"/>
        <v>29</v>
      </c>
      <c r="Z879" s="25">
        <f t="shared" si="12"/>
        <v>13754.5162</v>
      </c>
    </row>
    <row r="880">
      <c r="A880" s="16" t="s">
        <v>35</v>
      </c>
      <c r="B880" s="17">
        <v>279.0</v>
      </c>
      <c r="C880" s="24">
        <f t="shared" si="1214"/>
        <v>272077849.2</v>
      </c>
      <c r="D880" s="25">
        <v>0.05</v>
      </c>
      <c r="E880" s="24">
        <f t="shared" si="1215"/>
        <v>11067.77352</v>
      </c>
      <c r="F880" s="25">
        <v>0.02</v>
      </c>
      <c r="G880" s="24">
        <f t="shared" si="1216"/>
        <v>34981437.75</v>
      </c>
      <c r="H880" s="25">
        <v>0.05</v>
      </c>
      <c r="I880" s="24">
        <f t="shared" si="1217"/>
        <v>0</v>
      </c>
      <c r="J880" s="25">
        <v>0.02</v>
      </c>
      <c r="K880" s="25">
        <v>0.0</v>
      </c>
      <c r="L880" s="24">
        <f t="shared" si="1614"/>
        <v>313559</v>
      </c>
      <c r="M880" s="24">
        <f t="shared" ref="M880:O880" si="1771">IF(M879="", "", 1 + MROUND(IFERROR(MINIFS(OFFSET(M879, -1, 0, -$B880, 1), OFFSET(M879, -1, 0, -$B880, 1), "&gt;0"), M879) + (LN(1 + $Z880) ^ V$2) * V$3, 1))</f>
        <v>54204</v>
      </c>
      <c r="N880" s="24">
        <f t="shared" si="1771"/>
        <v>8251</v>
      </c>
      <c r="O880" s="24">
        <f t="shared" si="1771"/>
        <v>8366</v>
      </c>
      <c r="P880" s="24">
        <f t="shared" ref="P880:S880" si="1772">L880*$Y$2</f>
        <v>78389.75</v>
      </c>
      <c r="Q880" s="24">
        <f t="shared" si="1772"/>
        <v>13551</v>
      </c>
      <c r="R880" s="24">
        <f t="shared" si="1772"/>
        <v>2062.75</v>
      </c>
      <c r="S880" s="24">
        <f t="shared" si="1772"/>
        <v>2091.5</v>
      </c>
      <c r="T880" s="24">
        <f t="shared" si="4"/>
        <v>29</v>
      </c>
      <c r="Z880" s="25">
        <f t="shared" si="12"/>
        <v>14235.95927</v>
      </c>
    </row>
    <row r="881">
      <c r="A881" s="16" t="s">
        <v>35</v>
      </c>
      <c r="B881" s="17">
        <v>280.0</v>
      </c>
      <c r="C881" s="24">
        <f t="shared" si="1214"/>
        <v>285681741.7</v>
      </c>
      <c r="D881" s="25">
        <v>0.05</v>
      </c>
      <c r="E881" s="24">
        <f t="shared" si="1215"/>
        <v>11289.12899</v>
      </c>
      <c r="F881" s="25">
        <v>0.02</v>
      </c>
      <c r="G881" s="24">
        <f t="shared" si="1216"/>
        <v>36730509.64</v>
      </c>
      <c r="H881" s="25">
        <v>0.05</v>
      </c>
      <c r="I881" s="24">
        <f t="shared" si="1217"/>
        <v>0</v>
      </c>
      <c r="J881" s="25">
        <v>0.02</v>
      </c>
      <c r="K881" s="25">
        <v>0.0</v>
      </c>
      <c r="L881" s="24">
        <f t="shared" si="1614"/>
        <v>314777</v>
      </c>
      <c r="M881" s="24">
        <f t="shared" ref="M881:O881" si="1773">IF(M880="", "", 1 + MROUND(IFERROR(MINIFS(OFFSET(M880, -1, 0, -$B881, 1), OFFSET(M880, -1, 0, -$B881, 1), "&gt;0"), M880) + (LN(1 + $Z881) ^ V$2) * V$3, 1))</f>
        <v>54302</v>
      </c>
      <c r="N881" s="24">
        <f t="shared" si="1773"/>
        <v>8301</v>
      </c>
      <c r="O881" s="24">
        <f t="shared" si="1773"/>
        <v>8416</v>
      </c>
      <c r="P881" s="24">
        <f t="shared" ref="P881:S881" si="1774">L881*$Y$2</f>
        <v>78694.25</v>
      </c>
      <c r="Q881" s="24">
        <f t="shared" si="1774"/>
        <v>13575.5</v>
      </c>
      <c r="R881" s="24">
        <f t="shared" si="1774"/>
        <v>2075.25</v>
      </c>
      <c r="S881" s="24">
        <f t="shared" si="1774"/>
        <v>2104</v>
      </c>
      <c r="T881" s="24">
        <f t="shared" si="4"/>
        <v>29</v>
      </c>
      <c r="Z881" s="25">
        <f t="shared" si="12"/>
        <v>14734.25284</v>
      </c>
    </row>
    <row r="882">
      <c r="A882" s="16" t="s">
        <v>35</v>
      </c>
      <c r="B882" s="17">
        <v>281.0</v>
      </c>
      <c r="C882" s="24">
        <f t="shared" si="1214"/>
        <v>299965828.7</v>
      </c>
      <c r="D882" s="25">
        <v>0.05</v>
      </c>
      <c r="E882" s="24">
        <f t="shared" si="1215"/>
        <v>11514.91157</v>
      </c>
      <c r="F882" s="25">
        <v>0.02</v>
      </c>
      <c r="G882" s="24">
        <f t="shared" si="1216"/>
        <v>38567035.12</v>
      </c>
      <c r="H882" s="25">
        <v>0.05</v>
      </c>
      <c r="I882" s="24">
        <f t="shared" si="1217"/>
        <v>0</v>
      </c>
      <c r="J882" s="25">
        <v>0.02</v>
      </c>
      <c r="K882" s="25">
        <v>0.0</v>
      </c>
      <c r="L882" s="24">
        <f t="shared" si="1614"/>
        <v>315999</v>
      </c>
      <c r="M882" s="24">
        <f t="shared" ref="M882:O882" si="1775">IF(M881="", "", 1 + MROUND(IFERROR(MINIFS(OFFSET(M881, -1, 0, -$B882, 1), OFFSET(M881, -1, 0, -$B882, 1), "&gt;0"), M881) + (LN(1 + $Z882) ^ V$2) * V$3, 1))</f>
        <v>54401</v>
      </c>
      <c r="N882" s="24">
        <f t="shared" si="1775"/>
        <v>8351</v>
      </c>
      <c r="O882" s="24">
        <f t="shared" si="1775"/>
        <v>8466</v>
      </c>
      <c r="P882" s="24">
        <f t="shared" ref="P882:S882" si="1776">L882*$Y$2</f>
        <v>78999.75</v>
      </c>
      <c r="Q882" s="24">
        <f t="shared" si="1776"/>
        <v>13600.25</v>
      </c>
      <c r="R882" s="24">
        <f t="shared" si="1776"/>
        <v>2087.75</v>
      </c>
      <c r="S882" s="24">
        <f t="shared" si="1776"/>
        <v>2116.5</v>
      </c>
      <c r="T882" s="24">
        <f t="shared" si="4"/>
        <v>29</v>
      </c>
      <c r="Z882" s="25">
        <f t="shared" si="12"/>
        <v>15249.98669</v>
      </c>
    </row>
    <row r="883">
      <c r="A883" s="16" t="s">
        <v>35</v>
      </c>
      <c r="B883" s="17">
        <v>282.0</v>
      </c>
      <c r="C883" s="24">
        <f t="shared" si="1214"/>
        <v>314964120.2</v>
      </c>
      <c r="D883" s="25">
        <v>0.05</v>
      </c>
      <c r="E883" s="24">
        <f t="shared" si="1215"/>
        <v>11745.2098</v>
      </c>
      <c r="F883" s="25">
        <v>0.02</v>
      </c>
      <c r="G883" s="24">
        <f t="shared" si="1216"/>
        <v>40495386.88</v>
      </c>
      <c r="H883" s="25">
        <v>0.05</v>
      </c>
      <c r="I883" s="24">
        <f t="shared" si="1217"/>
        <v>0</v>
      </c>
      <c r="J883" s="25">
        <v>0.02</v>
      </c>
      <c r="K883" s="25">
        <v>0.0</v>
      </c>
      <c r="L883" s="24">
        <f t="shared" si="1614"/>
        <v>317224</v>
      </c>
      <c r="M883" s="24">
        <f t="shared" ref="M883:O883" si="1777">IF(M882="", "", 1 + MROUND(IFERROR(MINIFS(OFFSET(M882, -1, 0, -$B883, 1), OFFSET(M882, -1, 0, -$B883, 1), "&gt;0"), M882) + (LN(1 + $Z883) ^ V$2) * V$3, 1))</f>
        <v>54500</v>
      </c>
      <c r="N883" s="24">
        <f t="shared" si="1777"/>
        <v>8401</v>
      </c>
      <c r="O883" s="24">
        <f t="shared" si="1777"/>
        <v>8516</v>
      </c>
      <c r="P883" s="24">
        <f t="shared" ref="P883:S883" si="1778">L883*$Y$2</f>
        <v>79306</v>
      </c>
      <c r="Q883" s="24">
        <f t="shared" si="1778"/>
        <v>13625</v>
      </c>
      <c r="R883" s="24">
        <f t="shared" si="1778"/>
        <v>2100.25</v>
      </c>
      <c r="S883" s="24">
        <f t="shared" si="1778"/>
        <v>2129</v>
      </c>
      <c r="T883" s="24">
        <f t="shared" si="4"/>
        <v>29</v>
      </c>
      <c r="Z883" s="25">
        <f t="shared" si="12"/>
        <v>15783.77122</v>
      </c>
    </row>
    <row r="884">
      <c r="A884" s="16" t="s">
        <v>35</v>
      </c>
      <c r="B884" s="17">
        <v>283.0</v>
      </c>
      <c r="C884" s="24">
        <f t="shared" si="1214"/>
        <v>330712326.2</v>
      </c>
      <c r="D884" s="25">
        <v>0.05</v>
      </c>
      <c r="E884" s="24">
        <f t="shared" si="1215"/>
        <v>11980.114</v>
      </c>
      <c r="F884" s="25">
        <v>0.02</v>
      </c>
      <c r="G884" s="24">
        <f t="shared" si="1216"/>
        <v>42520156.22</v>
      </c>
      <c r="H884" s="25">
        <v>0.05</v>
      </c>
      <c r="I884" s="24">
        <f t="shared" si="1217"/>
        <v>0</v>
      </c>
      <c r="J884" s="25">
        <v>0.02</v>
      </c>
      <c r="K884" s="25">
        <v>0.0</v>
      </c>
      <c r="L884" s="24">
        <f t="shared" si="1614"/>
        <v>318452</v>
      </c>
      <c r="M884" s="24">
        <f t="shared" ref="M884:O884" si="1779">IF(M883="", "", 1 + MROUND(IFERROR(MINIFS(OFFSET(M883, -1, 0, -$B884, 1), OFFSET(M883, -1, 0, -$B884, 1), "&gt;0"), M883) + (LN(1 + $Z884) ^ V$2) * V$3, 1))</f>
        <v>54599</v>
      </c>
      <c r="N884" s="24">
        <f t="shared" si="1779"/>
        <v>8451</v>
      </c>
      <c r="O884" s="24">
        <f t="shared" si="1779"/>
        <v>8566</v>
      </c>
      <c r="P884" s="24">
        <f t="shared" ref="P884:S884" si="1780">L884*$Y$2</f>
        <v>79613</v>
      </c>
      <c r="Q884" s="24">
        <f t="shared" si="1780"/>
        <v>13649.75</v>
      </c>
      <c r="R884" s="24">
        <f t="shared" si="1780"/>
        <v>2112.75</v>
      </c>
      <c r="S884" s="24">
        <f t="shared" si="1780"/>
        <v>2141.5</v>
      </c>
      <c r="T884" s="24">
        <f t="shared" si="4"/>
        <v>29</v>
      </c>
      <c r="Z884" s="25">
        <f t="shared" si="12"/>
        <v>16336.23822</v>
      </c>
    </row>
    <row r="885">
      <c r="A885" s="16" t="s">
        <v>35</v>
      </c>
      <c r="B885" s="17">
        <v>284.0</v>
      </c>
      <c r="C885" s="24">
        <f t="shared" si="1214"/>
        <v>347247942.5</v>
      </c>
      <c r="D885" s="25">
        <v>0.05</v>
      </c>
      <c r="E885" s="24">
        <f t="shared" si="1215"/>
        <v>12219.71628</v>
      </c>
      <c r="F885" s="25">
        <v>0.02</v>
      </c>
      <c r="G885" s="24">
        <f t="shared" si="1216"/>
        <v>44646164.03</v>
      </c>
      <c r="H885" s="25">
        <v>0.05</v>
      </c>
      <c r="I885" s="24">
        <f t="shared" si="1217"/>
        <v>0</v>
      </c>
      <c r="J885" s="25">
        <v>0.02</v>
      </c>
      <c r="K885" s="25">
        <v>0.0</v>
      </c>
      <c r="L885" s="24">
        <f t="shared" si="1614"/>
        <v>319683</v>
      </c>
      <c r="M885" s="24">
        <f t="shared" ref="M885:O885" si="1781">IF(M884="", "", 1 + MROUND(IFERROR(MINIFS(OFFSET(M884, -1, 0, -$B885, 1), OFFSET(M884, -1, 0, -$B885, 1), "&gt;0"), M884) + (LN(1 + $Z885) ^ V$2) * V$3, 1))</f>
        <v>54698</v>
      </c>
      <c r="N885" s="24">
        <f t="shared" si="1781"/>
        <v>8501</v>
      </c>
      <c r="O885" s="24">
        <f t="shared" si="1781"/>
        <v>8616</v>
      </c>
      <c r="P885" s="24">
        <f t="shared" ref="P885:S885" si="1782">L885*$Y$2</f>
        <v>79920.75</v>
      </c>
      <c r="Q885" s="24">
        <f t="shared" si="1782"/>
        <v>13674.5</v>
      </c>
      <c r="R885" s="24">
        <f t="shared" si="1782"/>
        <v>2125.25</v>
      </c>
      <c r="S885" s="24">
        <f t="shared" si="1782"/>
        <v>2154</v>
      </c>
      <c r="T885" s="24">
        <f t="shared" si="4"/>
        <v>29</v>
      </c>
      <c r="Z885" s="25">
        <f t="shared" si="12"/>
        <v>16908.04155</v>
      </c>
    </row>
    <row r="886">
      <c r="A886" s="16" t="s">
        <v>35</v>
      </c>
      <c r="B886" s="17">
        <v>285.0</v>
      </c>
      <c r="C886" s="24">
        <f t="shared" si="1214"/>
        <v>364610339.6</v>
      </c>
      <c r="D886" s="25">
        <v>0.05</v>
      </c>
      <c r="E886" s="24">
        <f t="shared" si="1215"/>
        <v>12464.1106</v>
      </c>
      <c r="F886" s="25">
        <v>0.02</v>
      </c>
      <c r="G886" s="24">
        <f t="shared" si="1216"/>
        <v>46878472.24</v>
      </c>
      <c r="H886" s="25">
        <v>0.05</v>
      </c>
      <c r="I886" s="24">
        <f t="shared" si="1217"/>
        <v>0</v>
      </c>
      <c r="J886" s="25">
        <v>0.02</v>
      </c>
      <c r="K886" s="25">
        <v>0.0</v>
      </c>
      <c r="L886" s="24">
        <f t="shared" si="1614"/>
        <v>320917</v>
      </c>
      <c r="M886" s="24">
        <f t="shared" ref="M886:O886" si="1783">IF(M885="", "", 1 + MROUND(IFERROR(MINIFS(OFFSET(M885, -1, 0, -$B886, 1), OFFSET(M885, -1, 0, -$B886, 1), "&gt;0"), M885) + (LN(1 + $Z886) ^ V$2) * V$3, 1))</f>
        <v>54798</v>
      </c>
      <c r="N886" s="24">
        <f t="shared" si="1783"/>
        <v>8551</v>
      </c>
      <c r="O886" s="24">
        <f t="shared" si="1783"/>
        <v>8666</v>
      </c>
      <c r="P886" s="24">
        <f t="shared" ref="P886:S886" si="1784">L886*$Y$2</f>
        <v>80229.25</v>
      </c>
      <c r="Q886" s="24">
        <f t="shared" si="1784"/>
        <v>13699.5</v>
      </c>
      <c r="R886" s="24">
        <f t="shared" si="1784"/>
        <v>2137.75</v>
      </c>
      <c r="S886" s="24">
        <f t="shared" si="1784"/>
        <v>2166.5</v>
      </c>
      <c r="T886" s="24">
        <f t="shared" si="4"/>
        <v>30</v>
      </c>
      <c r="Z886" s="25">
        <f t="shared" si="12"/>
        <v>17499.85801</v>
      </c>
    </row>
    <row r="887">
      <c r="A887" s="16" t="s">
        <v>35</v>
      </c>
      <c r="B887" s="17">
        <v>286.0</v>
      </c>
      <c r="C887" s="24">
        <f t="shared" si="1214"/>
        <v>382840856.6</v>
      </c>
      <c r="D887" s="25">
        <v>0.05</v>
      </c>
      <c r="E887" s="24">
        <f t="shared" si="1215"/>
        <v>12713.39282</v>
      </c>
      <c r="F887" s="25">
        <v>0.02</v>
      </c>
      <c r="G887" s="24">
        <f t="shared" si="1216"/>
        <v>49222395.85</v>
      </c>
      <c r="H887" s="25">
        <v>0.05</v>
      </c>
      <c r="I887" s="24">
        <f t="shared" si="1217"/>
        <v>0</v>
      </c>
      <c r="J887" s="25">
        <v>0.02</v>
      </c>
      <c r="K887" s="25">
        <v>0.0</v>
      </c>
      <c r="L887" s="24">
        <f t="shared" si="1614"/>
        <v>322154</v>
      </c>
      <c r="M887" s="24">
        <f t="shared" ref="M887:O887" si="1785">IF(M886="", "", 1 + MROUND(IFERROR(MINIFS(OFFSET(M886, -1, 0, -$B887, 1), OFFSET(M886, -1, 0, -$B887, 1), "&gt;0"), M886) + (LN(1 + $Z887) ^ V$2) * V$3, 1))</f>
        <v>54898</v>
      </c>
      <c r="N887" s="24">
        <f t="shared" si="1785"/>
        <v>8601</v>
      </c>
      <c r="O887" s="24">
        <f t="shared" si="1785"/>
        <v>8716</v>
      </c>
      <c r="P887" s="24">
        <f t="shared" ref="P887:S887" si="1786">L887*$Y$2</f>
        <v>80538.5</v>
      </c>
      <c r="Q887" s="24">
        <f t="shared" si="1786"/>
        <v>13724.5</v>
      </c>
      <c r="R887" s="24">
        <f t="shared" si="1786"/>
        <v>2150.25</v>
      </c>
      <c r="S887" s="24">
        <f t="shared" si="1786"/>
        <v>2179</v>
      </c>
      <c r="T887" s="24">
        <f t="shared" si="4"/>
        <v>30</v>
      </c>
      <c r="Z887" s="25">
        <f t="shared" si="12"/>
        <v>18112.38804</v>
      </c>
    </row>
    <row r="888">
      <c r="A888" s="16" t="s">
        <v>35</v>
      </c>
      <c r="B888" s="17">
        <v>287.0</v>
      </c>
      <c r="C888" s="24">
        <f t="shared" si="1214"/>
        <v>401982899.4</v>
      </c>
      <c r="D888" s="25">
        <v>0.05</v>
      </c>
      <c r="E888" s="24">
        <f t="shared" si="1215"/>
        <v>12967.66067</v>
      </c>
      <c r="F888" s="25">
        <v>0.02</v>
      </c>
      <c r="G888" s="24">
        <f t="shared" si="1216"/>
        <v>51683515.64</v>
      </c>
      <c r="H888" s="25">
        <v>0.05</v>
      </c>
      <c r="I888" s="24">
        <f t="shared" si="1217"/>
        <v>0</v>
      </c>
      <c r="J888" s="25">
        <v>0.02</v>
      </c>
      <c r="K888" s="25">
        <v>0.0</v>
      </c>
      <c r="L888" s="24">
        <f t="shared" si="1614"/>
        <v>323394</v>
      </c>
      <c r="M888" s="24">
        <f t="shared" ref="M888:O888" si="1787">IF(M887="", "", 1 + MROUND(IFERROR(MINIFS(OFFSET(M887, -1, 0, -$B888, 1), OFFSET(M887, -1, 0, -$B888, 1), "&gt;0"), M887) + (LN(1 + $Z888) ^ V$2) * V$3, 1))</f>
        <v>54998</v>
      </c>
      <c r="N888" s="24">
        <f t="shared" si="1787"/>
        <v>8652</v>
      </c>
      <c r="O888" s="24">
        <f t="shared" si="1787"/>
        <v>8767</v>
      </c>
      <c r="P888" s="24">
        <f t="shared" ref="P888:S888" si="1788">L888*$Y$2</f>
        <v>80848.5</v>
      </c>
      <c r="Q888" s="24">
        <f t="shared" si="1788"/>
        <v>13749.5</v>
      </c>
      <c r="R888" s="24">
        <f t="shared" si="1788"/>
        <v>2163</v>
      </c>
      <c r="S888" s="24">
        <f t="shared" si="1788"/>
        <v>2191.75</v>
      </c>
      <c r="T888" s="24">
        <f t="shared" si="4"/>
        <v>30</v>
      </c>
      <c r="Z888" s="25">
        <f t="shared" si="12"/>
        <v>18746.35662</v>
      </c>
    </row>
    <row r="889">
      <c r="A889" s="16" t="s">
        <v>35</v>
      </c>
      <c r="B889" s="17">
        <v>288.0</v>
      </c>
      <c r="C889" s="24">
        <f t="shared" si="1214"/>
        <v>422082044.4</v>
      </c>
      <c r="D889" s="25">
        <v>0.05</v>
      </c>
      <c r="E889" s="24">
        <f t="shared" si="1215"/>
        <v>13227.01389</v>
      </c>
      <c r="F889" s="25">
        <v>0.02</v>
      </c>
      <c r="G889" s="24">
        <f t="shared" si="1216"/>
        <v>54267691.42</v>
      </c>
      <c r="H889" s="25">
        <v>0.05</v>
      </c>
      <c r="I889" s="24">
        <f t="shared" si="1217"/>
        <v>0</v>
      </c>
      <c r="J889" s="25">
        <v>0.02</v>
      </c>
      <c r="K889" s="25">
        <v>0.0</v>
      </c>
      <c r="L889" s="24">
        <f t="shared" si="1614"/>
        <v>324637</v>
      </c>
      <c r="M889" s="24">
        <f t="shared" ref="M889:O889" si="1789">IF(M888="", "", 1 + MROUND(IFERROR(MINIFS(OFFSET(M888, -1, 0, -$B889, 1), OFFSET(M888, -1, 0, -$B889, 1), "&gt;0"), M888) + (LN(1 + $Z889) ^ V$2) * V$3, 1))</f>
        <v>55098</v>
      </c>
      <c r="N889" s="24">
        <f t="shared" si="1789"/>
        <v>8703</v>
      </c>
      <c r="O889" s="24">
        <f t="shared" si="1789"/>
        <v>8818</v>
      </c>
      <c r="P889" s="24">
        <f t="shared" ref="P889:S889" si="1790">L889*$Y$2</f>
        <v>81159.25</v>
      </c>
      <c r="Q889" s="24">
        <f t="shared" si="1790"/>
        <v>13774.5</v>
      </c>
      <c r="R889" s="24">
        <f t="shared" si="1790"/>
        <v>2175.75</v>
      </c>
      <c r="S889" s="24">
        <f t="shared" si="1790"/>
        <v>2204.5</v>
      </c>
      <c r="T889" s="24">
        <f t="shared" si="4"/>
        <v>30</v>
      </c>
      <c r="Z889" s="25">
        <f t="shared" si="12"/>
        <v>19402.5141</v>
      </c>
    </row>
    <row r="890">
      <c r="A890" s="16" t="s">
        <v>35</v>
      </c>
      <c r="B890" s="17">
        <v>289.0</v>
      </c>
      <c r="C890" s="24">
        <f t="shared" si="1214"/>
        <v>443186146.6</v>
      </c>
      <c r="D890" s="25">
        <v>0.05</v>
      </c>
      <c r="E890" s="24">
        <f t="shared" si="1215"/>
        <v>13491.55416</v>
      </c>
      <c r="F890" s="25">
        <v>0.02</v>
      </c>
      <c r="G890" s="24">
        <f t="shared" si="1216"/>
        <v>56981075.99</v>
      </c>
      <c r="H890" s="25">
        <v>0.05</v>
      </c>
      <c r="I890" s="24">
        <f t="shared" si="1217"/>
        <v>0</v>
      </c>
      <c r="J890" s="25">
        <v>0.02</v>
      </c>
      <c r="K890" s="25">
        <v>0.0</v>
      </c>
      <c r="L890" s="24">
        <f t="shared" si="1614"/>
        <v>325883</v>
      </c>
      <c r="M890" s="24">
        <f t="shared" ref="M890:O890" si="1791">IF(M889="", "", 1 + MROUND(IFERROR(MINIFS(OFFSET(M889, -1, 0, -$B890, 1), OFFSET(M889, -1, 0, -$B890, 1), "&gt;0"), M889) + (LN(1 + $Z890) ^ V$2) * V$3, 1))</f>
        <v>55199</v>
      </c>
      <c r="N890" s="24">
        <f t="shared" si="1791"/>
        <v>8754</v>
      </c>
      <c r="O890" s="24">
        <f t="shared" si="1791"/>
        <v>8869</v>
      </c>
      <c r="P890" s="24">
        <f t="shared" ref="P890:S890" si="1792">L890*$Y$2</f>
        <v>81470.75</v>
      </c>
      <c r="Q890" s="24">
        <f t="shared" si="1792"/>
        <v>13799.75</v>
      </c>
      <c r="R890" s="24">
        <f t="shared" si="1792"/>
        <v>2188.5</v>
      </c>
      <c r="S890" s="24">
        <f t="shared" si="1792"/>
        <v>2217.25</v>
      </c>
      <c r="T890" s="24">
        <f t="shared" si="4"/>
        <v>30</v>
      </c>
      <c r="Z890" s="25">
        <f t="shared" si="12"/>
        <v>20081.63709</v>
      </c>
    </row>
    <row r="891">
      <c r="A891" s="16" t="s">
        <v>35</v>
      </c>
      <c r="B891" s="17">
        <v>290.0</v>
      </c>
      <c r="C891" s="24">
        <f t="shared" si="1214"/>
        <v>465345453.9</v>
      </c>
      <c r="D891" s="25">
        <v>0.05</v>
      </c>
      <c r="E891" s="24">
        <f t="shared" si="1215"/>
        <v>13761.38525</v>
      </c>
      <c r="F891" s="25">
        <v>0.02</v>
      </c>
      <c r="G891" s="24">
        <f t="shared" si="1216"/>
        <v>59830129.79</v>
      </c>
      <c r="H891" s="25">
        <v>0.05</v>
      </c>
      <c r="I891" s="24">
        <f t="shared" si="1217"/>
        <v>0</v>
      </c>
      <c r="J891" s="25">
        <v>0.02</v>
      </c>
      <c r="K891" s="25">
        <v>0.0</v>
      </c>
      <c r="L891" s="24">
        <f t="shared" si="1614"/>
        <v>327132</v>
      </c>
      <c r="M891" s="24">
        <f t="shared" ref="M891:O891" si="1793">IF(M890="", "", 1 + MROUND(IFERROR(MINIFS(OFFSET(M890, -1, 0, -$B891, 1), OFFSET(M890, -1, 0, -$B891, 1), "&gt;0"), M890) + (LN(1 + $Z891) ^ V$2) * V$3, 1))</f>
        <v>55300</v>
      </c>
      <c r="N891" s="24">
        <f t="shared" si="1793"/>
        <v>8805</v>
      </c>
      <c r="O891" s="24">
        <f t="shared" si="1793"/>
        <v>8920</v>
      </c>
      <c r="P891" s="24">
        <f t="shared" ref="P891:S891" si="1794">L891*$Y$2</f>
        <v>81783</v>
      </c>
      <c r="Q891" s="24">
        <f t="shared" si="1794"/>
        <v>13825</v>
      </c>
      <c r="R891" s="24">
        <f t="shared" si="1794"/>
        <v>2201.25</v>
      </c>
      <c r="S891" s="24">
        <f t="shared" si="1794"/>
        <v>2230</v>
      </c>
      <c r="T891" s="24">
        <f t="shared" si="4"/>
        <v>30</v>
      </c>
      <c r="Z891" s="25">
        <f t="shared" si="12"/>
        <v>20784.52939</v>
      </c>
    </row>
    <row r="892">
      <c r="A892" s="16" t="s">
        <v>35</v>
      </c>
      <c r="B892" s="17">
        <v>291.0</v>
      </c>
      <c r="C892" s="24">
        <f t="shared" si="1214"/>
        <v>488612726.6</v>
      </c>
      <c r="D892" s="25">
        <v>0.05</v>
      </c>
      <c r="E892" s="24">
        <f t="shared" si="1215"/>
        <v>14036.61295</v>
      </c>
      <c r="F892" s="25">
        <v>0.02</v>
      </c>
      <c r="G892" s="24">
        <f t="shared" si="1216"/>
        <v>62821636.28</v>
      </c>
      <c r="H892" s="25">
        <v>0.05</v>
      </c>
      <c r="I892" s="24">
        <f t="shared" si="1217"/>
        <v>0</v>
      </c>
      <c r="J892" s="25">
        <v>0.02</v>
      </c>
      <c r="K892" s="25">
        <v>0.0</v>
      </c>
      <c r="L892" s="24">
        <f t="shared" si="1614"/>
        <v>328384</v>
      </c>
      <c r="M892" s="24">
        <f t="shared" ref="M892:O892" si="1795">IF(M891="", "", 1 + MROUND(IFERROR(MINIFS(OFFSET(M891, -1, 0, -$B892, 1), OFFSET(M891, -1, 0, -$B892, 1), "&gt;0"), M891) + (LN(1 + $Z892) ^ V$2) * V$3, 1))</f>
        <v>55401</v>
      </c>
      <c r="N892" s="24">
        <f t="shared" si="1795"/>
        <v>8856</v>
      </c>
      <c r="O892" s="24">
        <f t="shared" si="1795"/>
        <v>8971</v>
      </c>
      <c r="P892" s="24">
        <f t="shared" ref="P892:S892" si="1796">L892*$Y$2</f>
        <v>82096</v>
      </c>
      <c r="Q892" s="24">
        <f t="shared" si="1796"/>
        <v>13850.25</v>
      </c>
      <c r="R892" s="24">
        <f t="shared" si="1796"/>
        <v>2214</v>
      </c>
      <c r="S892" s="24">
        <f t="shared" si="1796"/>
        <v>2242.75</v>
      </c>
      <c r="T892" s="24">
        <f t="shared" si="4"/>
        <v>30</v>
      </c>
      <c r="Z892" s="25">
        <f t="shared" si="12"/>
        <v>21512.02292</v>
      </c>
    </row>
    <row r="893">
      <c r="A893" s="16" t="s">
        <v>35</v>
      </c>
      <c r="B893" s="17">
        <v>292.0</v>
      </c>
      <c r="C893" s="24">
        <f t="shared" si="1214"/>
        <v>513043363</v>
      </c>
      <c r="D893" s="25">
        <v>0.05</v>
      </c>
      <c r="E893" s="24">
        <f t="shared" si="1215"/>
        <v>14317.34521</v>
      </c>
      <c r="F893" s="25">
        <v>0.02</v>
      </c>
      <c r="G893" s="24">
        <f t="shared" si="1216"/>
        <v>65962718.1</v>
      </c>
      <c r="H893" s="25">
        <v>0.05</v>
      </c>
      <c r="I893" s="24">
        <f t="shared" si="1217"/>
        <v>0</v>
      </c>
      <c r="J893" s="25">
        <v>0.02</v>
      </c>
      <c r="K893" s="25">
        <v>0.0</v>
      </c>
      <c r="L893" s="24">
        <f t="shared" si="1614"/>
        <v>329639</v>
      </c>
      <c r="M893" s="24">
        <f t="shared" ref="M893:O893" si="1797">IF(M892="", "", 1 + MROUND(IFERROR(MINIFS(OFFSET(M892, -1, 0, -$B893, 1), OFFSET(M892, -1, 0, -$B893, 1), "&gt;0"), M892) + (LN(1 + $Z893) ^ V$2) * V$3, 1))</f>
        <v>55502</v>
      </c>
      <c r="N893" s="24">
        <f t="shared" si="1797"/>
        <v>8907</v>
      </c>
      <c r="O893" s="24">
        <f t="shared" si="1797"/>
        <v>9022</v>
      </c>
      <c r="P893" s="24">
        <f t="shared" ref="P893:S893" si="1798">L893*$Y$2</f>
        <v>82409.75</v>
      </c>
      <c r="Q893" s="24">
        <f t="shared" si="1798"/>
        <v>13875.5</v>
      </c>
      <c r="R893" s="24">
        <f t="shared" si="1798"/>
        <v>2226.75</v>
      </c>
      <c r="S893" s="24">
        <f t="shared" si="1798"/>
        <v>2255.5</v>
      </c>
      <c r="T893" s="24">
        <f t="shared" si="4"/>
        <v>30</v>
      </c>
      <c r="Z893" s="25">
        <f t="shared" si="12"/>
        <v>22264.97872</v>
      </c>
    </row>
    <row r="894">
      <c r="A894" s="16" t="s">
        <v>35</v>
      </c>
      <c r="B894" s="17">
        <v>293.0</v>
      </c>
      <c r="C894" s="24">
        <f t="shared" si="1214"/>
        <v>538695531.1</v>
      </c>
      <c r="D894" s="25">
        <v>0.05</v>
      </c>
      <c r="E894" s="24">
        <f t="shared" si="1215"/>
        <v>14603.69211</v>
      </c>
      <c r="F894" s="25">
        <v>0.02</v>
      </c>
      <c r="G894" s="24">
        <f t="shared" si="1216"/>
        <v>69260854</v>
      </c>
      <c r="H894" s="25">
        <v>0.05</v>
      </c>
      <c r="I894" s="24">
        <f t="shared" si="1217"/>
        <v>0</v>
      </c>
      <c r="J894" s="25">
        <v>0.02</v>
      </c>
      <c r="K894" s="25">
        <v>0.0</v>
      </c>
      <c r="L894" s="24">
        <f t="shared" si="1614"/>
        <v>330897</v>
      </c>
      <c r="M894" s="24">
        <f t="shared" ref="M894:O894" si="1799">IF(M893="", "", 1 + MROUND(IFERROR(MINIFS(OFFSET(M893, -1, 0, -$B894, 1), OFFSET(M893, -1, 0, -$B894, 1), "&gt;0"), M893) + (LN(1 + $Z894) ^ V$2) * V$3, 1))</f>
        <v>55604</v>
      </c>
      <c r="N894" s="24">
        <f t="shared" si="1799"/>
        <v>8958</v>
      </c>
      <c r="O894" s="24">
        <f t="shared" si="1799"/>
        <v>9073</v>
      </c>
      <c r="P894" s="24">
        <f t="shared" ref="P894:S894" si="1800">L894*$Y$2</f>
        <v>82724.25</v>
      </c>
      <c r="Q894" s="24">
        <f t="shared" si="1800"/>
        <v>13901</v>
      </c>
      <c r="R894" s="24">
        <f t="shared" si="1800"/>
        <v>2239.5</v>
      </c>
      <c r="S894" s="24">
        <f t="shared" si="1800"/>
        <v>2268.25</v>
      </c>
      <c r="T894" s="24">
        <f t="shared" si="4"/>
        <v>30</v>
      </c>
      <c r="Z894" s="25">
        <f t="shared" si="12"/>
        <v>23044.28798</v>
      </c>
    </row>
    <row r="895">
      <c r="A895" s="16" t="s">
        <v>35</v>
      </c>
      <c r="B895" s="17">
        <v>294.0</v>
      </c>
      <c r="C895" s="24">
        <f t="shared" si="1214"/>
        <v>565630307.7</v>
      </c>
      <c r="D895" s="25">
        <v>0.05</v>
      </c>
      <c r="E895" s="24">
        <f t="shared" si="1215"/>
        <v>14895.76596</v>
      </c>
      <c r="F895" s="25">
        <v>0.02</v>
      </c>
      <c r="G895" s="24">
        <f t="shared" si="1216"/>
        <v>72723896.7</v>
      </c>
      <c r="H895" s="25">
        <v>0.05</v>
      </c>
      <c r="I895" s="24">
        <f t="shared" si="1217"/>
        <v>0</v>
      </c>
      <c r="J895" s="25">
        <v>0.02</v>
      </c>
      <c r="K895" s="25">
        <v>0.0</v>
      </c>
      <c r="L895" s="24">
        <f t="shared" si="1614"/>
        <v>332158</v>
      </c>
      <c r="M895" s="24">
        <f t="shared" ref="M895:O895" si="1801">IF(M894="", "", 1 + MROUND(IFERROR(MINIFS(OFFSET(M894, -1, 0, -$B895, 1), OFFSET(M894, -1, 0, -$B895, 1), "&gt;0"), M894) + (LN(1 + $Z895) ^ V$2) * V$3, 1))</f>
        <v>55706</v>
      </c>
      <c r="N895" s="24">
        <f t="shared" si="1801"/>
        <v>9009</v>
      </c>
      <c r="O895" s="24">
        <f t="shared" si="1801"/>
        <v>9124</v>
      </c>
      <c r="P895" s="24">
        <f t="shared" ref="P895:S895" si="1802">L895*$Y$2</f>
        <v>83039.5</v>
      </c>
      <c r="Q895" s="24">
        <f t="shared" si="1802"/>
        <v>13926.5</v>
      </c>
      <c r="R895" s="24">
        <f t="shared" si="1802"/>
        <v>2252.25</v>
      </c>
      <c r="S895" s="24">
        <f t="shared" si="1802"/>
        <v>2281</v>
      </c>
      <c r="T895" s="24">
        <f t="shared" si="4"/>
        <v>30</v>
      </c>
      <c r="Z895" s="25">
        <f t="shared" si="12"/>
        <v>23850.87306</v>
      </c>
    </row>
    <row r="896">
      <c r="A896" s="16" t="s">
        <v>35</v>
      </c>
      <c r="B896" s="17">
        <v>295.0</v>
      </c>
      <c r="C896" s="24">
        <f t="shared" si="1214"/>
        <v>593911823.1</v>
      </c>
      <c r="D896" s="25">
        <v>0.05</v>
      </c>
      <c r="E896" s="24">
        <f t="shared" si="1215"/>
        <v>15193.68128</v>
      </c>
      <c r="F896" s="25">
        <v>0.02</v>
      </c>
      <c r="G896" s="24">
        <f t="shared" si="1216"/>
        <v>76360091.54</v>
      </c>
      <c r="H896" s="25">
        <v>0.05</v>
      </c>
      <c r="I896" s="24">
        <f t="shared" si="1217"/>
        <v>0</v>
      </c>
      <c r="J896" s="25">
        <v>0.02</v>
      </c>
      <c r="K896" s="25">
        <v>0.0</v>
      </c>
      <c r="L896" s="24">
        <f t="shared" si="1614"/>
        <v>333422</v>
      </c>
      <c r="M896" s="24">
        <f t="shared" ref="M896:O896" si="1803">IF(M895="", "", 1 + MROUND(IFERROR(MINIFS(OFFSET(M895, -1, 0, -$B896, 1), OFFSET(M895, -1, 0, -$B896, 1), "&gt;0"), M895) + (LN(1 + $Z896) ^ V$2) * V$3, 1))</f>
        <v>55808</v>
      </c>
      <c r="N896" s="24">
        <f t="shared" si="1803"/>
        <v>9061</v>
      </c>
      <c r="O896" s="24">
        <f t="shared" si="1803"/>
        <v>9176</v>
      </c>
      <c r="P896" s="24">
        <f t="shared" ref="P896:S896" si="1804">L896*$Y$2</f>
        <v>83355.5</v>
      </c>
      <c r="Q896" s="24">
        <f t="shared" si="1804"/>
        <v>13952</v>
      </c>
      <c r="R896" s="24">
        <f t="shared" si="1804"/>
        <v>2265.25</v>
      </c>
      <c r="S896" s="24">
        <f t="shared" si="1804"/>
        <v>2294</v>
      </c>
      <c r="T896" s="24">
        <f t="shared" si="4"/>
        <v>31</v>
      </c>
      <c r="Z896" s="25">
        <f t="shared" si="12"/>
        <v>24685.68862</v>
      </c>
    </row>
    <row r="897">
      <c r="A897" s="16" t="s">
        <v>35</v>
      </c>
      <c r="B897" s="17">
        <v>296.0</v>
      </c>
      <c r="C897" s="24">
        <f t="shared" si="1214"/>
        <v>623607414.2</v>
      </c>
      <c r="D897" s="25">
        <v>0.05</v>
      </c>
      <c r="E897" s="24">
        <f t="shared" si="1215"/>
        <v>15497.5549</v>
      </c>
      <c r="F897" s="25">
        <v>0.02</v>
      </c>
      <c r="G897" s="24">
        <f t="shared" si="1216"/>
        <v>80178096.11</v>
      </c>
      <c r="H897" s="25">
        <v>0.05</v>
      </c>
      <c r="I897" s="24">
        <f t="shared" si="1217"/>
        <v>0</v>
      </c>
      <c r="J897" s="25">
        <v>0.02</v>
      </c>
      <c r="K897" s="25">
        <v>0.0</v>
      </c>
      <c r="L897" s="24">
        <f t="shared" si="1614"/>
        <v>334689</v>
      </c>
      <c r="M897" s="24">
        <f t="shared" ref="M897:O897" si="1805">IF(M896="", "", 1 + MROUND(IFERROR(MINIFS(OFFSET(M896, -1, 0, -$B897, 1), OFFSET(M896, -1, 0, -$B897, 1), "&gt;0"), M896) + (LN(1 + $Z897) ^ V$2) * V$3, 1))</f>
        <v>55910</v>
      </c>
      <c r="N897" s="24">
        <f t="shared" si="1805"/>
        <v>9113</v>
      </c>
      <c r="O897" s="24">
        <f t="shared" si="1805"/>
        <v>9228</v>
      </c>
      <c r="P897" s="24">
        <f t="shared" ref="P897:S897" si="1806">L897*$Y$2</f>
        <v>83672.25</v>
      </c>
      <c r="Q897" s="24">
        <f t="shared" si="1806"/>
        <v>13977.5</v>
      </c>
      <c r="R897" s="24">
        <f t="shared" si="1806"/>
        <v>2278.25</v>
      </c>
      <c r="S897" s="24">
        <f t="shared" si="1806"/>
        <v>2307</v>
      </c>
      <c r="T897" s="24">
        <f t="shared" si="4"/>
        <v>31</v>
      </c>
      <c r="Z897" s="25">
        <f t="shared" si="12"/>
        <v>25549.72272</v>
      </c>
    </row>
    <row r="898">
      <c r="A898" s="16" t="s">
        <v>35</v>
      </c>
      <c r="B898" s="17">
        <v>297.0</v>
      </c>
      <c r="C898" s="24">
        <f t="shared" si="1214"/>
        <v>654787784.9</v>
      </c>
      <c r="D898" s="25">
        <v>0.05</v>
      </c>
      <c r="E898" s="24">
        <f t="shared" si="1215"/>
        <v>15807.506</v>
      </c>
      <c r="F898" s="25">
        <v>0.02</v>
      </c>
      <c r="G898" s="24">
        <f t="shared" si="1216"/>
        <v>84187000.92</v>
      </c>
      <c r="H898" s="25">
        <v>0.05</v>
      </c>
      <c r="I898" s="24">
        <f t="shared" si="1217"/>
        <v>0</v>
      </c>
      <c r="J898" s="25">
        <v>0.02</v>
      </c>
      <c r="K898" s="25">
        <v>0.0</v>
      </c>
      <c r="L898" s="24">
        <f t="shared" si="1614"/>
        <v>335959</v>
      </c>
      <c r="M898" s="24">
        <f t="shared" ref="M898:O898" si="1807">IF(M897="", "", 1 + MROUND(IFERROR(MINIFS(OFFSET(M897, -1, 0, -$B898, 1), OFFSET(M897, -1, 0, -$B898, 1), "&gt;0"), M897) + (LN(1 + $Z898) ^ V$2) * V$3, 1))</f>
        <v>56013</v>
      </c>
      <c r="N898" s="24">
        <f t="shared" si="1807"/>
        <v>9165</v>
      </c>
      <c r="O898" s="24">
        <f t="shared" si="1807"/>
        <v>9280</v>
      </c>
      <c r="P898" s="24">
        <f t="shared" ref="P898:S898" si="1808">L898*$Y$2</f>
        <v>83989.75</v>
      </c>
      <c r="Q898" s="24">
        <f t="shared" si="1808"/>
        <v>14003.25</v>
      </c>
      <c r="R898" s="24">
        <f t="shared" si="1808"/>
        <v>2291.25</v>
      </c>
      <c r="S898" s="24">
        <f t="shared" si="1808"/>
        <v>2320</v>
      </c>
      <c r="T898" s="24">
        <f t="shared" si="4"/>
        <v>31</v>
      </c>
      <c r="Z898" s="25">
        <f t="shared" si="12"/>
        <v>26443.99801</v>
      </c>
    </row>
    <row r="899">
      <c r="A899" s="16" t="s">
        <v>35</v>
      </c>
      <c r="B899" s="17">
        <v>298.0</v>
      </c>
      <c r="C899" s="24">
        <f t="shared" si="1214"/>
        <v>687527174.2</v>
      </c>
      <c r="D899" s="25">
        <v>0.05</v>
      </c>
      <c r="E899" s="24">
        <f t="shared" si="1215"/>
        <v>16123.65612</v>
      </c>
      <c r="F899" s="25">
        <v>0.02</v>
      </c>
      <c r="G899" s="24">
        <f t="shared" si="1216"/>
        <v>88396350.97</v>
      </c>
      <c r="H899" s="25">
        <v>0.05</v>
      </c>
      <c r="I899" s="24">
        <f t="shared" si="1217"/>
        <v>0</v>
      </c>
      <c r="J899" s="25">
        <v>0.02</v>
      </c>
      <c r="K899" s="25">
        <v>0.0</v>
      </c>
      <c r="L899" s="24">
        <f t="shared" si="1614"/>
        <v>337232</v>
      </c>
      <c r="M899" s="24">
        <f t="shared" ref="M899:O899" si="1809">IF(M898="", "", 1 + MROUND(IFERROR(MINIFS(OFFSET(M898, -1, 0, -$B899, 1), OFFSET(M898, -1, 0, -$B899, 1), "&gt;0"), M898) + (LN(1 + $Z899) ^ V$2) * V$3, 1))</f>
        <v>56116</v>
      </c>
      <c r="N899" s="24">
        <f t="shared" si="1809"/>
        <v>9217</v>
      </c>
      <c r="O899" s="24">
        <f t="shared" si="1809"/>
        <v>9332</v>
      </c>
      <c r="P899" s="24">
        <f t="shared" ref="P899:S899" si="1810">L899*$Y$2</f>
        <v>84308</v>
      </c>
      <c r="Q899" s="24">
        <f t="shared" si="1810"/>
        <v>14029</v>
      </c>
      <c r="R899" s="24">
        <f t="shared" si="1810"/>
        <v>2304.25</v>
      </c>
      <c r="S899" s="24">
        <f t="shared" si="1810"/>
        <v>2333</v>
      </c>
      <c r="T899" s="24">
        <f t="shared" si="4"/>
        <v>31</v>
      </c>
      <c r="Z899" s="25">
        <f t="shared" si="12"/>
        <v>27369.57294</v>
      </c>
    </row>
    <row r="900">
      <c r="A900" s="16" t="s">
        <v>35</v>
      </c>
      <c r="B900" s="17">
        <v>299.0</v>
      </c>
      <c r="C900" s="24">
        <f t="shared" si="1214"/>
        <v>721903532.9</v>
      </c>
      <c r="D900" s="25">
        <v>0.05</v>
      </c>
      <c r="E900" s="24">
        <f t="shared" si="1215"/>
        <v>16446.12924</v>
      </c>
      <c r="F900" s="25">
        <v>0.02</v>
      </c>
      <c r="G900" s="24">
        <f t="shared" si="1216"/>
        <v>92816168.51</v>
      </c>
      <c r="H900" s="25">
        <v>0.05</v>
      </c>
      <c r="I900" s="24">
        <f t="shared" si="1217"/>
        <v>0</v>
      </c>
      <c r="J900" s="25">
        <v>0.02</v>
      </c>
      <c r="K900" s="25">
        <v>0.0</v>
      </c>
      <c r="L900" s="24">
        <f t="shared" si="1614"/>
        <v>338508</v>
      </c>
      <c r="M900" s="24">
        <f t="shared" ref="M900:O900" si="1811">IF(M899="", "", 1 + MROUND(IFERROR(MINIFS(OFFSET(M899, -1, 0, -$B900, 1), OFFSET(M899, -1, 0, -$B900, 1), "&gt;0"), M899) + (LN(1 + $Z900) ^ V$2) * V$3, 1))</f>
        <v>56219</v>
      </c>
      <c r="N900" s="24">
        <f t="shared" si="1811"/>
        <v>9269</v>
      </c>
      <c r="O900" s="24">
        <f t="shared" si="1811"/>
        <v>9384</v>
      </c>
      <c r="P900" s="24">
        <f t="shared" ref="P900:S900" si="1812">L900*$Y$2</f>
        <v>84627</v>
      </c>
      <c r="Q900" s="24">
        <f t="shared" si="1812"/>
        <v>14054.75</v>
      </c>
      <c r="R900" s="24">
        <f t="shared" si="1812"/>
        <v>2317.25</v>
      </c>
      <c r="S900" s="24">
        <f t="shared" si="1812"/>
        <v>2346</v>
      </c>
      <c r="T900" s="24">
        <f t="shared" si="4"/>
        <v>31</v>
      </c>
      <c r="Z900" s="25">
        <f t="shared" si="12"/>
        <v>28327.543</v>
      </c>
    </row>
    <row r="901">
      <c r="A901" s="16" t="s">
        <v>35</v>
      </c>
      <c r="B901" s="17">
        <v>300.0</v>
      </c>
      <c r="C901" s="24">
        <f t="shared" si="1214"/>
        <v>757998709.5</v>
      </c>
      <c r="D901" s="25">
        <v>0.05</v>
      </c>
      <c r="E901" s="24">
        <f t="shared" si="1215"/>
        <v>16775.05183</v>
      </c>
      <c r="F901" s="25">
        <v>0.02</v>
      </c>
      <c r="G901" s="24">
        <f t="shared" si="1216"/>
        <v>97456976.94</v>
      </c>
      <c r="H901" s="25">
        <v>0.05</v>
      </c>
      <c r="I901" s="24">
        <f t="shared" si="1217"/>
        <v>0</v>
      </c>
      <c r="J901" s="25">
        <v>0.02</v>
      </c>
      <c r="K901" s="25">
        <v>0.0</v>
      </c>
      <c r="L901" s="24"/>
      <c r="M901" s="24">
        <f>IF(M900="", "", 1 + IFERROR(MINIFS(OFFSET(M901, -1, 0, -MIN(ROW()-2, $B901), 1), OFFSET(M901, -1, 0, -MIN(ROW()-2, $B901), 1), "&gt;0"), M900) + ROUND((M$2 * (LN(1 + $Z901) ^ V$2) * (V$3 / 100)), 0))</f>
        <v>56230</v>
      </c>
      <c r="N901" s="24">
        <f t="shared" ref="N901:O901" si="1813">IF(N900="", "", 1 + IFERROR(MINIFS(OFFSET(N901, -1, 0, -MIN(ROW()-2, $B901), 1), OFFSET(N901, -1, 0, -MIN(ROW()-2, $B901), 1), "&gt;0"), N900) + ROUND(IFERROR(MINIFS(OFFSET(N901, -1, 0, -MIN(ROW()-2, $B901), 1), OFFSET(N901, -1, 0, -MIN(ROW()-2, $B901), 1), "&gt;0"), N900) * ((LN(1 + $Z901) ^ W$2) * (W$3 / 1000)), 0))</f>
        <v>9744</v>
      </c>
      <c r="O901" s="24">
        <f t="shared" si="1813"/>
        <v>9865</v>
      </c>
      <c r="P901" s="24">
        <f t="shared" ref="P901:S901" si="1814">L901*$Y$2</f>
        <v>0</v>
      </c>
      <c r="Q901" s="24">
        <f t="shared" si="1814"/>
        <v>14057.5</v>
      </c>
      <c r="R901" s="24">
        <f t="shared" si="1814"/>
        <v>2436</v>
      </c>
      <c r="S901" s="24">
        <f t="shared" si="1814"/>
        <v>2466.25</v>
      </c>
      <c r="T901" s="24">
        <f t="shared" si="4"/>
        <v>31</v>
      </c>
      <c r="Z901" s="25">
        <f t="shared" si="12"/>
        <v>29319.042</v>
      </c>
    </row>
    <row r="902">
      <c r="A902" s="16" t="s">
        <v>3</v>
      </c>
      <c r="B902" s="17">
        <v>1.0</v>
      </c>
      <c r="C902" s="24">
        <v>280.0</v>
      </c>
      <c r="D902" s="25">
        <v>0.05</v>
      </c>
      <c r="E902" s="24">
        <v>12.0</v>
      </c>
      <c r="F902" s="25">
        <v>0.02</v>
      </c>
      <c r="G902" s="24">
        <v>40.0</v>
      </c>
      <c r="H902" s="25">
        <v>0.05</v>
      </c>
      <c r="I902" s="24">
        <v>10.0</v>
      </c>
      <c r="J902" s="25">
        <v>0.02</v>
      </c>
      <c r="K902" s="25">
        <v>0.1</v>
      </c>
      <c r="L902" s="24" t="str">
        <f t="shared" ref="L902:M902" si="1815">IF(L901="", "", 1 + IFERROR(MINIFS(OFFSET(L902, -1, 0, -MIN(ROW()-2, $B902), 1), OFFSET(L902, -1, 0, -MIN(ROW()-2, $B902), 1), "&gt;0"), L901) + ROUND((L$2 * (LN(1 + $Z902) ^ U$2) * (U$3 / 100)), 0))</f>
        <v/>
      </c>
      <c r="M902" s="24">
        <f t="shared" si="1815"/>
        <v>56231</v>
      </c>
      <c r="N902" s="24"/>
      <c r="O902" s="24"/>
      <c r="P902" s="24">
        <f t="shared" ref="P902:S902" si="1816">L902*$Y$2</f>
        <v>0</v>
      </c>
      <c r="Q902" s="24">
        <f t="shared" si="1816"/>
        <v>14057.75</v>
      </c>
      <c r="R902" s="24">
        <f t="shared" si="1816"/>
        <v>0</v>
      </c>
      <c r="S902" s="24">
        <f t="shared" si="1816"/>
        <v>0</v>
      </c>
      <c r="T902" s="24">
        <f t="shared" si="4"/>
        <v>1</v>
      </c>
      <c r="Z902" s="25">
        <f t="shared" si="12"/>
        <v>0</v>
      </c>
    </row>
    <row r="903">
      <c r="A903" s="16" t="s">
        <v>3</v>
      </c>
      <c r="B903" s="17">
        <v>2.0</v>
      </c>
      <c r="C903" s="24">
        <f t="shared" ref="C903:C1201" si="1820">C902+D902*C902</f>
        <v>294</v>
      </c>
      <c r="D903" s="25">
        <v>0.05</v>
      </c>
      <c r="E903" s="24">
        <f t="shared" ref="E903:E1201" si="1821">E902+F902*E902</f>
        <v>12.24</v>
      </c>
      <c r="F903" s="25">
        <v>0.02</v>
      </c>
      <c r="G903" s="24">
        <f t="shared" ref="G903:G1201" si="1822">G902+H902*G902</f>
        <v>42</v>
      </c>
      <c r="H903" s="25">
        <v>0.05</v>
      </c>
      <c r="I903" s="24">
        <f t="shared" ref="I903:I1201" si="1823">I902+J902*I902</f>
        <v>10.2</v>
      </c>
      <c r="J903" s="25">
        <v>0.02</v>
      </c>
      <c r="K903" s="25">
        <v>0.0</v>
      </c>
      <c r="L903" s="24" t="str">
        <f t="shared" ref="L903:M903" si="1817">IF(L902="", "", 1 + IFERROR(MINIFS(OFFSET(L903, -1, 0, -MIN(ROW()-2, $B903), 1), OFFSET(L903, -1, 0, -MIN(ROW()-2, $B903), 1), "&gt;0"), L902) + ROUND((L$2 * (LN(1 + $Z903) ^ U$2) * (U$3 / 100)), 0))</f>
        <v/>
      </c>
      <c r="M903" s="24">
        <f t="shared" si="1817"/>
        <v>56232</v>
      </c>
      <c r="N903" s="24" t="str">
        <f t="shared" ref="N903:O903" si="1818">IF(N902="", "", 1 + IFERROR(MINIFS(OFFSET(N903, -1, 0, -MIN(ROW()-2, $B903), 1), OFFSET(N903, -1, 0, -MIN(ROW()-2, $B903), 1), "&gt;0"), N902) + ROUND(IFERROR(MINIFS(OFFSET(N903, -1, 0, -MIN(ROW()-2, $B903), 1), OFFSET(N903, -1, 0, -MIN(ROW()-2, $B903), 1), "&gt;0"), N902) * ((LN(1 + $Z903) ^ W$2) * (W$3 / 1000)), 0))</f>
        <v/>
      </c>
      <c r="O903" s="24" t="str">
        <f t="shared" si="1818"/>
        <v/>
      </c>
      <c r="P903" s="24">
        <f t="shared" ref="P903:S903" si="1819">L903*$Y$2</f>
        <v>0</v>
      </c>
      <c r="Q903" s="24">
        <f t="shared" si="1819"/>
        <v>14058</v>
      </c>
      <c r="R903" s="24">
        <f t="shared" si="1819"/>
        <v>0</v>
      </c>
      <c r="S903" s="24">
        <f t="shared" si="1819"/>
        <v>0</v>
      </c>
      <c r="T903" s="24">
        <f t="shared" si="4"/>
        <v>1</v>
      </c>
      <c r="Z903" s="25">
        <f t="shared" si="12"/>
        <v>0.035</v>
      </c>
    </row>
    <row r="904">
      <c r="A904" s="16" t="s">
        <v>3</v>
      </c>
      <c r="B904" s="17">
        <v>3.0</v>
      </c>
      <c r="C904" s="24">
        <f t="shared" si="1820"/>
        <v>308.7</v>
      </c>
      <c r="D904" s="25">
        <v>0.05</v>
      </c>
      <c r="E904" s="24">
        <f t="shared" si="1821"/>
        <v>12.4848</v>
      </c>
      <c r="F904" s="25">
        <v>0.02</v>
      </c>
      <c r="G904" s="24">
        <f t="shared" si="1822"/>
        <v>44.1</v>
      </c>
      <c r="H904" s="25">
        <v>0.05</v>
      </c>
      <c r="I904" s="24">
        <f t="shared" si="1823"/>
        <v>10.404</v>
      </c>
      <c r="J904" s="25">
        <v>0.02</v>
      </c>
      <c r="K904" s="25">
        <v>0.0</v>
      </c>
      <c r="L904" s="24" t="str">
        <f t="shared" ref="L904:M904" si="1824">IF(L903="", "", 1 + IFERROR(MINIFS(OFFSET(L904, -1, 0, -MIN(ROW()-2, $B904), 1), OFFSET(L904, -1, 0, -MIN(ROW()-2, $B904), 1), "&gt;0"), L903) + ROUND((L$2 * (LN(1 + $Z904) ^ U$2) * (U$3 / 100)), 0))</f>
        <v/>
      </c>
      <c r="M904" s="24">
        <f t="shared" si="1824"/>
        <v>56233</v>
      </c>
      <c r="N904" s="24" t="str">
        <f t="shared" ref="N904:O904" si="1825">IF(N903="", "", 1 + IFERROR(MINIFS(OFFSET(N904, -1, 0, -MIN(ROW()-2, $B904), 1), OFFSET(N904, -1, 0, -MIN(ROW()-2, $B904), 1), "&gt;0"), N903) + ROUND(IFERROR(MINIFS(OFFSET(N904, -1, 0, -MIN(ROW()-2, $B904), 1), OFFSET(N904, -1, 0, -MIN(ROW()-2, $B904), 1), "&gt;0"), N903) * ((LN(1 + $Z904) ^ W$2) * (W$3 / 1000)), 0))</f>
        <v/>
      </c>
      <c r="O904" s="24" t="str">
        <f t="shared" si="1825"/>
        <v/>
      </c>
      <c r="P904" s="24">
        <f t="shared" ref="P904:S904" si="1826">L904*$Y$2</f>
        <v>0</v>
      </c>
      <c r="Q904" s="24">
        <f t="shared" si="1826"/>
        <v>14058.25</v>
      </c>
      <c r="R904" s="24">
        <f t="shared" si="1826"/>
        <v>0</v>
      </c>
      <c r="S904" s="24">
        <f t="shared" si="1826"/>
        <v>0</v>
      </c>
      <c r="T904" s="24">
        <f t="shared" si="4"/>
        <v>1</v>
      </c>
      <c r="Z904" s="25">
        <f t="shared" si="12"/>
        <v>0.071225</v>
      </c>
    </row>
    <row r="905">
      <c r="A905" s="16" t="s">
        <v>3</v>
      </c>
      <c r="B905" s="17">
        <v>4.0</v>
      </c>
      <c r="C905" s="24">
        <f t="shared" si="1820"/>
        <v>324.135</v>
      </c>
      <c r="D905" s="25">
        <v>0.05</v>
      </c>
      <c r="E905" s="24">
        <f t="shared" si="1821"/>
        <v>12.734496</v>
      </c>
      <c r="F905" s="25">
        <v>0.02</v>
      </c>
      <c r="G905" s="24">
        <f t="shared" si="1822"/>
        <v>46.305</v>
      </c>
      <c r="H905" s="25">
        <v>0.05</v>
      </c>
      <c r="I905" s="24">
        <f t="shared" si="1823"/>
        <v>10.61208</v>
      </c>
      <c r="J905" s="25">
        <v>0.02</v>
      </c>
      <c r="K905" s="25">
        <v>0.0</v>
      </c>
      <c r="L905" s="24" t="str">
        <f t="shared" ref="L905:M905" si="1827">IF(L904="", "", 1 + IFERROR(MINIFS(OFFSET(L905, -1, 0, -MIN(ROW()-2, $B905), 1), OFFSET(L905, -1, 0, -MIN(ROW()-2, $B905), 1), "&gt;0"), L904) + ROUND((L$2 * (LN(1 + $Z905) ^ U$2) * (U$3 / 100)), 0))</f>
        <v/>
      </c>
      <c r="M905" s="24">
        <f t="shared" si="1827"/>
        <v>56234</v>
      </c>
      <c r="N905" s="24" t="str">
        <f t="shared" ref="N905:O905" si="1828">IF(N904="", "", 1 + IFERROR(MINIFS(OFFSET(N905, -1, 0, -MIN(ROW()-2, $B905), 1), OFFSET(N905, -1, 0, -MIN(ROW()-2, $B905), 1), "&gt;0"), N904) + ROUND(IFERROR(MINIFS(OFFSET(N905, -1, 0, -MIN(ROW()-2, $B905), 1), OFFSET(N905, -1, 0, -MIN(ROW()-2, $B905), 1), "&gt;0"), N904) * ((LN(1 + $Z905) ^ W$2) * (W$3 / 1000)), 0))</f>
        <v/>
      </c>
      <c r="O905" s="24" t="str">
        <f t="shared" si="1828"/>
        <v/>
      </c>
      <c r="P905" s="24">
        <f t="shared" ref="P905:S905" si="1829">L905*$Y$2</f>
        <v>0</v>
      </c>
      <c r="Q905" s="24">
        <f t="shared" si="1829"/>
        <v>14058.5</v>
      </c>
      <c r="R905" s="24">
        <f t="shared" si="1829"/>
        <v>0</v>
      </c>
      <c r="S905" s="24">
        <f t="shared" si="1829"/>
        <v>0</v>
      </c>
      <c r="T905" s="24">
        <f t="shared" si="4"/>
        <v>1</v>
      </c>
      <c r="Z905" s="25">
        <f t="shared" si="12"/>
        <v>0.108717875</v>
      </c>
    </row>
    <row r="906">
      <c r="A906" s="16" t="s">
        <v>3</v>
      </c>
      <c r="B906" s="17">
        <v>5.0</v>
      </c>
      <c r="C906" s="24">
        <f t="shared" si="1820"/>
        <v>340.34175</v>
      </c>
      <c r="D906" s="25">
        <v>0.05</v>
      </c>
      <c r="E906" s="24">
        <f t="shared" si="1821"/>
        <v>12.98918592</v>
      </c>
      <c r="F906" s="25">
        <v>0.02</v>
      </c>
      <c r="G906" s="24">
        <f t="shared" si="1822"/>
        <v>48.62025</v>
      </c>
      <c r="H906" s="25">
        <v>0.05</v>
      </c>
      <c r="I906" s="24">
        <f t="shared" si="1823"/>
        <v>10.8243216</v>
      </c>
      <c r="J906" s="25">
        <v>0.02</v>
      </c>
      <c r="K906" s="25">
        <v>0.0</v>
      </c>
      <c r="L906" s="24" t="str">
        <f t="shared" ref="L906:M906" si="1830">IF(L905="", "", 1 + IFERROR(MINIFS(OFFSET(L906, -1, 0, -MIN(ROW()-2, $B906), 1), OFFSET(L906, -1, 0, -MIN(ROW()-2, $B906), 1), "&gt;0"), L905) + ROUND((L$2 * (LN(1 + $Z906) ^ U$2) * (U$3 / 100)), 0))</f>
        <v/>
      </c>
      <c r="M906" s="24">
        <f t="shared" si="1830"/>
        <v>56235</v>
      </c>
      <c r="N906" s="24" t="str">
        <f t="shared" ref="N906:O906" si="1831">IF(N905="", "", 1 + IFERROR(MINIFS(OFFSET(N906, -1, 0, -MIN(ROW()-2, $B906), 1), OFFSET(N906, -1, 0, -MIN(ROW()-2, $B906), 1), "&gt;0"), N905) + ROUND(IFERROR(MINIFS(OFFSET(N906, -1, 0, -MIN(ROW()-2, $B906), 1), OFFSET(N906, -1, 0, -MIN(ROW()-2, $B906), 1), "&gt;0"), N905) * ((LN(1 + $Z906) ^ W$2) * (W$3 / 1000)), 0))</f>
        <v/>
      </c>
      <c r="O906" s="24" t="str">
        <f t="shared" si="1831"/>
        <v/>
      </c>
      <c r="P906" s="24">
        <f t="shared" ref="P906:S906" si="1832">L906*$Y$2</f>
        <v>0</v>
      </c>
      <c r="Q906" s="24">
        <f t="shared" si="1832"/>
        <v>14058.75</v>
      </c>
      <c r="R906" s="24">
        <f t="shared" si="1832"/>
        <v>0</v>
      </c>
      <c r="S906" s="24">
        <f t="shared" si="1832"/>
        <v>0</v>
      </c>
      <c r="T906" s="24">
        <f t="shared" si="4"/>
        <v>2</v>
      </c>
      <c r="Z906" s="25">
        <f t="shared" si="12"/>
        <v>0.1475230006</v>
      </c>
    </row>
    <row r="907">
      <c r="A907" s="16" t="s">
        <v>3</v>
      </c>
      <c r="B907" s="17">
        <v>6.0</v>
      </c>
      <c r="C907" s="24">
        <f t="shared" si="1820"/>
        <v>357.3588375</v>
      </c>
      <c r="D907" s="25">
        <v>0.05</v>
      </c>
      <c r="E907" s="24">
        <f t="shared" si="1821"/>
        <v>13.24896964</v>
      </c>
      <c r="F907" s="25">
        <v>0.02</v>
      </c>
      <c r="G907" s="24">
        <f t="shared" si="1822"/>
        <v>51.0512625</v>
      </c>
      <c r="H907" s="25">
        <v>0.05</v>
      </c>
      <c r="I907" s="24">
        <f t="shared" si="1823"/>
        <v>11.04080803</v>
      </c>
      <c r="J907" s="25">
        <v>0.02</v>
      </c>
      <c r="K907" s="25">
        <v>0.0</v>
      </c>
      <c r="L907" s="24" t="str">
        <f t="shared" ref="L907:M907" si="1833">IF(L906="", "", 1 + IFERROR(MINIFS(OFFSET(L907, -1, 0, -MIN(ROW()-2, $B907), 1), OFFSET(L907, -1, 0, -MIN(ROW()-2, $B907), 1), "&gt;0"), L906) + ROUND((L$2 * (LN(1 + $Z907) ^ U$2) * (U$3 / 100)), 0))</f>
        <v/>
      </c>
      <c r="M907" s="24">
        <f t="shared" si="1833"/>
        <v>56237</v>
      </c>
      <c r="N907" s="24" t="str">
        <f t="shared" ref="N907:O907" si="1834">IF(N906="", "", 1 + IFERROR(MINIFS(OFFSET(N907, -1, 0, -MIN(ROW()-2, $B907), 1), OFFSET(N907, -1, 0, -MIN(ROW()-2, $B907), 1), "&gt;0"), N906) + ROUND(IFERROR(MINIFS(OFFSET(N907, -1, 0, -MIN(ROW()-2, $B907), 1), OFFSET(N907, -1, 0, -MIN(ROW()-2, $B907), 1), "&gt;0"), N906) * ((LN(1 + $Z907) ^ W$2) * (W$3 / 1000)), 0))</f>
        <v/>
      </c>
      <c r="O907" s="24" t="str">
        <f t="shared" si="1834"/>
        <v/>
      </c>
      <c r="P907" s="24">
        <f t="shared" ref="P907:S907" si="1835">L907*$Y$2</f>
        <v>0</v>
      </c>
      <c r="Q907" s="24">
        <f t="shared" si="1835"/>
        <v>14059.25</v>
      </c>
      <c r="R907" s="24">
        <f t="shared" si="1835"/>
        <v>0</v>
      </c>
      <c r="S907" s="24">
        <f t="shared" si="1835"/>
        <v>0</v>
      </c>
      <c r="T907" s="24">
        <f t="shared" si="4"/>
        <v>2</v>
      </c>
      <c r="Z907" s="25">
        <f t="shared" si="12"/>
        <v>0.1876863056</v>
      </c>
    </row>
    <row r="908">
      <c r="A908" s="16" t="s">
        <v>3</v>
      </c>
      <c r="B908" s="17">
        <v>7.0</v>
      </c>
      <c r="C908" s="24">
        <f t="shared" si="1820"/>
        <v>375.2267794</v>
      </c>
      <c r="D908" s="25">
        <v>0.05</v>
      </c>
      <c r="E908" s="24">
        <f t="shared" si="1821"/>
        <v>13.51394903</v>
      </c>
      <c r="F908" s="25">
        <v>0.02</v>
      </c>
      <c r="G908" s="24">
        <f t="shared" si="1822"/>
        <v>53.60382563</v>
      </c>
      <c r="H908" s="25">
        <v>0.05</v>
      </c>
      <c r="I908" s="24">
        <f t="shared" si="1823"/>
        <v>11.26162419</v>
      </c>
      <c r="J908" s="25">
        <v>0.02</v>
      </c>
      <c r="K908" s="25">
        <v>0.0</v>
      </c>
      <c r="L908" s="24" t="str">
        <f t="shared" ref="L908:M908" si="1836">IF(L907="", "", 1 + IFERROR(MINIFS(OFFSET(L908, -1, 0, -MIN(ROW()-2, $B908), 1), OFFSET(L908, -1, 0, -MIN(ROW()-2, $B908), 1), "&gt;0"), L907) + ROUND((L$2 * (LN(1 + $Z908) ^ U$2) * (U$3 / 100)), 0))</f>
        <v/>
      </c>
      <c r="M908" s="24">
        <f t="shared" si="1836"/>
        <v>56239</v>
      </c>
      <c r="N908" s="24" t="str">
        <f t="shared" ref="N908:O908" si="1837">IF(N907="", "", 1 + IFERROR(MINIFS(OFFSET(N908, -1, 0, -MIN(ROW()-2, $B908), 1), OFFSET(N908, -1, 0, -MIN(ROW()-2, $B908), 1), "&gt;0"), N907) + ROUND(IFERROR(MINIFS(OFFSET(N908, -1, 0, -MIN(ROW()-2, $B908), 1), OFFSET(N908, -1, 0, -MIN(ROW()-2, $B908), 1), "&gt;0"), N907) * ((LN(1 + $Z908) ^ W$2) * (W$3 / 1000)), 0))</f>
        <v/>
      </c>
      <c r="O908" s="24" t="str">
        <f t="shared" si="1837"/>
        <v/>
      </c>
      <c r="P908" s="24">
        <f t="shared" ref="P908:S908" si="1838">L908*$Y$2</f>
        <v>0</v>
      </c>
      <c r="Q908" s="24">
        <f t="shared" si="1838"/>
        <v>14059.75</v>
      </c>
      <c r="R908" s="24">
        <f t="shared" si="1838"/>
        <v>0</v>
      </c>
      <c r="S908" s="24">
        <f t="shared" si="1838"/>
        <v>0</v>
      </c>
      <c r="T908" s="24">
        <f t="shared" si="4"/>
        <v>2</v>
      </c>
      <c r="Z908" s="25">
        <f t="shared" si="12"/>
        <v>0.2292553263</v>
      </c>
    </row>
    <row r="909">
      <c r="A909" s="16" t="s">
        <v>3</v>
      </c>
      <c r="B909" s="17">
        <v>8.0</v>
      </c>
      <c r="C909" s="24">
        <f t="shared" si="1820"/>
        <v>393.9881183</v>
      </c>
      <c r="D909" s="25">
        <v>0.05</v>
      </c>
      <c r="E909" s="24">
        <f t="shared" si="1821"/>
        <v>13.78422801</v>
      </c>
      <c r="F909" s="25">
        <v>0.02</v>
      </c>
      <c r="G909" s="24">
        <f t="shared" si="1822"/>
        <v>56.28401691</v>
      </c>
      <c r="H909" s="25">
        <v>0.05</v>
      </c>
      <c r="I909" s="24">
        <f t="shared" si="1823"/>
        <v>11.48685668</v>
      </c>
      <c r="J909" s="25">
        <v>0.02</v>
      </c>
      <c r="K909" s="25">
        <v>0.0</v>
      </c>
      <c r="L909" s="24" t="str">
        <f t="shared" ref="L909:M909" si="1839">IF(L908="", "", 1 + IFERROR(MINIFS(OFFSET(L909, -1, 0, -MIN(ROW()-2, $B909), 1), OFFSET(L909, -1, 0, -MIN(ROW()-2, $B909), 1), "&gt;0"), L908) + ROUND((L$2 * (LN(1 + $Z909) ^ U$2) * (U$3 / 100)), 0))</f>
        <v/>
      </c>
      <c r="M909" s="24">
        <f t="shared" si="1839"/>
        <v>56241</v>
      </c>
      <c r="N909" s="24" t="str">
        <f t="shared" ref="N909:O909" si="1840">IF(N908="", "", 1 + IFERROR(MINIFS(OFFSET(N909, -1, 0, -MIN(ROW()-2, $B909), 1), OFFSET(N909, -1, 0, -MIN(ROW()-2, $B909), 1), "&gt;0"), N908) + ROUND(IFERROR(MINIFS(OFFSET(N909, -1, 0, -MIN(ROW()-2, $B909), 1), OFFSET(N909, -1, 0, -MIN(ROW()-2, $B909), 1), "&gt;0"), N908) * ((LN(1 + $Z909) ^ W$2) * (W$3 / 1000)), 0))</f>
        <v/>
      </c>
      <c r="O909" s="24" t="str">
        <f t="shared" si="1840"/>
        <v/>
      </c>
      <c r="P909" s="24">
        <f t="shared" ref="P909:S909" si="1841">L909*$Y$2</f>
        <v>0</v>
      </c>
      <c r="Q909" s="24">
        <f t="shared" si="1841"/>
        <v>14060.25</v>
      </c>
      <c r="R909" s="24">
        <f t="shared" si="1841"/>
        <v>0</v>
      </c>
      <c r="S909" s="24">
        <f t="shared" si="1841"/>
        <v>0</v>
      </c>
      <c r="T909" s="24">
        <f t="shared" si="4"/>
        <v>2</v>
      </c>
      <c r="Z909" s="25">
        <f t="shared" si="12"/>
        <v>0.2722792628</v>
      </c>
    </row>
    <row r="910">
      <c r="A910" s="16" t="s">
        <v>3</v>
      </c>
      <c r="B910" s="17">
        <v>9.0</v>
      </c>
      <c r="C910" s="24">
        <f t="shared" si="1820"/>
        <v>413.6875243</v>
      </c>
      <c r="D910" s="25">
        <v>0.05</v>
      </c>
      <c r="E910" s="24">
        <f t="shared" si="1821"/>
        <v>14.05991257</v>
      </c>
      <c r="F910" s="25">
        <v>0.02</v>
      </c>
      <c r="G910" s="24">
        <f t="shared" si="1822"/>
        <v>59.09821775</v>
      </c>
      <c r="H910" s="25">
        <v>0.05</v>
      </c>
      <c r="I910" s="24">
        <f t="shared" si="1823"/>
        <v>11.71659381</v>
      </c>
      <c r="J910" s="25">
        <v>0.02</v>
      </c>
      <c r="K910" s="25">
        <v>0.0</v>
      </c>
      <c r="L910" s="24" t="str">
        <f t="shared" ref="L910:M910" si="1842">IF(L909="", "", 1 + IFERROR(MINIFS(OFFSET(L910, -1, 0, -MIN(ROW()-2, $B910), 1), OFFSET(L910, -1, 0, -MIN(ROW()-2, $B910), 1), "&gt;0"), L909) + ROUND((L$2 * (LN(1 + $Z910) ^ U$2) * (U$3 / 100)), 0))</f>
        <v/>
      </c>
      <c r="M910" s="24">
        <f t="shared" si="1842"/>
        <v>56243</v>
      </c>
      <c r="N910" s="24" t="str">
        <f t="shared" ref="N910:O910" si="1843">IF(N909="", "", 1 + IFERROR(MINIFS(OFFSET(N910, -1, 0, -MIN(ROW()-2, $B910), 1), OFFSET(N910, -1, 0, -MIN(ROW()-2, $B910), 1), "&gt;0"), N909) + ROUND(IFERROR(MINIFS(OFFSET(N910, -1, 0, -MIN(ROW()-2, $B910), 1), OFFSET(N910, -1, 0, -MIN(ROW()-2, $B910), 1), "&gt;0"), N909) * ((LN(1 + $Z910) ^ W$2) * (W$3 / 1000)), 0))</f>
        <v/>
      </c>
      <c r="O910" s="24" t="str">
        <f t="shared" si="1843"/>
        <v/>
      </c>
      <c r="P910" s="24">
        <f t="shared" ref="P910:S910" si="1844">L910*$Y$2</f>
        <v>0</v>
      </c>
      <c r="Q910" s="24">
        <f t="shared" si="1844"/>
        <v>14060.75</v>
      </c>
      <c r="R910" s="24">
        <f t="shared" si="1844"/>
        <v>0</v>
      </c>
      <c r="S910" s="24">
        <f t="shared" si="1844"/>
        <v>0</v>
      </c>
      <c r="T910" s="24">
        <f t="shared" si="4"/>
        <v>2</v>
      </c>
      <c r="Z910" s="25">
        <f t="shared" si="12"/>
        <v>0.316809037</v>
      </c>
    </row>
    <row r="911">
      <c r="A911" s="16" t="s">
        <v>3</v>
      </c>
      <c r="B911" s="17">
        <v>10.0</v>
      </c>
      <c r="C911" s="24">
        <f t="shared" si="1820"/>
        <v>434.3719005</v>
      </c>
      <c r="D911" s="25">
        <v>0.05</v>
      </c>
      <c r="E911" s="24">
        <f t="shared" si="1821"/>
        <v>14.34111082</v>
      </c>
      <c r="F911" s="25">
        <v>0.02</v>
      </c>
      <c r="G911" s="24">
        <f t="shared" si="1822"/>
        <v>62.05312864</v>
      </c>
      <c r="H911" s="25">
        <v>0.05</v>
      </c>
      <c r="I911" s="24">
        <f t="shared" si="1823"/>
        <v>11.95092569</v>
      </c>
      <c r="J911" s="25">
        <v>0.02</v>
      </c>
      <c r="K911" s="25">
        <v>0.0</v>
      </c>
      <c r="L911" s="24" t="str">
        <f t="shared" ref="L911:M911" si="1845">IF(L910="", "", 1 + IFERROR(MINIFS(OFFSET(L911, -1, 0, -MIN(ROW()-2, $B911), 1), OFFSET(L911, -1, 0, -MIN(ROW()-2, $B911), 1), "&gt;0"), L910) + ROUND((L$2 * (LN(1 + $Z911) ^ U$2) * (U$3 / 100)), 0))</f>
        <v/>
      </c>
      <c r="M911" s="24">
        <f t="shared" si="1845"/>
        <v>56245</v>
      </c>
      <c r="N911" s="24" t="str">
        <f t="shared" ref="N911:O911" si="1846">IF(N910="", "", 1 + IFERROR(MINIFS(OFFSET(N911, -1, 0, -MIN(ROW()-2, $B911), 1), OFFSET(N911, -1, 0, -MIN(ROW()-2, $B911), 1), "&gt;0"), N910) + ROUND(IFERROR(MINIFS(OFFSET(N911, -1, 0, -MIN(ROW()-2, $B911), 1), OFFSET(N911, -1, 0, -MIN(ROW()-2, $B911), 1), "&gt;0"), N910) * ((LN(1 + $Z911) ^ W$2) * (W$3 / 1000)), 0))</f>
        <v/>
      </c>
      <c r="O911" s="24" t="str">
        <f t="shared" si="1846"/>
        <v/>
      </c>
      <c r="P911" s="24">
        <f t="shared" ref="P911:S911" si="1847">L911*$Y$2</f>
        <v>0</v>
      </c>
      <c r="Q911" s="24">
        <f t="shared" si="1847"/>
        <v>14061.25</v>
      </c>
      <c r="R911" s="24">
        <f t="shared" si="1847"/>
        <v>0</v>
      </c>
      <c r="S911" s="24">
        <f t="shared" si="1847"/>
        <v>0</v>
      </c>
      <c r="T911" s="24">
        <f t="shared" si="4"/>
        <v>2</v>
      </c>
      <c r="Z911" s="25">
        <f t="shared" si="12"/>
        <v>0.3628973533</v>
      </c>
    </row>
    <row r="912">
      <c r="A912" s="16" t="s">
        <v>3</v>
      </c>
      <c r="B912" s="17">
        <v>11.0</v>
      </c>
      <c r="C912" s="24">
        <f t="shared" si="1820"/>
        <v>456.0904955</v>
      </c>
      <c r="D912" s="25">
        <v>0.05</v>
      </c>
      <c r="E912" s="24">
        <f t="shared" si="1821"/>
        <v>14.62793304</v>
      </c>
      <c r="F912" s="25">
        <v>0.02</v>
      </c>
      <c r="G912" s="24">
        <f t="shared" si="1822"/>
        <v>65.15578507</v>
      </c>
      <c r="H912" s="25">
        <v>0.05</v>
      </c>
      <c r="I912" s="24">
        <f t="shared" si="1823"/>
        <v>12.1899442</v>
      </c>
      <c r="J912" s="25">
        <v>0.02</v>
      </c>
      <c r="K912" s="25">
        <v>0.0</v>
      </c>
      <c r="L912" s="24" t="str">
        <f t="shared" ref="L912:M912" si="1848">IF(L911="", "", 1 + IFERROR(MINIFS(OFFSET(L912, -1, 0, -MIN(ROW()-2, $B912), 1), OFFSET(L912, -1, 0, -MIN(ROW()-2, $B912), 1), "&gt;0"), L911) + ROUND((L$2 * (LN(1 + $Z912) ^ U$2) * (U$3 / 100)), 0))</f>
        <v/>
      </c>
      <c r="M912" s="24">
        <f t="shared" si="1848"/>
        <v>56247</v>
      </c>
      <c r="N912" s="24" t="str">
        <f t="shared" ref="N912:O912" si="1849">IF(N911="", "", 1 + IFERROR(MINIFS(OFFSET(N912, -1, 0, -MIN(ROW()-2, $B912), 1), OFFSET(N912, -1, 0, -MIN(ROW()-2, $B912), 1), "&gt;0"), N911) + ROUND(IFERROR(MINIFS(OFFSET(N912, -1, 0, -MIN(ROW()-2, $B912), 1), OFFSET(N912, -1, 0, -MIN(ROW()-2, $B912), 1), "&gt;0"), N911) * ((LN(1 + $Z912) ^ W$2) * (W$3 / 1000)), 0))</f>
        <v/>
      </c>
      <c r="O912" s="24" t="str">
        <f t="shared" si="1849"/>
        <v/>
      </c>
      <c r="P912" s="24">
        <f t="shared" ref="P912:S912" si="1850">L912*$Y$2</f>
        <v>0</v>
      </c>
      <c r="Q912" s="24">
        <f t="shared" si="1850"/>
        <v>14061.75</v>
      </c>
      <c r="R912" s="24">
        <f t="shared" si="1850"/>
        <v>0</v>
      </c>
      <c r="S912" s="24">
        <f t="shared" si="1850"/>
        <v>0</v>
      </c>
      <c r="T912" s="24">
        <f t="shared" si="4"/>
        <v>2</v>
      </c>
      <c r="Z912" s="25">
        <f t="shared" si="12"/>
        <v>0.4105987606</v>
      </c>
    </row>
    <row r="913">
      <c r="A913" s="16" t="s">
        <v>3</v>
      </c>
      <c r="B913" s="17">
        <v>12.0</v>
      </c>
      <c r="C913" s="24">
        <f t="shared" si="1820"/>
        <v>478.8950203</v>
      </c>
      <c r="D913" s="25">
        <v>0.05</v>
      </c>
      <c r="E913" s="24">
        <f t="shared" si="1821"/>
        <v>14.9204917</v>
      </c>
      <c r="F913" s="25">
        <v>0.02</v>
      </c>
      <c r="G913" s="24">
        <f t="shared" si="1822"/>
        <v>68.41357432</v>
      </c>
      <c r="H913" s="25">
        <v>0.05</v>
      </c>
      <c r="I913" s="24">
        <f t="shared" si="1823"/>
        <v>12.43374308</v>
      </c>
      <c r="J913" s="25">
        <v>0.02</v>
      </c>
      <c r="K913" s="25">
        <v>0.0</v>
      </c>
      <c r="L913" s="24" t="str">
        <f t="shared" ref="L913:M913" si="1851">IF(L912="", "", 1 + IFERROR(MINIFS(OFFSET(L913, -1, 0, -MIN(ROW()-2, $B913), 1), OFFSET(L913, -1, 0, -MIN(ROW()-2, $B913), 1), "&gt;0"), L912) + ROUND((L$2 * (LN(1 + $Z913) ^ U$2) * (U$3 / 100)), 0))</f>
        <v/>
      </c>
      <c r="M913" s="24">
        <f t="shared" si="1851"/>
        <v>56249</v>
      </c>
      <c r="N913" s="24" t="str">
        <f t="shared" ref="N913:O913" si="1852">IF(N912="", "", 1 + IFERROR(MINIFS(OFFSET(N913, -1, 0, -MIN(ROW()-2, $B913), 1), OFFSET(N913, -1, 0, -MIN(ROW()-2, $B913), 1), "&gt;0"), N912) + ROUND(IFERROR(MINIFS(OFFSET(N913, -1, 0, -MIN(ROW()-2, $B913), 1), OFFSET(N913, -1, 0, -MIN(ROW()-2, $B913), 1), "&gt;0"), N912) * ((LN(1 + $Z913) ^ W$2) * (W$3 / 1000)), 0))</f>
        <v/>
      </c>
      <c r="O913" s="24" t="str">
        <f t="shared" si="1852"/>
        <v/>
      </c>
      <c r="P913" s="24">
        <f t="shared" ref="P913:S913" si="1853">L913*$Y$2</f>
        <v>0</v>
      </c>
      <c r="Q913" s="24">
        <f t="shared" si="1853"/>
        <v>14062.25</v>
      </c>
      <c r="R913" s="24">
        <f t="shared" si="1853"/>
        <v>0</v>
      </c>
      <c r="S913" s="24">
        <f t="shared" si="1853"/>
        <v>0</v>
      </c>
      <c r="T913" s="24">
        <f t="shared" si="4"/>
        <v>2</v>
      </c>
      <c r="Z913" s="25">
        <f t="shared" si="12"/>
        <v>0.4599697172</v>
      </c>
    </row>
    <row r="914">
      <c r="A914" s="16" t="s">
        <v>3</v>
      </c>
      <c r="B914" s="17">
        <v>13.0</v>
      </c>
      <c r="C914" s="24">
        <f t="shared" si="1820"/>
        <v>502.8397713</v>
      </c>
      <c r="D914" s="25">
        <v>0.05</v>
      </c>
      <c r="E914" s="24">
        <f t="shared" si="1821"/>
        <v>15.21890153</v>
      </c>
      <c r="F914" s="25">
        <v>0.02</v>
      </c>
      <c r="G914" s="24">
        <f t="shared" si="1822"/>
        <v>71.83425304</v>
      </c>
      <c r="H914" s="25">
        <v>0.05</v>
      </c>
      <c r="I914" s="24">
        <f t="shared" si="1823"/>
        <v>12.68241795</v>
      </c>
      <c r="J914" s="25">
        <v>0.02</v>
      </c>
      <c r="K914" s="25">
        <v>0.0</v>
      </c>
      <c r="L914" s="24" t="str">
        <f t="shared" ref="L914:M914" si="1854">IF(L913="", "", 1 + IFERROR(MINIFS(OFFSET(L914, -1, 0, -MIN(ROW()-2, $B914), 1), OFFSET(L914, -1, 0, -MIN(ROW()-2, $B914), 1), "&gt;0"), L913) + ROUND((L$2 * (LN(1 + $Z914) ^ U$2) * (U$3 / 100)), 0))</f>
        <v/>
      </c>
      <c r="M914" s="24">
        <f t="shared" si="1854"/>
        <v>56251</v>
      </c>
      <c r="N914" s="24" t="str">
        <f t="shared" ref="N914:O914" si="1855">IF(N913="", "", 1 + IFERROR(MINIFS(OFFSET(N914, -1, 0, -MIN(ROW()-2, $B914), 1), OFFSET(N914, -1, 0, -MIN(ROW()-2, $B914), 1), "&gt;0"), N913) + ROUND(IFERROR(MINIFS(OFFSET(N914, -1, 0, -MIN(ROW()-2, $B914), 1), OFFSET(N914, -1, 0, -MIN(ROW()-2, $B914), 1), "&gt;0"), N913) * ((LN(1 + $Z914) ^ W$2) * (W$3 / 1000)), 0))</f>
        <v/>
      </c>
      <c r="O914" s="24" t="str">
        <f t="shared" si="1855"/>
        <v/>
      </c>
      <c r="P914" s="24">
        <f t="shared" ref="P914:S914" si="1856">L914*$Y$2</f>
        <v>0</v>
      </c>
      <c r="Q914" s="24">
        <f t="shared" si="1856"/>
        <v>14062.75</v>
      </c>
      <c r="R914" s="24">
        <f t="shared" si="1856"/>
        <v>0</v>
      </c>
      <c r="S914" s="24">
        <f t="shared" si="1856"/>
        <v>0</v>
      </c>
      <c r="T914" s="24">
        <f t="shared" si="4"/>
        <v>2</v>
      </c>
      <c r="Z914" s="25">
        <f t="shared" si="12"/>
        <v>0.5110686573</v>
      </c>
    </row>
    <row r="915">
      <c r="A915" s="16" t="s">
        <v>3</v>
      </c>
      <c r="B915" s="17">
        <v>14.0</v>
      </c>
      <c r="C915" s="24">
        <f t="shared" si="1820"/>
        <v>527.9817599</v>
      </c>
      <c r="D915" s="25">
        <v>0.05</v>
      </c>
      <c r="E915" s="24">
        <f t="shared" si="1821"/>
        <v>15.52327957</v>
      </c>
      <c r="F915" s="25">
        <v>0.02</v>
      </c>
      <c r="G915" s="24">
        <f t="shared" si="1822"/>
        <v>75.42596569</v>
      </c>
      <c r="H915" s="25">
        <v>0.05</v>
      </c>
      <c r="I915" s="24">
        <f t="shared" si="1823"/>
        <v>12.9360663</v>
      </c>
      <c r="J915" s="25">
        <v>0.02</v>
      </c>
      <c r="K915" s="25">
        <v>0.0</v>
      </c>
      <c r="L915" s="24" t="str">
        <f t="shared" ref="L915:M915" si="1857">IF(L914="", "", 1 + IFERROR(MINIFS(OFFSET(L915, -1, 0, -MIN(ROW()-2, $B915), 1), OFFSET(L915, -1, 0, -MIN(ROW()-2, $B915), 1), "&gt;0"), L914) + ROUND((L$2 * (LN(1 + $Z915) ^ U$2) * (U$3 / 100)), 0))</f>
        <v/>
      </c>
      <c r="M915" s="24">
        <f t="shared" si="1857"/>
        <v>56253</v>
      </c>
      <c r="N915" s="24" t="str">
        <f t="shared" ref="N915:O915" si="1858">IF(N914="", "", 1 + IFERROR(MINIFS(OFFSET(N915, -1, 0, -MIN(ROW()-2, $B915), 1), OFFSET(N915, -1, 0, -MIN(ROW()-2, $B915), 1), "&gt;0"), N914) + ROUND(IFERROR(MINIFS(OFFSET(N915, -1, 0, -MIN(ROW()-2, $B915), 1), OFFSET(N915, -1, 0, -MIN(ROW()-2, $B915), 1), "&gt;0"), N914) * ((LN(1 + $Z915) ^ W$2) * (W$3 / 1000)), 0))</f>
        <v/>
      </c>
      <c r="O915" s="24" t="str">
        <f t="shared" si="1858"/>
        <v/>
      </c>
      <c r="P915" s="24">
        <f t="shared" ref="P915:S915" si="1859">L915*$Y$2</f>
        <v>0</v>
      </c>
      <c r="Q915" s="24">
        <f t="shared" si="1859"/>
        <v>14063.25</v>
      </c>
      <c r="R915" s="24">
        <f t="shared" si="1859"/>
        <v>0</v>
      </c>
      <c r="S915" s="24">
        <f t="shared" si="1859"/>
        <v>0</v>
      </c>
      <c r="T915" s="24">
        <f t="shared" si="4"/>
        <v>2</v>
      </c>
      <c r="Z915" s="25">
        <f t="shared" si="12"/>
        <v>0.5639560604</v>
      </c>
    </row>
    <row r="916">
      <c r="A916" s="16" t="s">
        <v>3</v>
      </c>
      <c r="B916" s="17">
        <v>15.0</v>
      </c>
      <c r="C916" s="24">
        <f t="shared" si="1820"/>
        <v>554.3808478</v>
      </c>
      <c r="D916" s="25">
        <v>0.05</v>
      </c>
      <c r="E916" s="24">
        <f t="shared" si="1821"/>
        <v>15.83374516</v>
      </c>
      <c r="F916" s="25">
        <v>0.02</v>
      </c>
      <c r="G916" s="24">
        <f t="shared" si="1822"/>
        <v>79.19726398</v>
      </c>
      <c r="H916" s="25">
        <v>0.05</v>
      </c>
      <c r="I916" s="24">
        <f t="shared" si="1823"/>
        <v>13.19478763</v>
      </c>
      <c r="J916" s="25">
        <v>0.02</v>
      </c>
      <c r="K916" s="25">
        <v>0.0</v>
      </c>
      <c r="L916" s="24" t="str">
        <f t="shared" ref="L916:M916" si="1860">IF(L915="", "", 1 + IFERROR(MINIFS(OFFSET(L916, -1, 0, -MIN(ROW()-2, $B916), 1), OFFSET(L916, -1, 0, -MIN(ROW()-2, $B916), 1), "&gt;0"), L915) + ROUND((L$2 * (LN(1 + $Z916) ^ U$2) * (U$3 / 100)), 0))</f>
        <v/>
      </c>
      <c r="M916" s="24">
        <f t="shared" si="1860"/>
        <v>56255</v>
      </c>
      <c r="N916" s="24" t="str">
        <f t="shared" ref="N916:O916" si="1861">IF(N915="", "", 1 + IFERROR(MINIFS(OFFSET(N916, -1, 0, -MIN(ROW()-2, $B916), 1), OFFSET(N916, -1, 0, -MIN(ROW()-2, $B916), 1), "&gt;0"), N915) + ROUND(IFERROR(MINIFS(OFFSET(N916, -1, 0, -MIN(ROW()-2, $B916), 1), OFFSET(N916, -1, 0, -MIN(ROW()-2, $B916), 1), "&gt;0"), N915) * ((LN(1 + $Z916) ^ W$2) * (W$3 / 1000)), 0))</f>
        <v/>
      </c>
      <c r="O916" s="24" t="str">
        <f t="shared" si="1861"/>
        <v/>
      </c>
      <c r="P916" s="24">
        <f t="shared" ref="P916:S916" si="1862">L916*$Y$2</f>
        <v>0</v>
      </c>
      <c r="Q916" s="24">
        <f t="shared" si="1862"/>
        <v>14063.75</v>
      </c>
      <c r="R916" s="24">
        <f t="shared" si="1862"/>
        <v>0</v>
      </c>
      <c r="S916" s="24">
        <f t="shared" si="1862"/>
        <v>0</v>
      </c>
      <c r="T916" s="24">
        <f t="shared" si="4"/>
        <v>3</v>
      </c>
      <c r="Z916" s="25">
        <f t="shared" si="12"/>
        <v>0.6186945225</v>
      </c>
    </row>
    <row r="917">
      <c r="A917" s="16" t="s">
        <v>3</v>
      </c>
      <c r="B917" s="17">
        <v>16.0</v>
      </c>
      <c r="C917" s="24">
        <f t="shared" si="1820"/>
        <v>582.0998902</v>
      </c>
      <c r="D917" s="25">
        <v>0.05</v>
      </c>
      <c r="E917" s="24">
        <f t="shared" si="1821"/>
        <v>16.15042006</v>
      </c>
      <c r="F917" s="25">
        <v>0.02</v>
      </c>
      <c r="G917" s="24">
        <f t="shared" si="1822"/>
        <v>83.15712718</v>
      </c>
      <c r="H917" s="25">
        <v>0.05</v>
      </c>
      <c r="I917" s="24">
        <f t="shared" si="1823"/>
        <v>13.45868338</v>
      </c>
      <c r="J917" s="25">
        <v>0.02</v>
      </c>
      <c r="K917" s="25">
        <v>0.0</v>
      </c>
      <c r="L917" s="24" t="str">
        <f t="shared" ref="L917:M917" si="1863">IF(L916="", "", 1 + IFERROR(MINIFS(OFFSET(L917, -1, 0, -MIN(ROW()-2, $B917), 1), OFFSET(L917, -1, 0, -MIN(ROW()-2, $B917), 1), "&gt;0"), L916) + ROUND((L$2 * (LN(1 + $Z917) ^ U$2) * (U$3 / 100)), 0))</f>
        <v/>
      </c>
      <c r="M917" s="24">
        <f t="shared" si="1863"/>
        <v>56257</v>
      </c>
      <c r="N917" s="24" t="str">
        <f t="shared" ref="N917:O917" si="1864">IF(N916="", "", 1 + IFERROR(MINIFS(OFFSET(N917, -1, 0, -MIN(ROW()-2, $B917), 1), OFFSET(N917, -1, 0, -MIN(ROW()-2, $B917), 1), "&gt;0"), N916) + ROUND(IFERROR(MINIFS(OFFSET(N917, -1, 0, -MIN(ROW()-2, $B917), 1), OFFSET(N917, -1, 0, -MIN(ROW()-2, $B917), 1), "&gt;0"), N916) * ((LN(1 + $Z917) ^ W$2) * (W$3 / 1000)), 0))</f>
        <v/>
      </c>
      <c r="O917" s="24" t="str">
        <f t="shared" si="1864"/>
        <v/>
      </c>
      <c r="P917" s="24">
        <f t="shared" ref="P917:S917" si="1865">L917*$Y$2</f>
        <v>0</v>
      </c>
      <c r="Q917" s="24">
        <f t="shared" si="1865"/>
        <v>14064.25</v>
      </c>
      <c r="R917" s="24">
        <f t="shared" si="1865"/>
        <v>0</v>
      </c>
      <c r="S917" s="24">
        <f t="shared" si="1865"/>
        <v>0</v>
      </c>
      <c r="T917" s="24">
        <f t="shared" si="4"/>
        <v>3</v>
      </c>
      <c r="Z917" s="25">
        <f t="shared" si="12"/>
        <v>0.6753488308</v>
      </c>
    </row>
    <row r="918">
      <c r="A918" s="16" t="s">
        <v>3</v>
      </c>
      <c r="B918" s="17">
        <v>17.0</v>
      </c>
      <c r="C918" s="24">
        <f t="shared" si="1820"/>
        <v>611.2048847</v>
      </c>
      <c r="D918" s="25">
        <v>0.05</v>
      </c>
      <c r="E918" s="24">
        <f t="shared" si="1821"/>
        <v>16.47342846</v>
      </c>
      <c r="F918" s="25">
        <v>0.02</v>
      </c>
      <c r="G918" s="24">
        <f t="shared" si="1822"/>
        <v>87.31498354</v>
      </c>
      <c r="H918" s="25">
        <v>0.05</v>
      </c>
      <c r="I918" s="24">
        <f t="shared" si="1823"/>
        <v>13.72785705</v>
      </c>
      <c r="J918" s="25">
        <v>0.02</v>
      </c>
      <c r="K918" s="25">
        <v>0.0</v>
      </c>
      <c r="L918" s="24" t="str">
        <f t="shared" ref="L918:M918" si="1866">IF(L917="", "", 1 + IFERROR(MINIFS(OFFSET(L918, -1, 0, -MIN(ROW()-2, $B918), 1), OFFSET(L918, -1, 0, -MIN(ROW()-2, $B918), 1), "&gt;0"), L917) + ROUND((L$2 * (LN(1 + $Z918) ^ U$2) * (U$3 / 100)), 0))</f>
        <v/>
      </c>
      <c r="M918" s="24">
        <f t="shared" si="1866"/>
        <v>56259</v>
      </c>
      <c r="N918" s="24" t="str">
        <f t="shared" ref="N918:O918" si="1867">IF(N917="", "", 1 + IFERROR(MINIFS(OFFSET(N918, -1, 0, -MIN(ROW()-2, $B918), 1), OFFSET(N918, -1, 0, -MIN(ROW()-2, $B918), 1), "&gt;0"), N917) + ROUND(IFERROR(MINIFS(OFFSET(N918, -1, 0, -MIN(ROW()-2, $B918), 1), OFFSET(N918, -1, 0, -MIN(ROW()-2, $B918), 1), "&gt;0"), N917) * ((LN(1 + $Z918) ^ W$2) * (W$3 / 1000)), 0))</f>
        <v/>
      </c>
      <c r="O918" s="24" t="str">
        <f t="shared" si="1867"/>
        <v/>
      </c>
      <c r="P918" s="24">
        <f t="shared" ref="P918:S918" si="1868">L918*$Y$2</f>
        <v>0</v>
      </c>
      <c r="Q918" s="24">
        <f t="shared" si="1868"/>
        <v>14064.75</v>
      </c>
      <c r="R918" s="24">
        <f t="shared" si="1868"/>
        <v>0</v>
      </c>
      <c r="S918" s="24">
        <f t="shared" si="1868"/>
        <v>0</v>
      </c>
      <c r="T918" s="24">
        <f t="shared" si="4"/>
        <v>3</v>
      </c>
      <c r="Z918" s="25">
        <f t="shared" si="12"/>
        <v>0.7339860398</v>
      </c>
    </row>
    <row r="919">
      <c r="A919" s="16" t="s">
        <v>3</v>
      </c>
      <c r="B919" s="17">
        <v>18.0</v>
      </c>
      <c r="C919" s="24">
        <f t="shared" si="1820"/>
        <v>641.765129</v>
      </c>
      <c r="D919" s="25">
        <v>0.05</v>
      </c>
      <c r="E919" s="24">
        <f t="shared" si="1821"/>
        <v>16.80289703</v>
      </c>
      <c r="F919" s="25">
        <v>0.02</v>
      </c>
      <c r="G919" s="24">
        <f t="shared" si="1822"/>
        <v>91.68073271</v>
      </c>
      <c r="H919" s="25">
        <v>0.05</v>
      </c>
      <c r="I919" s="24">
        <f t="shared" si="1823"/>
        <v>14.00241419</v>
      </c>
      <c r="J919" s="25">
        <v>0.02</v>
      </c>
      <c r="K919" s="25">
        <v>0.0</v>
      </c>
      <c r="L919" s="24" t="str">
        <f t="shared" ref="L919:M919" si="1869">IF(L918="", "", 1 + IFERROR(MINIFS(OFFSET(L919, -1, 0, -MIN(ROW()-2, $B919), 1), OFFSET(L919, -1, 0, -MIN(ROW()-2, $B919), 1), "&gt;0"), L918) + ROUND((L$2 * (LN(1 + $Z919) ^ U$2) * (U$3 / 100)), 0))</f>
        <v/>
      </c>
      <c r="M919" s="24">
        <f t="shared" si="1869"/>
        <v>56261</v>
      </c>
      <c r="N919" s="24" t="str">
        <f t="shared" ref="N919:O919" si="1870">IF(N918="", "", 1 + IFERROR(MINIFS(OFFSET(N919, -1, 0, -MIN(ROW()-2, $B919), 1), OFFSET(N919, -1, 0, -MIN(ROW()-2, $B919), 1), "&gt;0"), N918) + ROUND(IFERROR(MINIFS(OFFSET(N919, -1, 0, -MIN(ROW()-2, $B919), 1), OFFSET(N919, -1, 0, -MIN(ROW()-2, $B919), 1), "&gt;0"), N918) * ((LN(1 + $Z919) ^ W$2) * (W$3 / 1000)), 0))</f>
        <v/>
      </c>
      <c r="O919" s="24" t="str">
        <f t="shared" si="1870"/>
        <v/>
      </c>
      <c r="P919" s="24">
        <f t="shared" ref="P919:S919" si="1871">L919*$Y$2</f>
        <v>0</v>
      </c>
      <c r="Q919" s="24">
        <f t="shared" si="1871"/>
        <v>14065.25</v>
      </c>
      <c r="R919" s="24">
        <f t="shared" si="1871"/>
        <v>0</v>
      </c>
      <c r="S919" s="24">
        <f t="shared" si="1871"/>
        <v>0</v>
      </c>
      <c r="T919" s="24">
        <f t="shared" si="4"/>
        <v>3</v>
      </c>
      <c r="Z919" s="25">
        <f t="shared" si="12"/>
        <v>0.7946755512</v>
      </c>
    </row>
    <row r="920">
      <c r="A920" s="16" t="s">
        <v>3</v>
      </c>
      <c r="B920" s="17">
        <v>19.0</v>
      </c>
      <c r="C920" s="24">
        <f t="shared" si="1820"/>
        <v>673.8533854</v>
      </c>
      <c r="D920" s="25">
        <v>0.05</v>
      </c>
      <c r="E920" s="24">
        <f t="shared" si="1821"/>
        <v>17.13895497</v>
      </c>
      <c r="F920" s="25">
        <v>0.02</v>
      </c>
      <c r="G920" s="24">
        <f t="shared" si="1822"/>
        <v>96.26476935</v>
      </c>
      <c r="H920" s="25">
        <v>0.05</v>
      </c>
      <c r="I920" s="24">
        <f t="shared" si="1823"/>
        <v>14.28246248</v>
      </c>
      <c r="J920" s="25">
        <v>0.02</v>
      </c>
      <c r="K920" s="25">
        <v>0.0</v>
      </c>
      <c r="L920" s="24" t="str">
        <f t="shared" ref="L920:M920" si="1872">IF(L919="", "", 1 + IFERROR(MINIFS(OFFSET(L920, -1, 0, -MIN(ROW()-2, $B920), 1), OFFSET(L920, -1, 0, -MIN(ROW()-2, $B920), 1), "&gt;0"), L919) + ROUND((L$2 * (LN(1 + $Z920) ^ U$2) * (U$3 / 100)), 0))</f>
        <v/>
      </c>
      <c r="M920" s="24">
        <f t="shared" si="1872"/>
        <v>56263</v>
      </c>
      <c r="N920" s="24" t="str">
        <f t="shared" ref="N920:O920" si="1873">IF(N919="", "", 1 + IFERROR(MINIFS(OFFSET(N920, -1, 0, -MIN(ROW()-2, $B920), 1), OFFSET(N920, -1, 0, -MIN(ROW()-2, $B920), 1), "&gt;0"), N919) + ROUND(IFERROR(MINIFS(OFFSET(N920, -1, 0, -MIN(ROW()-2, $B920), 1), OFFSET(N920, -1, 0, -MIN(ROW()-2, $B920), 1), "&gt;0"), N919) * ((LN(1 + $Z920) ^ W$2) * (W$3 / 1000)), 0))</f>
        <v/>
      </c>
      <c r="O920" s="24" t="str">
        <f t="shared" si="1873"/>
        <v/>
      </c>
      <c r="P920" s="24">
        <f t="shared" ref="P920:S920" si="1874">L920*$Y$2</f>
        <v>0</v>
      </c>
      <c r="Q920" s="24">
        <f t="shared" si="1874"/>
        <v>14065.75</v>
      </c>
      <c r="R920" s="24">
        <f t="shared" si="1874"/>
        <v>0</v>
      </c>
      <c r="S920" s="24">
        <f t="shared" si="1874"/>
        <v>0</v>
      </c>
      <c r="T920" s="24">
        <f t="shared" si="4"/>
        <v>3</v>
      </c>
      <c r="Z920" s="25">
        <f t="shared" si="12"/>
        <v>0.8574891955</v>
      </c>
    </row>
    <row r="921">
      <c r="A921" s="16" t="s">
        <v>3</v>
      </c>
      <c r="B921" s="17">
        <v>20.0</v>
      </c>
      <c r="C921" s="24">
        <f t="shared" si="1820"/>
        <v>707.5460547</v>
      </c>
      <c r="D921" s="25">
        <v>0.05</v>
      </c>
      <c r="E921" s="24">
        <f t="shared" si="1821"/>
        <v>17.48173407</v>
      </c>
      <c r="F921" s="25">
        <v>0.02</v>
      </c>
      <c r="G921" s="24">
        <f t="shared" si="1822"/>
        <v>101.0780078</v>
      </c>
      <c r="H921" s="25">
        <v>0.05</v>
      </c>
      <c r="I921" s="24">
        <f t="shared" si="1823"/>
        <v>14.56811173</v>
      </c>
      <c r="J921" s="25">
        <v>0.02</v>
      </c>
      <c r="K921" s="25">
        <v>0.0</v>
      </c>
      <c r="L921" s="24" t="str">
        <f t="shared" ref="L921:M921" si="1875">IF(L920="", "", 1 + IFERROR(MINIFS(OFFSET(L921, -1, 0, -MIN(ROW()-2, $B921), 1), OFFSET(L921, -1, 0, -MIN(ROW()-2, $B921), 1), "&gt;0"), L920) + ROUND((L$2 * (LN(1 + $Z921) ^ U$2) * (U$3 / 100)), 0))</f>
        <v/>
      </c>
      <c r="M921" s="24">
        <f t="shared" si="1875"/>
        <v>56265</v>
      </c>
      <c r="N921" s="24" t="str">
        <f t="shared" ref="N921:O921" si="1876">IF(N920="", "", 1 + IFERROR(MINIFS(OFFSET(N921, -1, 0, -MIN(ROW()-2, $B921), 1), OFFSET(N921, -1, 0, -MIN(ROW()-2, $B921), 1), "&gt;0"), N920) + ROUND(IFERROR(MINIFS(OFFSET(N921, -1, 0, -MIN(ROW()-2, $B921), 1), OFFSET(N921, -1, 0, -MIN(ROW()-2, $B921), 1), "&gt;0"), N920) * ((LN(1 + $Z921) ^ W$2) * (W$3 / 1000)), 0))</f>
        <v/>
      </c>
      <c r="O921" s="24" t="str">
        <f t="shared" si="1876"/>
        <v/>
      </c>
      <c r="P921" s="24">
        <f t="shared" ref="P921:S921" si="1877">L921*$Y$2</f>
        <v>0</v>
      </c>
      <c r="Q921" s="24">
        <f t="shared" si="1877"/>
        <v>14066.25</v>
      </c>
      <c r="R921" s="24">
        <f t="shared" si="1877"/>
        <v>0</v>
      </c>
      <c r="S921" s="24">
        <f t="shared" si="1877"/>
        <v>0</v>
      </c>
      <c r="T921" s="24">
        <f t="shared" si="4"/>
        <v>3</v>
      </c>
      <c r="Z921" s="25">
        <f t="shared" si="12"/>
        <v>0.9225013174</v>
      </c>
    </row>
    <row r="922">
      <c r="A922" s="16" t="s">
        <v>3</v>
      </c>
      <c r="B922" s="17">
        <v>21.0</v>
      </c>
      <c r="C922" s="24">
        <f t="shared" si="1820"/>
        <v>742.9233574</v>
      </c>
      <c r="D922" s="25">
        <v>0.05</v>
      </c>
      <c r="E922" s="24">
        <f t="shared" si="1821"/>
        <v>17.83136875</v>
      </c>
      <c r="F922" s="25">
        <v>0.02</v>
      </c>
      <c r="G922" s="24">
        <f t="shared" si="1822"/>
        <v>106.1319082</v>
      </c>
      <c r="H922" s="25">
        <v>0.05</v>
      </c>
      <c r="I922" s="24">
        <f t="shared" si="1823"/>
        <v>14.85947396</v>
      </c>
      <c r="J922" s="25">
        <v>0.02</v>
      </c>
      <c r="K922" s="25">
        <v>0.0</v>
      </c>
      <c r="L922" s="24" t="str">
        <f t="shared" ref="L922:M922" si="1878">IF(L921="", "", 1 + IFERROR(MINIFS(OFFSET(L922, -1, 0, -MIN(ROW()-2, $B922), 1), OFFSET(L922, -1, 0, -MIN(ROW()-2, $B922), 1), "&gt;0"), L921) + ROUND((L$2 * (LN(1 + $Z922) ^ U$2) * (U$3 / 100)), 0))</f>
        <v/>
      </c>
      <c r="M922" s="24">
        <f t="shared" si="1878"/>
        <v>56268</v>
      </c>
      <c r="N922" s="24" t="str">
        <f t="shared" ref="N922:O922" si="1879">IF(N921="", "", 1 + IFERROR(MINIFS(OFFSET(N922, -1, 0, -MIN(ROW()-2, $B922), 1), OFFSET(N922, -1, 0, -MIN(ROW()-2, $B922), 1), "&gt;0"), N921) + ROUND(IFERROR(MINIFS(OFFSET(N922, -1, 0, -MIN(ROW()-2, $B922), 1), OFFSET(N922, -1, 0, -MIN(ROW()-2, $B922), 1), "&gt;0"), N921) * ((LN(1 + $Z922) ^ W$2) * (W$3 / 1000)), 0))</f>
        <v/>
      </c>
      <c r="O922" s="24" t="str">
        <f t="shared" si="1879"/>
        <v/>
      </c>
      <c r="P922" s="24">
        <f t="shared" ref="P922:S922" si="1880">L922*$Y$2</f>
        <v>0</v>
      </c>
      <c r="Q922" s="24">
        <f t="shared" si="1880"/>
        <v>14067</v>
      </c>
      <c r="R922" s="24">
        <f t="shared" si="1880"/>
        <v>0</v>
      </c>
      <c r="S922" s="24">
        <f t="shared" si="1880"/>
        <v>0</v>
      </c>
      <c r="T922" s="24">
        <f t="shared" si="4"/>
        <v>3</v>
      </c>
      <c r="Z922" s="25">
        <f t="shared" si="12"/>
        <v>0.9897888635</v>
      </c>
    </row>
    <row r="923">
      <c r="A923" s="16" t="s">
        <v>3</v>
      </c>
      <c r="B923" s="17">
        <v>22.0</v>
      </c>
      <c r="C923" s="24">
        <f t="shared" si="1820"/>
        <v>780.0695253</v>
      </c>
      <c r="D923" s="25">
        <v>0.05</v>
      </c>
      <c r="E923" s="24">
        <f t="shared" si="1821"/>
        <v>18.18799613</v>
      </c>
      <c r="F923" s="25">
        <v>0.02</v>
      </c>
      <c r="G923" s="24">
        <f t="shared" si="1822"/>
        <v>111.4385036</v>
      </c>
      <c r="H923" s="25">
        <v>0.05</v>
      </c>
      <c r="I923" s="24">
        <f t="shared" si="1823"/>
        <v>15.15666344</v>
      </c>
      <c r="J923" s="25">
        <v>0.02</v>
      </c>
      <c r="K923" s="25">
        <v>0.0</v>
      </c>
      <c r="L923" s="24" t="str">
        <f t="shared" ref="L923:M923" si="1881">IF(L922="", "", 1 + IFERROR(MINIFS(OFFSET(L923, -1, 0, -MIN(ROW()-2, $B923), 1), OFFSET(L923, -1, 0, -MIN(ROW()-2, $B923), 1), "&gt;0"), L922) + ROUND((L$2 * (LN(1 + $Z923) ^ U$2) * (U$3 / 100)), 0))</f>
        <v/>
      </c>
      <c r="M923" s="24">
        <f t="shared" si="1881"/>
        <v>56271</v>
      </c>
      <c r="N923" s="24" t="str">
        <f t="shared" ref="N923:O923" si="1882">IF(N922="", "", 1 + IFERROR(MINIFS(OFFSET(N923, -1, 0, -MIN(ROW()-2, $B923), 1), OFFSET(N923, -1, 0, -MIN(ROW()-2, $B923), 1), "&gt;0"), N922) + ROUND(IFERROR(MINIFS(OFFSET(N923, -1, 0, -MIN(ROW()-2, $B923), 1), OFFSET(N923, -1, 0, -MIN(ROW()-2, $B923), 1), "&gt;0"), N922) * ((LN(1 + $Z923) ^ W$2) * (W$3 / 1000)), 0))</f>
        <v/>
      </c>
      <c r="O923" s="24" t="str">
        <f t="shared" si="1882"/>
        <v/>
      </c>
      <c r="P923" s="24">
        <f t="shared" ref="P923:S923" si="1883">L923*$Y$2</f>
        <v>0</v>
      </c>
      <c r="Q923" s="24">
        <f t="shared" si="1883"/>
        <v>14067.75</v>
      </c>
      <c r="R923" s="24">
        <f t="shared" si="1883"/>
        <v>0</v>
      </c>
      <c r="S923" s="24">
        <f t="shared" si="1883"/>
        <v>0</v>
      </c>
      <c r="T923" s="24">
        <f t="shared" si="4"/>
        <v>3</v>
      </c>
      <c r="Z923" s="25">
        <f t="shared" si="12"/>
        <v>1.059431474</v>
      </c>
    </row>
    <row r="924">
      <c r="A924" s="16" t="s">
        <v>3</v>
      </c>
      <c r="B924" s="17">
        <v>23.0</v>
      </c>
      <c r="C924" s="24">
        <f t="shared" si="1820"/>
        <v>819.0730016</v>
      </c>
      <c r="D924" s="25">
        <v>0.05</v>
      </c>
      <c r="E924" s="24">
        <f t="shared" si="1821"/>
        <v>18.55175605</v>
      </c>
      <c r="F924" s="25">
        <v>0.02</v>
      </c>
      <c r="G924" s="24">
        <f t="shared" si="1822"/>
        <v>117.0104288</v>
      </c>
      <c r="H924" s="25">
        <v>0.05</v>
      </c>
      <c r="I924" s="24">
        <f t="shared" si="1823"/>
        <v>15.45979671</v>
      </c>
      <c r="J924" s="25">
        <v>0.02</v>
      </c>
      <c r="K924" s="25">
        <v>0.0</v>
      </c>
      <c r="L924" s="24" t="str">
        <f t="shared" ref="L924:M924" si="1884">IF(L923="", "", 1 + IFERROR(MINIFS(OFFSET(L924, -1, 0, -MIN(ROW()-2, $B924), 1), OFFSET(L924, -1, 0, -MIN(ROW()-2, $B924), 1), "&gt;0"), L923) + ROUND((L$2 * (LN(1 + $Z924) ^ U$2) * (U$3 / 100)), 0))</f>
        <v/>
      </c>
      <c r="M924" s="24">
        <f t="shared" si="1884"/>
        <v>56274</v>
      </c>
      <c r="N924" s="24" t="str">
        <f t="shared" ref="N924:O924" si="1885">IF(N923="", "", 1 + IFERROR(MINIFS(OFFSET(N924, -1, 0, -MIN(ROW()-2, $B924), 1), OFFSET(N924, -1, 0, -MIN(ROW()-2, $B924), 1), "&gt;0"), N923) + ROUND(IFERROR(MINIFS(OFFSET(N924, -1, 0, -MIN(ROW()-2, $B924), 1), OFFSET(N924, -1, 0, -MIN(ROW()-2, $B924), 1), "&gt;0"), N923) * ((LN(1 + $Z924) ^ W$2) * (W$3 / 1000)), 0))</f>
        <v/>
      </c>
      <c r="O924" s="24" t="str">
        <f t="shared" si="1885"/>
        <v/>
      </c>
      <c r="P924" s="24">
        <f t="shared" ref="P924:S924" si="1886">L924*$Y$2</f>
        <v>0</v>
      </c>
      <c r="Q924" s="24">
        <f t="shared" si="1886"/>
        <v>14068.5</v>
      </c>
      <c r="R924" s="24">
        <f t="shared" si="1886"/>
        <v>0</v>
      </c>
      <c r="S924" s="24">
        <f t="shared" si="1886"/>
        <v>0</v>
      </c>
      <c r="T924" s="24">
        <f t="shared" si="4"/>
        <v>3</v>
      </c>
      <c r="Z924" s="25">
        <f t="shared" si="12"/>
        <v>1.131511575</v>
      </c>
    </row>
    <row r="925">
      <c r="A925" s="16" t="s">
        <v>3</v>
      </c>
      <c r="B925" s="17">
        <v>24.0</v>
      </c>
      <c r="C925" s="24">
        <f t="shared" si="1820"/>
        <v>860.0266517</v>
      </c>
      <c r="D925" s="25">
        <v>0.05</v>
      </c>
      <c r="E925" s="24">
        <f t="shared" si="1821"/>
        <v>18.92279117</v>
      </c>
      <c r="F925" s="25">
        <v>0.02</v>
      </c>
      <c r="G925" s="24">
        <f t="shared" si="1822"/>
        <v>122.8609502</v>
      </c>
      <c r="H925" s="25">
        <v>0.05</v>
      </c>
      <c r="I925" s="24">
        <f t="shared" si="1823"/>
        <v>15.76899264</v>
      </c>
      <c r="J925" s="25">
        <v>0.02</v>
      </c>
      <c r="K925" s="25">
        <v>0.0</v>
      </c>
      <c r="L925" s="24" t="str">
        <f t="shared" ref="L925:M925" si="1887">IF(L924="", "", 1 + IFERROR(MINIFS(OFFSET(L925, -1, 0, -MIN(ROW()-2, $B925), 1), OFFSET(L925, -1, 0, -MIN(ROW()-2, $B925), 1), "&gt;0"), L924) + ROUND((L$2 * (LN(1 + $Z925) ^ U$2) * (U$3 / 100)), 0))</f>
        <v/>
      </c>
      <c r="M925" s="24">
        <f t="shared" si="1887"/>
        <v>56277</v>
      </c>
      <c r="N925" s="24" t="str">
        <f t="shared" ref="N925:O925" si="1888">IF(N924="", "", 1 + IFERROR(MINIFS(OFFSET(N925, -1, 0, -MIN(ROW()-2, $B925), 1), OFFSET(N925, -1, 0, -MIN(ROW()-2, $B925), 1), "&gt;0"), N924) + ROUND(IFERROR(MINIFS(OFFSET(N925, -1, 0, -MIN(ROW()-2, $B925), 1), OFFSET(N925, -1, 0, -MIN(ROW()-2, $B925), 1), "&gt;0"), N924) * ((LN(1 + $Z925) ^ W$2) * (W$3 / 1000)), 0))</f>
        <v/>
      </c>
      <c r="O925" s="24" t="str">
        <f t="shared" si="1888"/>
        <v/>
      </c>
      <c r="P925" s="24">
        <f t="shared" ref="P925:S925" si="1889">L925*$Y$2</f>
        <v>0</v>
      </c>
      <c r="Q925" s="24">
        <f t="shared" si="1889"/>
        <v>14069.25</v>
      </c>
      <c r="R925" s="24">
        <f t="shared" si="1889"/>
        <v>0</v>
      </c>
      <c r="S925" s="24">
        <f t="shared" si="1889"/>
        <v>0</v>
      </c>
      <c r="T925" s="24">
        <f t="shared" si="4"/>
        <v>3</v>
      </c>
      <c r="Z925" s="25">
        <f t="shared" si="12"/>
        <v>1.20611448</v>
      </c>
    </row>
    <row r="926">
      <c r="A926" s="16" t="s">
        <v>3</v>
      </c>
      <c r="B926" s="17">
        <v>25.0</v>
      </c>
      <c r="C926" s="24">
        <f t="shared" si="1820"/>
        <v>903.0279842</v>
      </c>
      <c r="D926" s="25">
        <v>0.05</v>
      </c>
      <c r="E926" s="24">
        <f t="shared" si="1821"/>
        <v>19.30124699</v>
      </c>
      <c r="F926" s="25">
        <v>0.02</v>
      </c>
      <c r="G926" s="24">
        <f t="shared" si="1822"/>
        <v>129.0039977</v>
      </c>
      <c r="H926" s="25">
        <v>0.05</v>
      </c>
      <c r="I926" s="24">
        <f t="shared" si="1823"/>
        <v>16.08437249</v>
      </c>
      <c r="J926" s="25">
        <v>0.02</v>
      </c>
      <c r="K926" s="25">
        <v>0.0</v>
      </c>
      <c r="L926" s="24" t="str">
        <f t="shared" ref="L926:M926" si="1890">IF(L925="", "", 1 + IFERROR(MINIFS(OFFSET(L926, -1, 0, -MIN(ROW()-2, $B926), 1), OFFSET(L926, -1, 0, -MIN(ROW()-2, $B926), 1), "&gt;0"), L925) + ROUND((L$2 * (LN(1 + $Z926) ^ U$2) * (U$3 / 100)), 0))</f>
        <v/>
      </c>
      <c r="M926" s="24">
        <f t="shared" si="1890"/>
        <v>56280</v>
      </c>
      <c r="N926" s="24" t="str">
        <f t="shared" ref="N926:O926" si="1891">IF(N925="", "", 1 + IFERROR(MINIFS(OFFSET(N926, -1, 0, -MIN(ROW()-2, $B926), 1), OFFSET(N926, -1, 0, -MIN(ROW()-2, $B926), 1), "&gt;0"), N925) + ROUND(IFERROR(MINIFS(OFFSET(N926, -1, 0, -MIN(ROW()-2, $B926), 1), OFFSET(N926, -1, 0, -MIN(ROW()-2, $B926), 1), "&gt;0"), N925) * ((LN(1 + $Z926) ^ W$2) * (W$3 / 1000)), 0))</f>
        <v/>
      </c>
      <c r="O926" s="24" t="str">
        <f t="shared" si="1891"/>
        <v/>
      </c>
      <c r="P926" s="24">
        <f t="shared" ref="P926:S926" si="1892">L926*$Y$2</f>
        <v>0</v>
      </c>
      <c r="Q926" s="24">
        <f t="shared" si="1892"/>
        <v>14070</v>
      </c>
      <c r="R926" s="24">
        <f t="shared" si="1892"/>
        <v>0</v>
      </c>
      <c r="S926" s="24">
        <f t="shared" si="1892"/>
        <v>0</v>
      </c>
      <c r="T926" s="24">
        <f t="shared" si="4"/>
        <v>4</v>
      </c>
      <c r="Z926" s="25">
        <f t="shared" si="12"/>
        <v>1.283328487</v>
      </c>
    </row>
    <row r="927">
      <c r="A927" s="16" t="s">
        <v>3</v>
      </c>
      <c r="B927" s="17">
        <v>26.0</v>
      </c>
      <c r="C927" s="24">
        <f t="shared" si="1820"/>
        <v>948.1793835</v>
      </c>
      <c r="D927" s="25">
        <v>0.05</v>
      </c>
      <c r="E927" s="24">
        <f t="shared" si="1821"/>
        <v>19.68727193</v>
      </c>
      <c r="F927" s="25">
        <v>0.02</v>
      </c>
      <c r="G927" s="24">
        <f t="shared" si="1822"/>
        <v>135.4541976</v>
      </c>
      <c r="H927" s="25">
        <v>0.05</v>
      </c>
      <c r="I927" s="24">
        <f t="shared" si="1823"/>
        <v>16.40605994</v>
      </c>
      <c r="J927" s="25">
        <v>0.02</v>
      </c>
      <c r="K927" s="25">
        <v>0.0</v>
      </c>
      <c r="L927" s="24" t="str">
        <f t="shared" ref="L927:M927" si="1893">IF(L926="", "", 1 + IFERROR(MINIFS(OFFSET(L927, -1, 0, -MIN(ROW()-2, $B927), 1), OFFSET(L927, -1, 0, -MIN(ROW()-2, $B927), 1), "&gt;0"), L926) + ROUND((L$2 * (LN(1 + $Z927) ^ U$2) * (U$3 / 100)), 0))</f>
        <v/>
      </c>
      <c r="M927" s="24">
        <f t="shared" si="1893"/>
        <v>56283</v>
      </c>
      <c r="N927" s="24" t="str">
        <f t="shared" ref="N927:O927" si="1894">IF(N926="", "", 1 + IFERROR(MINIFS(OFFSET(N927, -1, 0, -MIN(ROW()-2, $B927), 1), OFFSET(N927, -1, 0, -MIN(ROW()-2, $B927), 1), "&gt;0"), N926) + ROUND(IFERROR(MINIFS(OFFSET(N927, -1, 0, -MIN(ROW()-2, $B927), 1), OFFSET(N927, -1, 0, -MIN(ROW()-2, $B927), 1), "&gt;0"), N926) * ((LN(1 + $Z927) ^ W$2) * (W$3 / 1000)), 0))</f>
        <v/>
      </c>
      <c r="O927" s="24" t="str">
        <f t="shared" si="1894"/>
        <v/>
      </c>
      <c r="P927" s="24">
        <f t="shared" ref="P927:S927" si="1895">L927*$Y$2</f>
        <v>0</v>
      </c>
      <c r="Q927" s="24">
        <f t="shared" si="1895"/>
        <v>14070.75</v>
      </c>
      <c r="R927" s="24">
        <f t="shared" si="1895"/>
        <v>0</v>
      </c>
      <c r="S927" s="24">
        <f t="shared" si="1895"/>
        <v>0</v>
      </c>
      <c r="T927" s="24">
        <f t="shared" si="4"/>
        <v>4</v>
      </c>
      <c r="Z927" s="25">
        <f t="shared" si="12"/>
        <v>1.363244984</v>
      </c>
    </row>
    <row r="928">
      <c r="A928" s="16" t="s">
        <v>3</v>
      </c>
      <c r="B928" s="17">
        <v>27.0</v>
      </c>
      <c r="C928" s="24">
        <f t="shared" si="1820"/>
        <v>995.5883526</v>
      </c>
      <c r="D928" s="25">
        <v>0.05</v>
      </c>
      <c r="E928" s="24">
        <f t="shared" si="1821"/>
        <v>20.08101737</v>
      </c>
      <c r="F928" s="25">
        <v>0.02</v>
      </c>
      <c r="G928" s="24">
        <f t="shared" si="1822"/>
        <v>142.2269075</v>
      </c>
      <c r="H928" s="25">
        <v>0.05</v>
      </c>
      <c r="I928" s="24">
        <f t="shared" si="1823"/>
        <v>16.73418114</v>
      </c>
      <c r="J928" s="25">
        <v>0.02</v>
      </c>
      <c r="K928" s="25">
        <v>0.0</v>
      </c>
      <c r="L928" s="24" t="str">
        <f t="shared" ref="L928:M928" si="1896">IF(L927="", "", 1 + IFERROR(MINIFS(OFFSET(L928, -1, 0, -MIN(ROW()-2, $B928), 1), OFFSET(L928, -1, 0, -MIN(ROW()-2, $B928), 1), "&gt;0"), L927) + ROUND((L$2 * (LN(1 + $Z928) ^ U$2) * (U$3 / 100)), 0))</f>
        <v/>
      </c>
      <c r="M928" s="24">
        <f t="shared" si="1896"/>
        <v>56286</v>
      </c>
      <c r="N928" s="24" t="str">
        <f t="shared" ref="N928:O928" si="1897">IF(N927="", "", 1 + IFERROR(MINIFS(OFFSET(N928, -1, 0, -MIN(ROW()-2, $B928), 1), OFFSET(N928, -1, 0, -MIN(ROW()-2, $B928), 1), "&gt;0"), N927) + ROUND(IFERROR(MINIFS(OFFSET(N928, -1, 0, -MIN(ROW()-2, $B928), 1), OFFSET(N928, -1, 0, -MIN(ROW()-2, $B928), 1), "&gt;0"), N927) * ((LN(1 + $Z928) ^ W$2) * (W$3 / 1000)), 0))</f>
        <v/>
      </c>
      <c r="O928" s="24" t="str">
        <f t="shared" si="1897"/>
        <v/>
      </c>
      <c r="P928" s="24">
        <f t="shared" ref="P928:S928" si="1898">L928*$Y$2</f>
        <v>0</v>
      </c>
      <c r="Q928" s="24">
        <f t="shared" si="1898"/>
        <v>14071.5</v>
      </c>
      <c r="R928" s="24">
        <f t="shared" si="1898"/>
        <v>0</v>
      </c>
      <c r="S928" s="24">
        <f t="shared" si="1898"/>
        <v>0</v>
      </c>
      <c r="T928" s="24">
        <f t="shared" si="4"/>
        <v>4</v>
      </c>
      <c r="Z928" s="25">
        <f t="shared" si="12"/>
        <v>1.445958559</v>
      </c>
    </row>
    <row r="929">
      <c r="A929" s="16" t="s">
        <v>3</v>
      </c>
      <c r="B929" s="17">
        <v>28.0</v>
      </c>
      <c r="C929" s="24">
        <f t="shared" si="1820"/>
        <v>1045.36777</v>
      </c>
      <c r="D929" s="25">
        <v>0.05</v>
      </c>
      <c r="E929" s="24">
        <f t="shared" si="1821"/>
        <v>20.48263772</v>
      </c>
      <c r="F929" s="25">
        <v>0.02</v>
      </c>
      <c r="G929" s="24">
        <f t="shared" si="1822"/>
        <v>149.3382529</v>
      </c>
      <c r="H929" s="25">
        <v>0.05</v>
      </c>
      <c r="I929" s="24">
        <f t="shared" si="1823"/>
        <v>17.06886477</v>
      </c>
      <c r="J929" s="25">
        <v>0.02</v>
      </c>
      <c r="K929" s="25">
        <v>0.0</v>
      </c>
      <c r="L929" s="24" t="str">
        <f t="shared" ref="L929:M929" si="1899">IF(L928="", "", 1 + IFERROR(MINIFS(OFFSET(L929, -1, 0, -MIN(ROW()-2, $B929), 1), OFFSET(L929, -1, 0, -MIN(ROW()-2, $B929), 1), "&gt;0"), L928) + ROUND((L$2 * (LN(1 + $Z929) ^ U$2) * (U$3 / 100)), 0))</f>
        <v/>
      </c>
      <c r="M929" s="24">
        <f t="shared" si="1899"/>
        <v>56289</v>
      </c>
      <c r="N929" s="24" t="str">
        <f t="shared" ref="N929:O929" si="1900">IF(N928="", "", 1 + IFERROR(MINIFS(OFFSET(N929, -1, 0, -MIN(ROW()-2, $B929), 1), OFFSET(N929, -1, 0, -MIN(ROW()-2, $B929), 1), "&gt;0"), N928) + ROUND(IFERROR(MINIFS(OFFSET(N929, -1, 0, -MIN(ROW()-2, $B929), 1), OFFSET(N929, -1, 0, -MIN(ROW()-2, $B929), 1), "&gt;0"), N928) * ((LN(1 + $Z929) ^ W$2) * (W$3 / 1000)), 0))</f>
        <v/>
      </c>
      <c r="O929" s="24" t="str">
        <f t="shared" si="1900"/>
        <v/>
      </c>
      <c r="P929" s="24">
        <f t="shared" ref="P929:S929" si="1901">L929*$Y$2</f>
        <v>0</v>
      </c>
      <c r="Q929" s="24">
        <f t="shared" si="1901"/>
        <v>14072.25</v>
      </c>
      <c r="R929" s="24">
        <f t="shared" si="1901"/>
        <v>0</v>
      </c>
      <c r="S929" s="24">
        <f t="shared" si="1901"/>
        <v>0</v>
      </c>
      <c r="T929" s="24">
        <f t="shared" si="4"/>
        <v>4</v>
      </c>
      <c r="Z929" s="25">
        <f t="shared" si="12"/>
        <v>1.531567108</v>
      </c>
    </row>
    <row r="930">
      <c r="A930" s="16" t="s">
        <v>3</v>
      </c>
      <c r="B930" s="17">
        <v>29.0</v>
      </c>
      <c r="C930" s="24">
        <f t="shared" si="1820"/>
        <v>1097.636159</v>
      </c>
      <c r="D930" s="25">
        <v>0.05</v>
      </c>
      <c r="E930" s="24">
        <f t="shared" si="1821"/>
        <v>20.89229047</v>
      </c>
      <c r="F930" s="25">
        <v>0.02</v>
      </c>
      <c r="G930" s="24">
        <f t="shared" si="1822"/>
        <v>156.8051655</v>
      </c>
      <c r="H930" s="25">
        <v>0.05</v>
      </c>
      <c r="I930" s="24">
        <f t="shared" si="1823"/>
        <v>17.41024206</v>
      </c>
      <c r="J930" s="25">
        <v>0.02</v>
      </c>
      <c r="K930" s="25">
        <v>0.0</v>
      </c>
      <c r="L930" s="24" t="str">
        <f t="shared" ref="L930:M930" si="1902">IF(L929="", "", 1 + IFERROR(MINIFS(OFFSET(L930, -1, 0, -MIN(ROW()-2, $B930), 1), OFFSET(L930, -1, 0, -MIN(ROW()-2, $B930), 1), "&gt;0"), L929) + ROUND((L$2 * (LN(1 + $Z930) ^ U$2) * (U$3 / 100)), 0))</f>
        <v/>
      </c>
      <c r="M930" s="24">
        <f t="shared" si="1902"/>
        <v>56292</v>
      </c>
      <c r="N930" s="24" t="str">
        <f t="shared" ref="N930:O930" si="1903">IF(N929="", "", 1 + IFERROR(MINIFS(OFFSET(N930, -1, 0, -MIN(ROW()-2, $B930), 1), OFFSET(N930, -1, 0, -MIN(ROW()-2, $B930), 1), "&gt;0"), N929) + ROUND(IFERROR(MINIFS(OFFSET(N930, -1, 0, -MIN(ROW()-2, $B930), 1), OFFSET(N930, -1, 0, -MIN(ROW()-2, $B930), 1), "&gt;0"), N929) * ((LN(1 + $Z930) ^ W$2) * (W$3 / 1000)), 0))</f>
        <v/>
      </c>
      <c r="O930" s="24" t="str">
        <f t="shared" si="1903"/>
        <v/>
      </c>
      <c r="P930" s="24">
        <f t="shared" ref="P930:S930" si="1904">L930*$Y$2</f>
        <v>0</v>
      </c>
      <c r="Q930" s="24">
        <f t="shared" si="1904"/>
        <v>14073</v>
      </c>
      <c r="R930" s="24">
        <f t="shared" si="1904"/>
        <v>0</v>
      </c>
      <c r="S930" s="24">
        <f t="shared" si="1904"/>
        <v>0</v>
      </c>
      <c r="T930" s="24">
        <f t="shared" si="4"/>
        <v>4</v>
      </c>
      <c r="Z930" s="25">
        <f t="shared" si="12"/>
        <v>1.620171957</v>
      </c>
    </row>
    <row r="931">
      <c r="A931" s="16" t="s">
        <v>3</v>
      </c>
      <c r="B931" s="17">
        <v>30.0</v>
      </c>
      <c r="C931" s="24">
        <f t="shared" si="1820"/>
        <v>1152.517967</v>
      </c>
      <c r="D931" s="25">
        <v>0.05</v>
      </c>
      <c r="E931" s="24">
        <f t="shared" si="1821"/>
        <v>21.31013628</v>
      </c>
      <c r="F931" s="25">
        <v>0.02</v>
      </c>
      <c r="G931" s="24">
        <f t="shared" si="1822"/>
        <v>164.6454238</v>
      </c>
      <c r="H931" s="25">
        <v>0.05</v>
      </c>
      <c r="I931" s="24">
        <f t="shared" si="1823"/>
        <v>17.7584469</v>
      </c>
      <c r="J931" s="25">
        <v>0.02</v>
      </c>
      <c r="K931" s="25">
        <v>0.0</v>
      </c>
      <c r="L931" s="24" t="str">
        <f t="shared" ref="L931:M931" si="1905">IF(L930="", "", 1 + IFERROR(MINIFS(OFFSET(L931, -1, 0, -MIN(ROW()-2, $B931), 1), OFFSET(L931, -1, 0, -MIN(ROW()-2, $B931), 1), "&gt;0"), L930) + ROUND((L$2 * (LN(1 + $Z931) ^ U$2) * (U$3 / 100)), 0))</f>
        <v/>
      </c>
      <c r="M931" s="24">
        <f t="shared" si="1905"/>
        <v>56295</v>
      </c>
      <c r="N931" s="24" t="str">
        <f t="shared" ref="N931:O931" si="1906">IF(N930="", "", 1 + IFERROR(MINIFS(OFFSET(N931, -1, 0, -MIN(ROW()-2, $B931), 1), OFFSET(N931, -1, 0, -MIN(ROW()-2, $B931), 1), "&gt;0"), N930) + ROUND(IFERROR(MINIFS(OFFSET(N931, -1, 0, -MIN(ROW()-2, $B931), 1), OFFSET(N931, -1, 0, -MIN(ROW()-2, $B931), 1), "&gt;0"), N930) * ((LN(1 + $Z931) ^ W$2) * (W$3 / 1000)), 0))</f>
        <v/>
      </c>
      <c r="O931" s="24" t="str">
        <f t="shared" si="1906"/>
        <v/>
      </c>
      <c r="P931" s="24">
        <f t="shared" ref="P931:S931" si="1907">L931*$Y$2</f>
        <v>0</v>
      </c>
      <c r="Q931" s="24">
        <f t="shared" si="1907"/>
        <v>14073.75</v>
      </c>
      <c r="R931" s="24">
        <f t="shared" si="1907"/>
        <v>0</v>
      </c>
      <c r="S931" s="24">
        <f t="shared" si="1907"/>
        <v>0</v>
      </c>
      <c r="T931" s="24">
        <f t="shared" si="4"/>
        <v>4</v>
      </c>
      <c r="Z931" s="25">
        <f t="shared" si="12"/>
        <v>1.711877976</v>
      </c>
    </row>
    <row r="932">
      <c r="A932" s="16" t="s">
        <v>3</v>
      </c>
      <c r="B932" s="17">
        <v>31.0</v>
      </c>
      <c r="C932" s="24">
        <f t="shared" si="1820"/>
        <v>1210.143865</v>
      </c>
      <c r="D932" s="25">
        <v>0.05</v>
      </c>
      <c r="E932" s="24">
        <f t="shared" si="1821"/>
        <v>21.73633901</v>
      </c>
      <c r="F932" s="25">
        <v>0.02</v>
      </c>
      <c r="G932" s="24">
        <f t="shared" si="1822"/>
        <v>172.877695</v>
      </c>
      <c r="H932" s="25">
        <v>0.05</v>
      </c>
      <c r="I932" s="24">
        <f t="shared" si="1823"/>
        <v>18.11361584</v>
      </c>
      <c r="J932" s="25">
        <v>0.02</v>
      </c>
      <c r="K932" s="25">
        <v>0.0</v>
      </c>
      <c r="L932" s="24" t="str">
        <f t="shared" ref="L932:M932" si="1908">IF(L931="", "", 1 + IFERROR(MINIFS(OFFSET(L932, -1, 0, -MIN(ROW()-2, $B932), 1), OFFSET(L932, -1, 0, -MIN(ROW()-2, $B932), 1), "&gt;0"), L931) + ROUND((L$2 * (LN(1 + $Z932) ^ U$2) * (U$3 / 100)), 0))</f>
        <v/>
      </c>
      <c r="M932" s="24">
        <f t="shared" si="1908"/>
        <v>56298</v>
      </c>
      <c r="N932" s="24" t="str">
        <f t="shared" ref="N932:O932" si="1909">IF(N931="", "", 1 + IFERROR(MINIFS(OFFSET(N932, -1, 0, -MIN(ROW()-2, $B932), 1), OFFSET(N932, -1, 0, -MIN(ROW()-2, $B932), 1), "&gt;0"), N931) + ROUND(IFERROR(MINIFS(OFFSET(N932, -1, 0, -MIN(ROW()-2, $B932), 1), OFFSET(N932, -1, 0, -MIN(ROW()-2, $B932), 1), "&gt;0"), N931) * ((LN(1 + $Z932) ^ W$2) * (W$3 / 1000)), 0))</f>
        <v/>
      </c>
      <c r="O932" s="24" t="str">
        <f t="shared" si="1909"/>
        <v/>
      </c>
      <c r="P932" s="24">
        <f t="shared" ref="P932:S932" si="1910">L932*$Y$2</f>
        <v>0</v>
      </c>
      <c r="Q932" s="24">
        <f t="shared" si="1910"/>
        <v>14074.5</v>
      </c>
      <c r="R932" s="24">
        <f t="shared" si="1910"/>
        <v>0</v>
      </c>
      <c r="S932" s="24">
        <f t="shared" si="1910"/>
        <v>0</v>
      </c>
      <c r="T932" s="24">
        <f t="shared" si="4"/>
        <v>4</v>
      </c>
      <c r="Z932" s="25">
        <f t="shared" si="12"/>
        <v>1.806793705</v>
      </c>
    </row>
    <row r="933">
      <c r="A933" s="16" t="s">
        <v>3</v>
      </c>
      <c r="B933" s="17">
        <v>32.0</v>
      </c>
      <c r="C933" s="24">
        <f t="shared" si="1820"/>
        <v>1270.651058</v>
      </c>
      <c r="D933" s="25">
        <v>0.05</v>
      </c>
      <c r="E933" s="24">
        <f t="shared" si="1821"/>
        <v>22.17106579</v>
      </c>
      <c r="F933" s="25">
        <v>0.02</v>
      </c>
      <c r="G933" s="24">
        <f t="shared" si="1822"/>
        <v>181.5215798</v>
      </c>
      <c r="H933" s="25">
        <v>0.05</v>
      </c>
      <c r="I933" s="24">
        <f t="shared" si="1823"/>
        <v>18.47588816</v>
      </c>
      <c r="J933" s="25">
        <v>0.02</v>
      </c>
      <c r="K933" s="25">
        <v>0.0</v>
      </c>
      <c r="L933" s="24" t="str">
        <f t="shared" ref="L933:M933" si="1911">IF(L932="", "", 1 + IFERROR(MINIFS(OFFSET(L933, -1, 0, -MIN(ROW()-2, $B933), 1), OFFSET(L933, -1, 0, -MIN(ROW()-2, $B933), 1), "&gt;0"), L932) + ROUND((L$2 * (LN(1 + $Z933) ^ U$2) * (U$3 / 100)), 0))</f>
        <v/>
      </c>
      <c r="M933" s="24">
        <f t="shared" si="1911"/>
        <v>56301</v>
      </c>
      <c r="N933" s="24" t="str">
        <f t="shared" ref="N933:O933" si="1912">IF(N932="", "", 1 + IFERROR(MINIFS(OFFSET(N933, -1, 0, -MIN(ROW()-2, $B933), 1), OFFSET(N933, -1, 0, -MIN(ROW()-2, $B933), 1), "&gt;0"), N932) + ROUND(IFERROR(MINIFS(OFFSET(N933, -1, 0, -MIN(ROW()-2, $B933), 1), OFFSET(N933, -1, 0, -MIN(ROW()-2, $B933), 1), "&gt;0"), N932) * ((LN(1 + $Z933) ^ W$2) * (W$3 / 1000)), 0))</f>
        <v/>
      </c>
      <c r="O933" s="24" t="str">
        <f t="shared" si="1912"/>
        <v/>
      </c>
      <c r="P933" s="24">
        <f t="shared" ref="P933:S933" si="1913">L933*$Y$2</f>
        <v>0</v>
      </c>
      <c r="Q933" s="24">
        <f t="shared" si="1913"/>
        <v>14075.25</v>
      </c>
      <c r="R933" s="24">
        <f t="shared" si="1913"/>
        <v>0</v>
      </c>
      <c r="S933" s="24">
        <f t="shared" si="1913"/>
        <v>0</v>
      </c>
      <c r="T933" s="24">
        <f t="shared" si="4"/>
        <v>4</v>
      </c>
      <c r="Z933" s="25">
        <f t="shared" si="12"/>
        <v>1.905031484</v>
      </c>
    </row>
    <row r="934">
      <c r="A934" s="16" t="s">
        <v>3</v>
      </c>
      <c r="B934" s="17">
        <v>33.0</v>
      </c>
      <c r="C934" s="24">
        <f t="shared" si="1820"/>
        <v>1334.183611</v>
      </c>
      <c r="D934" s="25">
        <v>0.05</v>
      </c>
      <c r="E934" s="24">
        <f t="shared" si="1821"/>
        <v>22.61448711</v>
      </c>
      <c r="F934" s="25">
        <v>0.02</v>
      </c>
      <c r="G934" s="24">
        <f t="shared" si="1822"/>
        <v>190.5976587</v>
      </c>
      <c r="H934" s="25">
        <v>0.05</v>
      </c>
      <c r="I934" s="24">
        <f t="shared" si="1823"/>
        <v>18.84540592</v>
      </c>
      <c r="J934" s="25">
        <v>0.02</v>
      </c>
      <c r="K934" s="25">
        <v>0.0</v>
      </c>
      <c r="L934" s="24" t="str">
        <f t="shared" ref="L934:M934" si="1914">IF(L933="", "", 1 + IFERROR(MINIFS(OFFSET(L934, -1, 0, -MIN(ROW()-2, $B934), 1), OFFSET(L934, -1, 0, -MIN(ROW()-2, $B934), 1), "&gt;0"), L933) + ROUND((L$2 * (LN(1 + $Z934) ^ U$2) * (U$3 / 100)), 0))</f>
        <v/>
      </c>
      <c r="M934" s="24">
        <f t="shared" si="1914"/>
        <v>56304</v>
      </c>
      <c r="N934" s="24" t="str">
        <f t="shared" ref="N934:O934" si="1915">IF(N933="", "", 1 + IFERROR(MINIFS(OFFSET(N934, -1, 0, -MIN(ROW()-2, $B934), 1), OFFSET(N934, -1, 0, -MIN(ROW()-2, $B934), 1), "&gt;0"), N933) + ROUND(IFERROR(MINIFS(OFFSET(N934, -1, 0, -MIN(ROW()-2, $B934), 1), OFFSET(N934, -1, 0, -MIN(ROW()-2, $B934), 1), "&gt;0"), N933) * ((LN(1 + $Z934) ^ W$2) * (W$3 / 1000)), 0))</f>
        <v/>
      </c>
      <c r="O934" s="24" t="str">
        <f t="shared" si="1915"/>
        <v/>
      </c>
      <c r="P934" s="24">
        <f t="shared" ref="P934:S934" si="1916">L934*$Y$2</f>
        <v>0</v>
      </c>
      <c r="Q934" s="24">
        <f t="shared" si="1916"/>
        <v>14076</v>
      </c>
      <c r="R934" s="24">
        <f t="shared" si="1916"/>
        <v>0</v>
      </c>
      <c r="S934" s="24">
        <f t="shared" si="1916"/>
        <v>0</v>
      </c>
      <c r="T934" s="24">
        <f t="shared" si="4"/>
        <v>4</v>
      </c>
      <c r="Z934" s="25">
        <f t="shared" si="12"/>
        <v>2.006707586</v>
      </c>
    </row>
    <row r="935">
      <c r="A935" s="16" t="s">
        <v>3</v>
      </c>
      <c r="B935" s="17">
        <v>34.0</v>
      </c>
      <c r="C935" s="24">
        <f t="shared" si="1820"/>
        <v>1400.892792</v>
      </c>
      <c r="D935" s="25">
        <v>0.05</v>
      </c>
      <c r="E935" s="24">
        <f t="shared" si="1821"/>
        <v>23.06677685</v>
      </c>
      <c r="F935" s="25">
        <v>0.02</v>
      </c>
      <c r="G935" s="24">
        <f t="shared" si="1822"/>
        <v>200.1275417</v>
      </c>
      <c r="H935" s="25">
        <v>0.05</v>
      </c>
      <c r="I935" s="24">
        <f t="shared" si="1823"/>
        <v>19.22231404</v>
      </c>
      <c r="J935" s="25">
        <v>0.02</v>
      </c>
      <c r="K935" s="25">
        <v>0.0</v>
      </c>
      <c r="L935" s="24" t="str">
        <f t="shared" ref="L935:M935" si="1917">IF(L934="", "", 1 + IFERROR(MINIFS(OFFSET(L935, -1, 0, -MIN(ROW()-2, $B935), 1), OFFSET(L935, -1, 0, -MIN(ROW()-2, $B935), 1), "&gt;0"), L934) + ROUND((L$2 * (LN(1 + $Z935) ^ U$2) * (U$3 / 100)), 0))</f>
        <v/>
      </c>
      <c r="M935" s="24">
        <f t="shared" si="1917"/>
        <v>56307</v>
      </c>
      <c r="N935" s="24" t="str">
        <f t="shared" ref="N935:O935" si="1918">IF(N934="", "", 1 + IFERROR(MINIFS(OFFSET(N935, -1, 0, -MIN(ROW()-2, $B935), 1), OFFSET(N935, -1, 0, -MIN(ROW()-2, $B935), 1), "&gt;0"), N934) + ROUND(IFERROR(MINIFS(OFFSET(N935, -1, 0, -MIN(ROW()-2, $B935), 1), OFFSET(N935, -1, 0, -MIN(ROW()-2, $B935), 1), "&gt;0"), N934) * ((LN(1 + $Z935) ^ W$2) * (W$3 / 1000)), 0))</f>
        <v/>
      </c>
      <c r="O935" s="24" t="str">
        <f t="shared" si="1918"/>
        <v/>
      </c>
      <c r="P935" s="24">
        <f t="shared" ref="P935:S935" si="1919">L935*$Y$2</f>
        <v>0</v>
      </c>
      <c r="Q935" s="24">
        <f t="shared" si="1919"/>
        <v>14076.75</v>
      </c>
      <c r="R935" s="24">
        <f t="shared" si="1919"/>
        <v>0</v>
      </c>
      <c r="S935" s="24">
        <f t="shared" si="1919"/>
        <v>0</v>
      </c>
      <c r="T935" s="24">
        <f t="shared" si="4"/>
        <v>4</v>
      </c>
      <c r="Z935" s="25">
        <f t="shared" si="12"/>
        <v>2.111942352</v>
      </c>
    </row>
    <row r="936">
      <c r="A936" s="16" t="s">
        <v>3</v>
      </c>
      <c r="B936" s="17">
        <v>35.0</v>
      </c>
      <c r="C936" s="24">
        <f t="shared" si="1820"/>
        <v>1470.937431</v>
      </c>
      <c r="D936" s="25">
        <v>0.05</v>
      </c>
      <c r="E936" s="24">
        <f t="shared" si="1821"/>
        <v>23.52811238</v>
      </c>
      <c r="F936" s="25">
        <v>0.02</v>
      </c>
      <c r="G936" s="24">
        <f t="shared" si="1822"/>
        <v>210.1339188</v>
      </c>
      <c r="H936" s="25">
        <v>0.05</v>
      </c>
      <c r="I936" s="24">
        <f t="shared" si="1823"/>
        <v>19.60676032</v>
      </c>
      <c r="J936" s="25">
        <v>0.02</v>
      </c>
      <c r="K936" s="25">
        <v>0.0</v>
      </c>
      <c r="L936" s="24" t="str">
        <f t="shared" ref="L936:M936" si="1920">IF(L935="", "", 1 + IFERROR(MINIFS(OFFSET(L936, -1, 0, -MIN(ROW()-2, $B936), 1), OFFSET(L936, -1, 0, -MIN(ROW()-2, $B936), 1), "&gt;0"), L935) + ROUND((L$2 * (LN(1 + $Z936) ^ U$2) * (U$3 / 100)), 0))</f>
        <v/>
      </c>
      <c r="M936" s="24">
        <f t="shared" si="1920"/>
        <v>56310</v>
      </c>
      <c r="N936" s="24" t="str">
        <f t="shared" ref="N936:O936" si="1921">IF(N935="", "", 1 + IFERROR(MINIFS(OFFSET(N936, -1, 0, -MIN(ROW()-2, $B936), 1), OFFSET(N936, -1, 0, -MIN(ROW()-2, $B936), 1), "&gt;0"), N935) + ROUND(IFERROR(MINIFS(OFFSET(N936, -1, 0, -MIN(ROW()-2, $B936), 1), OFFSET(N936, -1, 0, -MIN(ROW()-2, $B936), 1), "&gt;0"), N935) * ((LN(1 + $Z936) ^ W$2) * (W$3 / 1000)), 0))</f>
        <v/>
      </c>
      <c r="O936" s="24" t="str">
        <f t="shared" si="1921"/>
        <v/>
      </c>
      <c r="P936" s="24">
        <f t="shared" ref="P936:S936" si="1922">L936*$Y$2</f>
        <v>0</v>
      </c>
      <c r="Q936" s="24">
        <f t="shared" si="1922"/>
        <v>14077.5</v>
      </c>
      <c r="R936" s="24">
        <f t="shared" si="1922"/>
        <v>0</v>
      </c>
      <c r="S936" s="24">
        <f t="shared" si="1922"/>
        <v>0</v>
      </c>
      <c r="T936" s="24">
        <f t="shared" si="4"/>
        <v>5</v>
      </c>
      <c r="Z936" s="25">
        <f t="shared" si="12"/>
        <v>2.220860334</v>
      </c>
    </row>
    <row r="937">
      <c r="A937" s="16" t="s">
        <v>3</v>
      </c>
      <c r="B937" s="17">
        <v>36.0</v>
      </c>
      <c r="C937" s="24">
        <f t="shared" si="1820"/>
        <v>1544.484303</v>
      </c>
      <c r="D937" s="25">
        <v>0.05</v>
      </c>
      <c r="E937" s="24">
        <f t="shared" si="1821"/>
        <v>23.99867463</v>
      </c>
      <c r="F937" s="25">
        <v>0.02</v>
      </c>
      <c r="G937" s="24">
        <f t="shared" si="1822"/>
        <v>220.6406147</v>
      </c>
      <c r="H937" s="25">
        <v>0.05</v>
      </c>
      <c r="I937" s="24">
        <f t="shared" si="1823"/>
        <v>19.99889553</v>
      </c>
      <c r="J937" s="25">
        <v>0.02</v>
      </c>
      <c r="K937" s="25">
        <v>0.0</v>
      </c>
      <c r="L937" s="24" t="str">
        <f t="shared" ref="L937:M937" si="1923">IF(L936="", "", 1 + IFERROR(MINIFS(OFFSET(L937, -1, 0, -MIN(ROW()-2, $B937), 1), OFFSET(L937, -1, 0, -MIN(ROW()-2, $B937), 1), "&gt;0"), L936) + ROUND((L$2 * (LN(1 + $Z937) ^ U$2) * (U$3 / 100)), 0))</f>
        <v/>
      </c>
      <c r="M937" s="24">
        <f t="shared" si="1923"/>
        <v>56313</v>
      </c>
      <c r="N937" s="24" t="str">
        <f t="shared" ref="N937:O937" si="1924">IF(N936="", "", 1 + IFERROR(MINIFS(OFFSET(N937, -1, 0, -MIN(ROW()-2, $B937), 1), OFFSET(N937, -1, 0, -MIN(ROW()-2, $B937), 1), "&gt;0"), N936) + ROUND(IFERROR(MINIFS(OFFSET(N937, -1, 0, -MIN(ROW()-2, $B937), 1), OFFSET(N937, -1, 0, -MIN(ROW()-2, $B937), 1), "&gt;0"), N936) * ((LN(1 + $Z937) ^ W$2) * (W$3 / 1000)), 0))</f>
        <v/>
      </c>
      <c r="O937" s="24" t="str">
        <f t="shared" si="1924"/>
        <v/>
      </c>
      <c r="P937" s="24">
        <f t="shared" ref="P937:S937" si="1925">L937*$Y$2</f>
        <v>0</v>
      </c>
      <c r="Q937" s="24">
        <f t="shared" si="1925"/>
        <v>14078.25</v>
      </c>
      <c r="R937" s="24">
        <f t="shared" si="1925"/>
        <v>0</v>
      </c>
      <c r="S937" s="24">
        <f t="shared" si="1925"/>
        <v>0</v>
      </c>
      <c r="T937" s="24">
        <f t="shared" si="4"/>
        <v>5</v>
      </c>
      <c r="Z937" s="25">
        <f t="shared" si="12"/>
        <v>2.333590446</v>
      </c>
    </row>
    <row r="938">
      <c r="A938" s="16" t="s">
        <v>3</v>
      </c>
      <c r="B938" s="17">
        <v>37.0</v>
      </c>
      <c r="C938" s="24">
        <f t="shared" si="1820"/>
        <v>1621.708518</v>
      </c>
      <c r="D938" s="25">
        <v>0.05</v>
      </c>
      <c r="E938" s="24">
        <f t="shared" si="1821"/>
        <v>24.47864812</v>
      </c>
      <c r="F938" s="25">
        <v>0.02</v>
      </c>
      <c r="G938" s="24">
        <f t="shared" si="1822"/>
        <v>231.6726454</v>
      </c>
      <c r="H938" s="25">
        <v>0.05</v>
      </c>
      <c r="I938" s="24">
        <f t="shared" si="1823"/>
        <v>20.39887344</v>
      </c>
      <c r="J938" s="25">
        <v>0.02</v>
      </c>
      <c r="K938" s="25">
        <v>0.0</v>
      </c>
      <c r="L938" s="24" t="str">
        <f t="shared" ref="L938:M938" si="1926">IF(L937="", "", 1 + IFERROR(MINIFS(OFFSET(L938, -1, 0, -MIN(ROW()-2, $B938), 1), OFFSET(L938, -1, 0, -MIN(ROW()-2, $B938), 1), "&gt;0"), L937) + ROUND((L$2 * (LN(1 + $Z938) ^ U$2) * (U$3 / 100)), 0))</f>
        <v/>
      </c>
      <c r="M938" s="24">
        <f t="shared" si="1926"/>
        <v>56316</v>
      </c>
      <c r="N938" s="24" t="str">
        <f t="shared" ref="N938:O938" si="1927">IF(N937="", "", 1 + IFERROR(MINIFS(OFFSET(N938, -1, 0, -MIN(ROW()-2, $B938), 1), OFFSET(N938, -1, 0, -MIN(ROW()-2, $B938), 1), "&gt;0"), N937) + ROUND(IFERROR(MINIFS(OFFSET(N938, -1, 0, -MIN(ROW()-2, $B938), 1), OFFSET(N938, -1, 0, -MIN(ROW()-2, $B938), 1), "&gt;0"), N937) * ((LN(1 + $Z938) ^ W$2) * (W$3 / 1000)), 0))</f>
        <v/>
      </c>
      <c r="O938" s="24" t="str">
        <f t="shared" si="1927"/>
        <v/>
      </c>
      <c r="P938" s="24">
        <f t="shared" ref="P938:S938" si="1928">L938*$Y$2</f>
        <v>0</v>
      </c>
      <c r="Q938" s="24">
        <f t="shared" si="1928"/>
        <v>14079</v>
      </c>
      <c r="R938" s="24">
        <f t="shared" si="1928"/>
        <v>0</v>
      </c>
      <c r="S938" s="24">
        <f t="shared" si="1928"/>
        <v>0</v>
      </c>
      <c r="T938" s="24">
        <f t="shared" si="4"/>
        <v>5</v>
      </c>
      <c r="Z938" s="25">
        <f t="shared" si="12"/>
        <v>2.450266111</v>
      </c>
    </row>
    <row r="939">
      <c r="A939" s="16" t="s">
        <v>3</v>
      </c>
      <c r="B939" s="17">
        <v>38.0</v>
      </c>
      <c r="C939" s="24">
        <f t="shared" si="1820"/>
        <v>1702.793944</v>
      </c>
      <c r="D939" s="25">
        <v>0.05</v>
      </c>
      <c r="E939" s="24">
        <f t="shared" si="1821"/>
        <v>24.96822109</v>
      </c>
      <c r="F939" s="25">
        <v>0.02</v>
      </c>
      <c r="G939" s="24">
        <f t="shared" si="1822"/>
        <v>243.2562777</v>
      </c>
      <c r="H939" s="25">
        <v>0.05</v>
      </c>
      <c r="I939" s="24">
        <f t="shared" si="1823"/>
        <v>20.80685091</v>
      </c>
      <c r="J939" s="25">
        <v>0.02</v>
      </c>
      <c r="K939" s="25">
        <v>0.0</v>
      </c>
      <c r="L939" s="24" t="str">
        <f t="shared" ref="L939:M939" si="1929">IF(L938="", "", 1 + IFERROR(MINIFS(OFFSET(L939, -1, 0, -MIN(ROW()-2, $B939), 1), OFFSET(L939, -1, 0, -MIN(ROW()-2, $B939), 1), "&gt;0"), L938) + ROUND((L$2 * (LN(1 + $Z939) ^ U$2) * (U$3 / 100)), 0))</f>
        <v/>
      </c>
      <c r="M939" s="24">
        <f t="shared" si="1929"/>
        <v>56319</v>
      </c>
      <c r="N939" s="24" t="str">
        <f t="shared" ref="N939:O939" si="1930">IF(N938="", "", 1 + IFERROR(MINIFS(OFFSET(N939, -1, 0, -MIN(ROW()-2, $B939), 1), OFFSET(N939, -1, 0, -MIN(ROW()-2, $B939), 1), "&gt;0"), N938) + ROUND(IFERROR(MINIFS(OFFSET(N939, -1, 0, -MIN(ROW()-2, $B939), 1), OFFSET(N939, -1, 0, -MIN(ROW()-2, $B939), 1), "&gt;0"), N938) * ((LN(1 + $Z939) ^ W$2) * (W$3 / 1000)), 0))</f>
        <v/>
      </c>
      <c r="O939" s="24" t="str">
        <f t="shared" si="1930"/>
        <v/>
      </c>
      <c r="P939" s="24">
        <f t="shared" ref="P939:S939" si="1931">L939*$Y$2</f>
        <v>0</v>
      </c>
      <c r="Q939" s="24">
        <f t="shared" si="1931"/>
        <v>14079.75</v>
      </c>
      <c r="R939" s="24">
        <f t="shared" si="1931"/>
        <v>0</v>
      </c>
      <c r="S939" s="24">
        <f t="shared" si="1931"/>
        <v>0</v>
      </c>
      <c r="T939" s="24">
        <f t="shared" si="4"/>
        <v>5</v>
      </c>
      <c r="Z939" s="25">
        <f t="shared" si="12"/>
        <v>2.571025425</v>
      </c>
    </row>
    <row r="940">
      <c r="A940" s="16" t="s">
        <v>3</v>
      </c>
      <c r="B940" s="17">
        <v>39.0</v>
      </c>
      <c r="C940" s="24">
        <f t="shared" si="1820"/>
        <v>1787.933641</v>
      </c>
      <c r="D940" s="25">
        <v>0.05</v>
      </c>
      <c r="E940" s="24">
        <f t="shared" si="1821"/>
        <v>25.46758551</v>
      </c>
      <c r="F940" s="25">
        <v>0.02</v>
      </c>
      <c r="G940" s="24">
        <f t="shared" si="1822"/>
        <v>255.4190916</v>
      </c>
      <c r="H940" s="25">
        <v>0.05</v>
      </c>
      <c r="I940" s="24">
        <f t="shared" si="1823"/>
        <v>21.22298792</v>
      </c>
      <c r="J940" s="25">
        <v>0.02</v>
      </c>
      <c r="K940" s="25">
        <v>0.0</v>
      </c>
      <c r="L940" s="24" t="str">
        <f t="shared" ref="L940:M940" si="1932">IF(L939="", "", 1 + IFERROR(MINIFS(OFFSET(L940, -1, 0, -MIN(ROW()-2, $B940), 1), OFFSET(L940, -1, 0, -MIN(ROW()-2, $B940), 1), "&gt;0"), L939) + ROUND((L$2 * (LN(1 + $Z940) ^ U$2) * (U$3 / 100)), 0))</f>
        <v/>
      </c>
      <c r="M940" s="24">
        <f t="shared" si="1932"/>
        <v>56322</v>
      </c>
      <c r="N940" s="24" t="str">
        <f t="shared" ref="N940:O940" si="1933">IF(N939="", "", 1 + IFERROR(MINIFS(OFFSET(N940, -1, 0, -MIN(ROW()-2, $B940), 1), OFFSET(N940, -1, 0, -MIN(ROW()-2, $B940), 1), "&gt;0"), N939) + ROUND(IFERROR(MINIFS(OFFSET(N940, -1, 0, -MIN(ROW()-2, $B940), 1), OFFSET(N940, -1, 0, -MIN(ROW()-2, $B940), 1), "&gt;0"), N939) * ((LN(1 + $Z940) ^ W$2) * (W$3 / 1000)), 0))</f>
        <v/>
      </c>
      <c r="O940" s="24" t="str">
        <f t="shared" si="1933"/>
        <v/>
      </c>
      <c r="P940" s="24">
        <f t="shared" ref="P940:S940" si="1934">L940*$Y$2</f>
        <v>0</v>
      </c>
      <c r="Q940" s="24">
        <f t="shared" si="1934"/>
        <v>14080.5</v>
      </c>
      <c r="R940" s="24">
        <f t="shared" si="1934"/>
        <v>0</v>
      </c>
      <c r="S940" s="24">
        <f t="shared" si="1934"/>
        <v>0</v>
      </c>
      <c r="T940" s="24">
        <f t="shared" si="4"/>
        <v>5</v>
      </c>
      <c r="Z940" s="25">
        <f t="shared" si="12"/>
        <v>2.696011315</v>
      </c>
    </row>
    <row r="941">
      <c r="A941" s="16" t="s">
        <v>3</v>
      </c>
      <c r="B941" s="17">
        <v>40.0</v>
      </c>
      <c r="C941" s="24">
        <f t="shared" si="1820"/>
        <v>1877.330323</v>
      </c>
      <c r="D941" s="25">
        <v>0.05</v>
      </c>
      <c r="E941" s="24">
        <f t="shared" si="1821"/>
        <v>25.97693722</v>
      </c>
      <c r="F941" s="25">
        <v>0.02</v>
      </c>
      <c r="G941" s="24">
        <f t="shared" si="1822"/>
        <v>268.1900462</v>
      </c>
      <c r="H941" s="25">
        <v>0.05</v>
      </c>
      <c r="I941" s="24">
        <f t="shared" si="1823"/>
        <v>21.64744768</v>
      </c>
      <c r="J941" s="25">
        <v>0.02</v>
      </c>
      <c r="K941" s="25">
        <v>0.0</v>
      </c>
      <c r="L941" s="24" t="str">
        <f t="shared" ref="L941:M941" si="1935">IF(L940="", "", 1 + IFERROR(MINIFS(OFFSET(L941, -1, 0, -MIN(ROW()-2, $B941), 1), OFFSET(L941, -1, 0, -MIN(ROW()-2, $B941), 1), "&gt;0"), L940) + ROUND((L$2 * (LN(1 + $Z941) ^ U$2) * (U$3 / 100)), 0))</f>
        <v/>
      </c>
      <c r="M941" s="24">
        <f t="shared" si="1935"/>
        <v>56325</v>
      </c>
      <c r="N941" s="24" t="str">
        <f t="shared" ref="N941:O941" si="1936">IF(N940="", "", 1 + IFERROR(MINIFS(OFFSET(N941, -1, 0, -MIN(ROW()-2, $B941), 1), OFFSET(N941, -1, 0, -MIN(ROW()-2, $B941), 1), "&gt;0"), N940) + ROUND(IFERROR(MINIFS(OFFSET(N941, -1, 0, -MIN(ROW()-2, $B941), 1), OFFSET(N941, -1, 0, -MIN(ROW()-2, $B941), 1), "&gt;0"), N940) * ((LN(1 + $Z941) ^ W$2) * (W$3 / 1000)), 0))</f>
        <v/>
      </c>
      <c r="O941" s="24" t="str">
        <f t="shared" si="1936"/>
        <v/>
      </c>
      <c r="P941" s="24">
        <f t="shared" ref="P941:S941" si="1937">L941*$Y$2</f>
        <v>0</v>
      </c>
      <c r="Q941" s="24">
        <f t="shared" si="1937"/>
        <v>14081.25</v>
      </c>
      <c r="R941" s="24">
        <f t="shared" si="1937"/>
        <v>0</v>
      </c>
      <c r="S941" s="24">
        <f t="shared" si="1937"/>
        <v>0</v>
      </c>
      <c r="T941" s="24">
        <f t="shared" si="4"/>
        <v>5</v>
      </c>
      <c r="Z941" s="25">
        <f t="shared" si="12"/>
        <v>2.825371711</v>
      </c>
    </row>
    <row r="942">
      <c r="A942" s="16" t="s">
        <v>3</v>
      </c>
      <c r="B942" s="17">
        <v>41.0</v>
      </c>
      <c r="C942" s="24">
        <f t="shared" si="1820"/>
        <v>1971.196839</v>
      </c>
      <c r="D942" s="25">
        <v>0.05</v>
      </c>
      <c r="E942" s="24">
        <f t="shared" si="1821"/>
        <v>26.49647596</v>
      </c>
      <c r="F942" s="25">
        <v>0.02</v>
      </c>
      <c r="G942" s="24">
        <f t="shared" si="1822"/>
        <v>281.5995485</v>
      </c>
      <c r="H942" s="25">
        <v>0.05</v>
      </c>
      <c r="I942" s="24">
        <f t="shared" si="1823"/>
        <v>22.08039664</v>
      </c>
      <c r="J942" s="25">
        <v>0.02</v>
      </c>
      <c r="K942" s="25">
        <v>0.0</v>
      </c>
      <c r="L942" s="24" t="str">
        <f t="shared" ref="L942:M942" si="1938">IF(L941="", "", 1 + IFERROR(MINIFS(OFFSET(L942, -1, 0, -MIN(ROW()-2, $B942), 1), OFFSET(L942, -1, 0, -MIN(ROW()-2, $B942), 1), "&gt;0"), L941) + ROUND((L$2 * (LN(1 + $Z942) ^ U$2) * (U$3 / 100)), 0))</f>
        <v/>
      </c>
      <c r="M942" s="24">
        <f t="shared" si="1938"/>
        <v>56329</v>
      </c>
      <c r="N942" s="24" t="str">
        <f t="shared" ref="N942:O942" si="1939">IF(N941="", "", 1 + IFERROR(MINIFS(OFFSET(N942, -1, 0, -MIN(ROW()-2, $B942), 1), OFFSET(N942, -1, 0, -MIN(ROW()-2, $B942), 1), "&gt;0"), N941) + ROUND(IFERROR(MINIFS(OFFSET(N942, -1, 0, -MIN(ROW()-2, $B942), 1), OFFSET(N942, -1, 0, -MIN(ROW()-2, $B942), 1), "&gt;0"), N941) * ((LN(1 + $Z942) ^ W$2) * (W$3 / 1000)), 0))</f>
        <v/>
      </c>
      <c r="O942" s="24" t="str">
        <f t="shared" si="1939"/>
        <v/>
      </c>
      <c r="P942" s="24">
        <f t="shared" ref="P942:S942" si="1940">L942*$Y$2</f>
        <v>0</v>
      </c>
      <c r="Q942" s="24">
        <f t="shared" si="1940"/>
        <v>14082.25</v>
      </c>
      <c r="R942" s="24">
        <f t="shared" si="1940"/>
        <v>0</v>
      </c>
      <c r="S942" s="24">
        <f t="shared" si="1940"/>
        <v>0</v>
      </c>
      <c r="T942" s="24">
        <f t="shared" si="4"/>
        <v>5</v>
      </c>
      <c r="Z942" s="25">
        <f t="shared" si="12"/>
        <v>2.959259721</v>
      </c>
    </row>
    <row r="943">
      <c r="A943" s="16" t="s">
        <v>3</v>
      </c>
      <c r="B943" s="17">
        <v>42.0</v>
      </c>
      <c r="C943" s="24">
        <f t="shared" si="1820"/>
        <v>2069.756681</v>
      </c>
      <c r="D943" s="25">
        <v>0.05</v>
      </c>
      <c r="E943" s="24">
        <f t="shared" si="1821"/>
        <v>27.02640548</v>
      </c>
      <c r="F943" s="25">
        <v>0.02</v>
      </c>
      <c r="G943" s="24">
        <f t="shared" si="1822"/>
        <v>295.6795259</v>
      </c>
      <c r="H943" s="25">
        <v>0.05</v>
      </c>
      <c r="I943" s="24">
        <f t="shared" si="1823"/>
        <v>22.52200457</v>
      </c>
      <c r="J943" s="25">
        <v>0.02</v>
      </c>
      <c r="K943" s="25">
        <v>0.0</v>
      </c>
      <c r="L943" s="24" t="str">
        <f t="shared" ref="L943:M943" si="1941">IF(L942="", "", 1 + IFERROR(MINIFS(OFFSET(L943, -1, 0, -MIN(ROW()-2, $B943), 1), OFFSET(L943, -1, 0, -MIN(ROW()-2, $B943), 1), "&gt;0"), L942) + ROUND((L$2 * (LN(1 + $Z943) ^ U$2) * (U$3 / 100)), 0))</f>
        <v/>
      </c>
      <c r="M943" s="24">
        <f t="shared" si="1941"/>
        <v>56333</v>
      </c>
      <c r="N943" s="24" t="str">
        <f t="shared" ref="N943:O943" si="1942">IF(N942="", "", 1 + IFERROR(MINIFS(OFFSET(N943, -1, 0, -MIN(ROW()-2, $B943), 1), OFFSET(N943, -1, 0, -MIN(ROW()-2, $B943), 1), "&gt;0"), N942) + ROUND(IFERROR(MINIFS(OFFSET(N943, -1, 0, -MIN(ROW()-2, $B943), 1), OFFSET(N943, -1, 0, -MIN(ROW()-2, $B943), 1), "&gt;0"), N942) * ((LN(1 + $Z943) ^ W$2) * (W$3 / 1000)), 0))</f>
        <v/>
      </c>
      <c r="O943" s="24" t="str">
        <f t="shared" si="1942"/>
        <v/>
      </c>
      <c r="P943" s="24">
        <f t="shared" ref="P943:S943" si="1943">L943*$Y$2</f>
        <v>0</v>
      </c>
      <c r="Q943" s="24">
        <f t="shared" si="1943"/>
        <v>14083.25</v>
      </c>
      <c r="R943" s="24">
        <f t="shared" si="1943"/>
        <v>0</v>
      </c>
      <c r="S943" s="24">
        <f t="shared" si="1943"/>
        <v>0</v>
      </c>
      <c r="T943" s="24">
        <f t="shared" si="4"/>
        <v>5</v>
      </c>
      <c r="Z943" s="25">
        <f t="shared" si="12"/>
        <v>3.097833811</v>
      </c>
    </row>
    <row r="944">
      <c r="A944" s="16" t="s">
        <v>3</v>
      </c>
      <c r="B944" s="17">
        <v>43.0</v>
      </c>
      <c r="C944" s="24">
        <f t="shared" si="1820"/>
        <v>2173.244515</v>
      </c>
      <c r="D944" s="25">
        <v>0.05</v>
      </c>
      <c r="E944" s="24">
        <f t="shared" si="1821"/>
        <v>27.56693359</v>
      </c>
      <c r="F944" s="25">
        <v>0.02</v>
      </c>
      <c r="G944" s="24">
        <f t="shared" si="1822"/>
        <v>310.4635022</v>
      </c>
      <c r="H944" s="25">
        <v>0.05</v>
      </c>
      <c r="I944" s="24">
        <f t="shared" si="1823"/>
        <v>22.97244466</v>
      </c>
      <c r="J944" s="25">
        <v>0.02</v>
      </c>
      <c r="K944" s="25">
        <v>0.0</v>
      </c>
      <c r="L944" s="24" t="str">
        <f t="shared" ref="L944:M944" si="1944">IF(L943="", "", 1 + IFERROR(MINIFS(OFFSET(L944, -1, 0, -MIN(ROW()-2, $B944), 1), OFFSET(L944, -1, 0, -MIN(ROW()-2, $B944), 1), "&gt;0"), L943) + ROUND((L$2 * (LN(1 + $Z944) ^ U$2) * (U$3 / 100)), 0))</f>
        <v/>
      </c>
      <c r="M944" s="24">
        <f t="shared" si="1944"/>
        <v>56337</v>
      </c>
      <c r="N944" s="24" t="str">
        <f t="shared" ref="N944:O944" si="1945">IF(N943="", "", 1 + IFERROR(MINIFS(OFFSET(N944, -1, 0, -MIN(ROW()-2, $B944), 1), OFFSET(N944, -1, 0, -MIN(ROW()-2, $B944), 1), "&gt;0"), N943) + ROUND(IFERROR(MINIFS(OFFSET(N944, -1, 0, -MIN(ROW()-2, $B944), 1), OFFSET(N944, -1, 0, -MIN(ROW()-2, $B944), 1), "&gt;0"), N943) * ((LN(1 + $Z944) ^ W$2) * (W$3 / 1000)), 0))</f>
        <v/>
      </c>
      <c r="O944" s="24" t="str">
        <f t="shared" si="1945"/>
        <v/>
      </c>
      <c r="P944" s="24">
        <f t="shared" ref="P944:S944" si="1946">L944*$Y$2</f>
        <v>0</v>
      </c>
      <c r="Q944" s="24">
        <f t="shared" si="1946"/>
        <v>14084.25</v>
      </c>
      <c r="R944" s="24">
        <f t="shared" si="1946"/>
        <v>0</v>
      </c>
      <c r="S944" s="24">
        <f t="shared" si="1946"/>
        <v>0</v>
      </c>
      <c r="T944" s="24">
        <f t="shared" si="4"/>
        <v>5</v>
      </c>
      <c r="Z944" s="25">
        <f t="shared" si="12"/>
        <v>3.241257995</v>
      </c>
    </row>
    <row r="945">
      <c r="A945" s="16" t="s">
        <v>3</v>
      </c>
      <c r="B945" s="17">
        <v>44.0</v>
      </c>
      <c r="C945" s="24">
        <f t="shared" si="1820"/>
        <v>2281.906741</v>
      </c>
      <c r="D945" s="25">
        <v>0.05</v>
      </c>
      <c r="E945" s="24">
        <f t="shared" si="1821"/>
        <v>28.11827226</v>
      </c>
      <c r="F945" s="25">
        <v>0.02</v>
      </c>
      <c r="G945" s="24">
        <f t="shared" si="1822"/>
        <v>325.9866773</v>
      </c>
      <c r="H945" s="25">
        <v>0.05</v>
      </c>
      <c r="I945" s="24">
        <f t="shared" si="1823"/>
        <v>23.43189355</v>
      </c>
      <c r="J945" s="25">
        <v>0.02</v>
      </c>
      <c r="K945" s="25">
        <v>0.0</v>
      </c>
      <c r="L945" s="24" t="str">
        <f t="shared" ref="L945:M945" si="1947">IF(L944="", "", 1 + IFERROR(MINIFS(OFFSET(L945, -1, 0, -MIN(ROW()-2, $B945), 1), OFFSET(L945, -1, 0, -MIN(ROW()-2, $B945), 1), "&gt;0"), L944) + ROUND((L$2 * (LN(1 + $Z945) ^ U$2) * (U$3 / 100)), 0))</f>
        <v/>
      </c>
      <c r="M945" s="24">
        <f t="shared" si="1947"/>
        <v>56341</v>
      </c>
      <c r="N945" s="24" t="str">
        <f t="shared" ref="N945:O945" si="1948">IF(N944="", "", 1 + IFERROR(MINIFS(OFFSET(N945, -1, 0, -MIN(ROW()-2, $B945), 1), OFFSET(N945, -1, 0, -MIN(ROW()-2, $B945), 1), "&gt;0"), N944) + ROUND(IFERROR(MINIFS(OFFSET(N945, -1, 0, -MIN(ROW()-2, $B945), 1), OFFSET(N945, -1, 0, -MIN(ROW()-2, $B945), 1), "&gt;0"), N944) * ((LN(1 + $Z945) ^ W$2) * (W$3 / 1000)), 0))</f>
        <v/>
      </c>
      <c r="O945" s="24" t="str">
        <f t="shared" si="1948"/>
        <v/>
      </c>
      <c r="P945" s="24">
        <f t="shared" ref="P945:S945" si="1949">L945*$Y$2</f>
        <v>0</v>
      </c>
      <c r="Q945" s="24">
        <f t="shared" si="1949"/>
        <v>14085.25</v>
      </c>
      <c r="R945" s="24">
        <f t="shared" si="1949"/>
        <v>0</v>
      </c>
      <c r="S945" s="24">
        <f t="shared" si="1949"/>
        <v>0</v>
      </c>
      <c r="T945" s="24">
        <f t="shared" si="4"/>
        <v>5</v>
      </c>
      <c r="Z945" s="25">
        <f t="shared" si="12"/>
        <v>3.389702025</v>
      </c>
    </row>
    <row r="946">
      <c r="A946" s="16" t="s">
        <v>3</v>
      </c>
      <c r="B946" s="17">
        <v>45.0</v>
      </c>
      <c r="C946" s="24">
        <f t="shared" si="1820"/>
        <v>2396.002078</v>
      </c>
      <c r="D946" s="25">
        <v>0.05</v>
      </c>
      <c r="E946" s="24">
        <f t="shared" si="1821"/>
        <v>28.68063771</v>
      </c>
      <c r="F946" s="25">
        <v>0.02</v>
      </c>
      <c r="G946" s="24">
        <f t="shared" si="1822"/>
        <v>342.2860112</v>
      </c>
      <c r="H946" s="25">
        <v>0.05</v>
      </c>
      <c r="I946" s="24">
        <f t="shared" si="1823"/>
        <v>23.90053142</v>
      </c>
      <c r="J946" s="25">
        <v>0.02</v>
      </c>
      <c r="K946" s="25">
        <v>0.0</v>
      </c>
      <c r="L946" s="24" t="str">
        <f t="shared" ref="L946:M946" si="1950">IF(L945="", "", 1 + IFERROR(MINIFS(OFFSET(L946, -1, 0, -MIN(ROW()-2, $B946), 1), OFFSET(L946, -1, 0, -MIN(ROW()-2, $B946), 1), "&gt;0"), L945) + ROUND((L$2 * (LN(1 + $Z946) ^ U$2) * (U$3 / 100)), 0))</f>
        <v/>
      </c>
      <c r="M946" s="24">
        <f t="shared" si="1950"/>
        <v>56345</v>
      </c>
      <c r="N946" s="24" t="str">
        <f t="shared" ref="N946:O946" si="1951">IF(N945="", "", 1 + IFERROR(MINIFS(OFFSET(N946, -1, 0, -MIN(ROW()-2, $B946), 1), OFFSET(N946, -1, 0, -MIN(ROW()-2, $B946), 1), "&gt;0"), N945) + ROUND(IFERROR(MINIFS(OFFSET(N946, -1, 0, -MIN(ROW()-2, $B946), 1), OFFSET(N946, -1, 0, -MIN(ROW()-2, $B946), 1), "&gt;0"), N945) * ((LN(1 + $Z946) ^ W$2) * (W$3 / 1000)), 0))</f>
        <v/>
      </c>
      <c r="O946" s="24" t="str">
        <f t="shared" si="1951"/>
        <v/>
      </c>
      <c r="P946" s="24">
        <f t="shared" ref="P946:S946" si="1952">L946*$Y$2</f>
        <v>0</v>
      </c>
      <c r="Q946" s="24">
        <f t="shared" si="1952"/>
        <v>14086.25</v>
      </c>
      <c r="R946" s="24">
        <f t="shared" si="1952"/>
        <v>0</v>
      </c>
      <c r="S946" s="24">
        <f t="shared" si="1952"/>
        <v>0</v>
      </c>
      <c r="T946" s="24">
        <f t="shared" si="4"/>
        <v>6</v>
      </c>
      <c r="Z946" s="25">
        <f t="shared" si="12"/>
        <v>3.543341595</v>
      </c>
    </row>
    <row r="947">
      <c r="A947" s="16" t="s">
        <v>3</v>
      </c>
      <c r="B947" s="17">
        <v>46.0</v>
      </c>
      <c r="C947" s="24">
        <f t="shared" si="1820"/>
        <v>2515.802182</v>
      </c>
      <c r="D947" s="25">
        <v>0.05</v>
      </c>
      <c r="E947" s="24">
        <f t="shared" si="1821"/>
        <v>29.25425046</v>
      </c>
      <c r="F947" s="25">
        <v>0.02</v>
      </c>
      <c r="G947" s="24">
        <f t="shared" si="1822"/>
        <v>359.4003117</v>
      </c>
      <c r="H947" s="25">
        <v>0.05</v>
      </c>
      <c r="I947" s="24">
        <f t="shared" si="1823"/>
        <v>24.37854205</v>
      </c>
      <c r="J947" s="25">
        <v>0.02</v>
      </c>
      <c r="K947" s="25">
        <v>0.0</v>
      </c>
      <c r="L947" s="24" t="str">
        <f t="shared" ref="L947:M947" si="1953">IF(L946="", "", 1 + IFERROR(MINIFS(OFFSET(L947, -1, 0, -MIN(ROW()-2, $B947), 1), OFFSET(L947, -1, 0, -MIN(ROW()-2, $B947), 1), "&gt;0"), L946) + ROUND((L$2 * (LN(1 + $Z947) ^ U$2) * (U$3 / 100)), 0))</f>
        <v/>
      </c>
      <c r="M947" s="24">
        <f t="shared" si="1953"/>
        <v>56349</v>
      </c>
      <c r="N947" s="24" t="str">
        <f t="shared" ref="N947:O947" si="1954">IF(N946="", "", 1 + IFERROR(MINIFS(OFFSET(N947, -1, 0, -MIN(ROW()-2, $B947), 1), OFFSET(N947, -1, 0, -MIN(ROW()-2, $B947), 1), "&gt;0"), N946) + ROUND(IFERROR(MINIFS(OFFSET(N947, -1, 0, -MIN(ROW()-2, $B947), 1), OFFSET(N947, -1, 0, -MIN(ROW()-2, $B947), 1), "&gt;0"), N946) * ((LN(1 + $Z947) ^ W$2) * (W$3 / 1000)), 0))</f>
        <v/>
      </c>
      <c r="O947" s="24" t="str">
        <f t="shared" si="1954"/>
        <v/>
      </c>
      <c r="P947" s="24">
        <f t="shared" ref="P947:S947" si="1955">L947*$Y$2</f>
        <v>0</v>
      </c>
      <c r="Q947" s="24">
        <f t="shared" si="1955"/>
        <v>14087.25</v>
      </c>
      <c r="R947" s="24">
        <f t="shared" si="1955"/>
        <v>0</v>
      </c>
      <c r="S947" s="24">
        <f t="shared" si="1955"/>
        <v>0</v>
      </c>
      <c r="T947" s="24">
        <f t="shared" si="4"/>
        <v>6</v>
      </c>
      <c r="Z947" s="25">
        <f t="shared" si="12"/>
        <v>3.702358551</v>
      </c>
    </row>
    <row r="948">
      <c r="A948" s="16" t="s">
        <v>3</v>
      </c>
      <c r="B948" s="17">
        <v>47.0</v>
      </c>
      <c r="C948" s="24">
        <f t="shared" si="1820"/>
        <v>2641.592291</v>
      </c>
      <c r="D948" s="25">
        <v>0.05</v>
      </c>
      <c r="E948" s="24">
        <f t="shared" si="1821"/>
        <v>29.83933547</v>
      </c>
      <c r="F948" s="25">
        <v>0.02</v>
      </c>
      <c r="G948" s="24">
        <f t="shared" si="1822"/>
        <v>377.3703273</v>
      </c>
      <c r="H948" s="25">
        <v>0.05</v>
      </c>
      <c r="I948" s="24">
        <f t="shared" si="1823"/>
        <v>24.86611289</v>
      </c>
      <c r="J948" s="25">
        <v>0.02</v>
      </c>
      <c r="K948" s="25">
        <v>0.0</v>
      </c>
      <c r="L948" s="24" t="str">
        <f t="shared" ref="L948:M948" si="1956">IF(L947="", "", 1 + IFERROR(MINIFS(OFFSET(L948, -1, 0, -MIN(ROW()-2, $B948), 1), OFFSET(L948, -1, 0, -MIN(ROW()-2, $B948), 1), "&gt;0"), L947) + ROUND((L$2 * (LN(1 + $Z948) ^ U$2) * (U$3 / 100)), 0))</f>
        <v/>
      </c>
      <c r="M948" s="24">
        <f t="shared" si="1956"/>
        <v>56353</v>
      </c>
      <c r="N948" s="24" t="str">
        <f t="shared" ref="N948:O948" si="1957">IF(N947="", "", 1 + IFERROR(MINIFS(OFFSET(N948, -1, 0, -MIN(ROW()-2, $B948), 1), OFFSET(N948, -1, 0, -MIN(ROW()-2, $B948), 1), "&gt;0"), N947) + ROUND(IFERROR(MINIFS(OFFSET(N948, -1, 0, -MIN(ROW()-2, $B948), 1), OFFSET(N948, -1, 0, -MIN(ROW()-2, $B948), 1), "&gt;0"), N947) * ((LN(1 + $Z948) ^ W$2) * (W$3 / 1000)), 0))</f>
        <v/>
      </c>
      <c r="O948" s="24" t="str">
        <f t="shared" si="1957"/>
        <v/>
      </c>
      <c r="P948" s="24">
        <f t="shared" ref="P948:S948" si="1958">L948*$Y$2</f>
        <v>0</v>
      </c>
      <c r="Q948" s="24">
        <f t="shared" si="1958"/>
        <v>14088.25</v>
      </c>
      <c r="R948" s="24">
        <f t="shared" si="1958"/>
        <v>0</v>
      </c>
      <c r="S948" s="24">
        <f t="shared" si="1958"/>
        <v>0</v>
      </c>
      <c r="T948" s="24">
        <f t="shared" si="4"/>
        <v>6</v>
      </c>
      <c r="Z948" s="25">
        <f t="shared" si="12"/>
        <v>3.866941101</v>
      </c>
    </row>
    <row r="949">
      <c r="A949" s="16" t="s">
        <v>3</v>
      </c>
      <c r="B949" s="17">
        <v>48.0</v>
      </c>
      <c r="C949" s="24">
        <f t="shared" si="1820"/>
        <v>2773.671906</v>
      </c>
      <c r="D949" s="25">
        <v>0.05</v>
      </c>
      <c r="E949" s="24">
        <f t="shared" si="1821"/>
        <v>30.43612218</v>
      </c>
      <c r="F949" s="25">
        <v>0.02</v>
      </c>
      <c r="G949" s="24">
        <f t="shared" si="1822"/>
        <v>396.2388437</v>
      </c>
      <c r="H949" s="25">
        <v>0.05</v>
      </c>
      <c r="I949" s="24">
        <f t="shared" si="1823"/>
        <v>25.36343515</v>
      </c>
      <c r="J949" s="25">
        <v>0.02</v>
      </c>
      <c r="K949" s="25">
        <v>0.0</v>
      </c>
      <c r="L949" s="24" t="str">
        <f t="shared" ref="L949:M949" si="1959">IF(L948="", "", 1 + IFERROR(MINIFS(OFFSET(L949, -1, 0, -MIN(ROW()-2, $B949), 1), OFFSET(L949, -1, 0, -MIN(ROW()-2, $B949), 1), "&gt;0"), L948) + ROUND((L$2 * (LN(1 + $Z949) ^ U$2) * (U$3 / 100)), 0))</f>
        <v/>
      </c>
      <c r="M949" s="24">
        <f t="shared" si="1959"/>
        <v>56357</v>
      </c>
      <c r="N949" s="24" t="str">
        <f t="shared" ref="N949:O949" si="1960">IF(N948="", "", 1 + IFERROR(MINIFS(OFFSET(N949, -1, 0, -MIN(ROW()-2, $B949), 1), OFFSET(N949, -1, 0, -MIN(ROW()-2, $B949), 1), "&gt;0"), N948) + ROUND(IFERROR(MINIFS(OFFSET(N949, -1, 0, -MIN(ROW()-2, $B949), 1), OFFSET(N949, -1, 0, -MIN(ROW()-2, $B949), 1), "&gt;0"), N948) * ((LN(1 + $Z949) ^ W$2) * (W$3 / 1000)), 0))</f>
        <v/>
      </c>
      <c r="O949" s="24" t="str">
        <f t="shared" si="1960"/>
        <v/>
      </c>
      <c r="P949" s="24">
        <f t="shared" ref="P949:S949" si="1961">L949*$Y$2</f>
        <v>0</v>
      </c>
      <c r="Q949" s="24">
        <f t="shared" si="1961"/>
        <v>14089.25</v>
      </c>
      <c r="R949" s="24">
        <f t="shared" si="1961"/>
        <v>0</v>
      </c>
      <c r="S949" s="24">
        <f t="shared" si="1961"/>
        <v>0</v>
      </c>
      <c r="T949" s="24">
        <f t="shared" si="4"/>
        <v>6</v>
      </c>
      <c r="Z949" s="25">
        <f t="shared" si="12"/>
        <v>4.037284039</v>
      </c>
    </row>
    <row r="950">
      <c r="A950" s="16" t="s">
        <v>3</v>
      </c>
      <c r="B950" s="17">
        <v>49.0</v>
      </c>
      <c r="C950" s="24">
        <f t="shared" si="1820"/>
        <v>2912.355501</v>
      </c>
      <c r="D950" s="25">
        <v>0.05</v>
      </c>
      <c r="E950" s="24">
        <f t="shared" si="1821"/>
        <v>31.04484463</v>
      </c>
      <c r="F950" s="25">
        <v>0.02</v>
      </c>
      <c r="G950" s="24">
        <f t="shared" si="1822"/>
        <v>416.0507859</v>
      </c>
      <c r="H950" s="25">
        <v>0.05</v>
      </c>
      <c r="I950" s="24">
        <f t="shared" si="1823"/>
        <v>25.87070385</v>
      </c>
      <c r="J950" s="25">
        <v>0.02</v>
      </c>
      <c r="K950" s="25">
        <v>0.0</v>
      </c>
      <c r="L950" s="24" t="str">
        <f t="shared" ref="L950:M950" si="1962">IF(L949="", "", 1 + IFERROR(MINIFS(OFFSET(L950, -1, 0, -MIN(ROW()-2, $B950), 1), OFFSET(L950, -1, 0, -MIN(ROW()-2, $B950), 1), "&gt;0"), L949) + ROUND((L$2 * (LN(1 + $Z950) ^ U$2) * (U$3 / 100)), 0))</f>
        <v/>
      </c>
      <c r="M950" s="24">
        <f t="shared" si="1962"/>
        <v>56361</v>
      </c>
      <c r="N950" s="24" t="str">
        <f t="shared" ref="N950:O950" si="1963">IF(N949="", "", 1 + IFERROR(MINIFS(OFFSET(N950, -1, 0, -MIN(ROW()-2, $B950), 1), OFFSET(N950, -1, 0, -MIN(ROW()-2, $B950), 1), "&gt;0"), N949) + ROUND(IFERROR(MINIFS(OFFSET(N950, -1, 0, -MIN(ROW()-2, $B950), 1), OFFSET(N950, -1, 0, -MIN(ROW()-2, $B950), 1), "&gt;0"), N949) * ((LN(1 + $Z950) ^ W$2) * (W$3 / 1000)), 0))</f>
        <v/>
      </c>
      <c r="O950" s="24" t="str">
        <f t="shared" si="1963"/>
        <v/>
      </c>
      <c r="P950" s="24">
        <f t="shared" ref="P950:S950" si="1964">L950*$Y$2</f>
        <v>0</v>
      </c>
      <c r="Q950" s="24">
        <f t="shared" si="1964"/>
        <v>14090.25</v>
      </c>
      <c r="R950" s="24">
        <f t="shared" si="1964"/>
        <v>0</v>
      </c>
      <c r="S950" s="24">
        <f t="shared" si="1964"/>
        <v>0</v>
      </c>
      <c r="T950" s="24">
        <f t="shared" si="4"/>
        <v>6</v>
      </c>
      <c r="Z950" s="25">
        <f t="shared" si="12"/>
        <v>4.213588981</v>
      </c>
    </row>
    <row r="951">
      <c r="A951" s="16" t="s">
        <v>3</v>
      </c>
      <c r="B951" s="17">
        <v>50.0</v>
      </c>
      <c r="C951" s="24">
        <f t="shared" si="1820"/>
        <v>3057.973276</v>
      </c>
      <c r="D951" s="25">
        <v>0.05</v>
      </c>
      <c r="E951" s="24">
        <f t="shared" si="1821"/>
        <v>31.66574152</v>
      </c>
      <c r="F951" s="25">
        <v>0.02</v>
      </c>
      <c r="G951" s="24">
        <f t="shared" si="1822"/>
        <v>436.8533252</v>
      </c>
      <c r="H951" s="25">
        <v>0.05</v>
      </c>
      <c r="I951" s="24">
        <f t="shared" si="1823"/>
        <v>26.38811793</v>
      </c>
      <c r="J951" s="25">
        <v>0.02</v>
      </c>
      <c r="K951" s="25">
        <v>0.0</v>
      </c>
      <c r="L951" s="24" t="str">
        <f t="shared" ref="L951:M951" si="1965">IF(L950="", "", 1 + IFERROR(MINIFS(OFFSET(L951, -1, 0, -MIN(ROW()-2, $B951), 1), OFFSET(L951, -1, 0, -MIN(ROW()-2, $B951), 1), "&gt;0"), L950) + ROUND((L$2 * (LN(1 + $Z951) ^ U$2) * (U$3 / 100)), 0))</f>
        <v/>
      </c>
      <c r="M951" s="24">
        <f t="shared" si="1965"/>
        <v>56365</v>
      </c>
      <c r="N951" s="24" t="str">
        <f t="shared" ref="N951:O951" si="1966">IF(N950="", "", 1 + IFERROR(MINIFS(OFFSET(N951, -1, 0, -MIN(ROW()-2, $B951), 1), OFFSET(N951, -1, 0, -MIN(ROW()-2, $B951), 1), "&gt;0"), N950) + ROUND(IFERROR(MINIFS(OFFSET(N951, -1, 0, -MIN(ROW()-2, $B951), 1), OFFSET(N951, -1, 0, -MIN(ROW()-2, $B951), 1), "&gt;0"), N950) * ((LN(1 + $Z951) ^ W$2) * (W$3 / 1000)), 0))</f>
        <v/>
      </c>
      <c r="O951" s="24" t="str">
        <f t="shared" si="1966"/>
        <v/>
      </c>
      <c r="P951" s="24">
        <f t="shared" ref="P951:S951" si="1967">L951*$Y$2</f>
        <v>0</v>
      </c>
      <c r="Q951" s="24">
        <f t="shared" si="1967"/>
        <v>14091.25</v>
      </c>
      <c r="R951" s="24">
        <f t="shared" si="1967"/>
        <v>0</v>
      </c>
      <c r="S951" s="24">
        <f t="shared" si="1967"/>
        <v>0</v>
      </c>
      <c r="T951" s="24">
        <f t="shared" si="4"/>
        <v>6</v>
      </c>
      <c r="Z951" s="25">
        <f t="shared" si="12"/>
        <v>4.396064595</v>
      </c>
    </row>
    <row r="952">
      <c r="A952" s="16" t="s">
        <v>3</v>
      </c>
      <c r="B952" s="17">
        <v>51.0</v>
      </c>
      <c r="C952" s="24">
        <f t="shared" si="1820"/>
        <v>3210.87194</v>
      </c>
      <c r="D952" s="25">
        <v>0.05</v>
      </c>
      <c r="E952" s="24">
        <f t="shared" si="1821"/>
        <v>32.29905635</v>
      </c>
      <c r="F952" s="25">
        <v>0.02</v>
      </c>
      <c r="G952" s="24">
        <f t="shared" si="1822"/>
        <v>458.6959914</v>
      </c>
      <c r="H952" s="25">
        <v>0.05</v>
      </c>
      <c r="I952" s="24">
        <f t="shared" si="1823"/>
        <v>26.91588029</v>
      </c>
      <c r="J952" s="25">
        <v>0.02</v>
      </c>
      <c r="K952" s="25">
        <v>0.0</v>
      </c>
      <c r="L952" s="24" t="str">
        <f t="shared" ref="L952:M952" si="1968">IF(L951="", "", 1 + IFERROR(MINIFS(OFFSET(L952, -1, 0, -MIN(ROW()-2, $B952), 1), OFFSET(L952, -1, 0, -MIN(ROW()-2, $B952), 1), "&gt;0"), L951) + ROUND((L$2 * (LN(1 + $Z952) ^ U$2) * (U$3 / 100)), 0))</f>
        <v/>
      </c>
      <c r="M952" s="24">
        <f t="shared" si="1968"/>
        <v>56369</v>
      </c>
      <c r="N952" s="24" t="str">
        <f t="shared" ref="N952:O952" si="1969">IF(N951="", "", 1 + IFERROR(MINIFS(OFFSET(N952, -1, 0, -MIN(ROW()-2, $B952), 1), OFFSET(N952, -1, 0, -MIN(ROW()-2, $B952), 1), "&gt;0"), N951) + ROUND(IFERROR(MINIFS(OFFSET(N952, -1, 0, -MIN(ROW()-2, $B952), 1), OFFSET(N952, -1, 0, -MIN(ROW()-2, $B952), 1), "&gt;0"), N951) * ((LN(1 + $Z952) ^ W$2) * (W$3 / 1000)), 0))</f>
        <v/>
      </c>
      <c r="O952" s="24" t="str">
        <f t="shared" si="1969"/>
        <v/>
      </c>
      <c r="P952" s="24">
        <f t="shared" ref="P952:S952" si="1970">L952*$Y$2</f>
        <v>0</v>
      </c>
      <c r="Q952" s="24">
        <f t="shared" si="1970"/>
        <v>14092.25</v>
      </c>
      <c r="R952" s="24">
        <f t="shared" si="1970"/>
        <v>0</v>
      </c>
      <c r="S952" s="24">
        <f t="shared" si="1970"/>
        <v>0</v>
      </c>
      <c r="T952" s="24">
        <f t="shared" si="4"/>
        <v>6</v>
      </c>
      <c r="Z952" s="25">
        <f t="shared" si="12"/>
        <v>4.584926856</v>
      </c>
    </row>
    <row r="953">
      <c r="A953" s="16" t="s">
        <v>3</v>
      </c>
      <c r="B953" s="17">
        <v>52.0</v>
      </c>
      <c r="C953" s="24">
        <f t="shared" si="1820"/>
        <v>3371.415537</v>
      </c>
      <c r="D953" s="25">
        <v>0.05</v>
      </c>
      <c r="E953" s="24">
        <f t="shared" si="1821"/>
        <v>32.94503748</v>
      </c>
      <c r="F953" s="25">
        <v>0.02</v>
      </c>
      <c r="G953" s="24">
        <f t="shared" si="1822"/>
        <v>481.630791</v>
      </c>
      <c r="H953" s="25">
        <v>0.05</v>
      </c>
      <c r="I953" s="24">
        <f t="shared" si="1823"/>
        <v>27.4541979</v>
      </c>
      <c r="J953" s="25">
        <v>0.02</v>
      </c>
      <c r="K953" s="25">
        <v>0.0</v>
      </c>
      <c r="L953" s="24" t="str">
        <f t="shared" ref="L953:M953" si="1971">IF(L952="", "", 1 + IFERROR(MINIFS(OFFSET(L953, -1, 0, -MIN(ROW()-2, $B953), 1), OFFSET(L953, -1, 0, -MIN(ROW()-2, $B953), 1), "&gt;0"), L952) + ROUND((L$2 * (LN(1 + $Z953) ^ U$2) * (U$3 / 100)), 0))</f>
        <v/>
      </c>
      <c r="M953" s="24">
        <f t="shared" si="1971"/>
        <v>56373</v>
      </c>
      <c r="N953" s="24" t="str">
        <f t="shared" ref="N953:O953" si="1972">IF(N952="", "", 1 + IFERROR(MINIFS(OFFSET(N953, -1, 0, -MIN(ROW()-2, $B953), 1), OFFSET(N953, -1, 0, -MIN(ROW()-2, $B953), 1), "&gt;0"), N952) + ROUND(IFERROR(MINIFS(OFFSET(N953, -1, 0, -MIN(ROW()-2, $B953), 1), OFFSET(N953, -1, 0, -MIN(ROW()-2, $B953), 1), "&gt;0"), N952) * ((LN(1 + $Z953) ^ W$2) * (W$3 / 1000)), 0))</f>
        <v/>
      </c>
      <c r="O953" s="24" t="str">
        <f t="shared" si="1972"/>
        <v/>
      </c>
      <c r="P953" s="24">
        <f t="shared" ref="P953:S953" si="1973">L953*$Y$2</f>
        <v>0</v>
      </c>
      <c r="Q953" s="24">
        <f t="shared" si="1973"/>
        <v>14093.25</v>
      </c>
      <c r="R953" s="24">
        <f t="shared" si="1973"/>
        <v>0</v>
      </c>
      <c r="S953" s="24">
        <f t="shared" si="1973"/>
        <v>0</v>
      </c>
      <c r="T953" s="24">
        <f t="shared" si="4"/>
        <v>6</v>
      </c>
      <c r="Z953" s="25">
        <f t="shared" si="12"/>
        <v>4.780399296</v>
      </c>
    </row>
    <row r="954">
      <c r="A954" s="16" t="s">
        <v>3</v>
      </c>
      <c r="B954" s="17">
        <v>53.0</v>
      </c>
      <c r="C954" s="24">
        <f t="shared" si="1820"/>
        <v>3539.986314</v>
      </c>
      <c r="D954" s="25">
        <v>0.05</v>
      </c>
      <c r="E954" s="24">
        <f t="shared" si="1821"/>
        <v>33.60393823</v>
      </c>
      <c r="F954" s="25">
        <v>0.02</v>
      </c>
      <c r="G954" s="24">
        <f t="shared" si="1822"/>
        <v>505.7123306</v>
      </c>
      <c r="H954" s="25">
        <v>0.05</v>
      </c>
      <c r="I954" s="24">
        <f t="shared" si="1823"/>
        <v>28.00328185</v>
      </c>
      <c r="J954" s="25">
        <v>0.02</v>
      </c>
      <c r="K954" s="25">
        <v>0.0</v>
      </c>
      <c r="L954" s="24" t="str">
        <f t="shared" ref="L954:M954" si="1974">IF(L953="", "", 1 + IFERROR(MINIFS(OFFSET(L954, -1, 0, -MIN(ROW()-2, $B954), 1), OFFSET(L954, -1, 0, -MIN(ROW()-2, $B954), 1), "&gt;0"), L953) + ROUND((L$2 * (LN(1 + $Z954) ^ U$2) * (U$3 / 100)), 0))</f>
        <v/>
      </c>
      <c r="M954" s="24">
        <f t="shared" si="1974"/>
        <v>56377</v>
      </c>
      <c r="N954" s="24" t="str">
        <f t="shared" ref="N954:O954" si="1975">IF(N953="", "", 1 + IFERROR(MINIFS(OFFSET(N954, -1, 0, -MIN(ROW()-2, $B954), 1), OFFSET(N954, -1, 0, -MIN(ROW()-2, $B954), 1), "&gt;0"), N953) + ROUND(IFERROR(MINIFS(OFFSET(N954, -1, 0, -MIN(ROW()-2, $B954), 1), OFFSET(N954, -1, 0, -MIN(ROW()-2, $B954), 1), "&gt;0"), N953) * ((LN(1 + $Z954) ^ W$2) * (W$3 / 1000)), 0))</f>
        <v/>
      </c>
      <c r="O954" s="24" t="str">
        <f t="shared" si="1975"/>
        <v/>
      </c>
      <c r="P954" s="24">
        <f t="shared" ref="P954:S954" si="1976">L954*$Y$2</f>
        <v>0</v>
      </c>
      <c r="Q954" s="24">
        <f t="shared" si="1976"/>
        <v>14094.25</v>
      </c>
      <c r="R954" s="24">
        <f t="shared" si="1976"/>
        <v>0</v>
      </c>
      <c r="S954" s="24">
        <f t="shared" si="1976"/>
        <v>0</v>
      </c>
      <c r="T954" s="24">
        <f t="shared" si="4"/>
        <v>6</v>
      </c>
      <c r="Z954" s="25">
        <f t="shared" si="12"/>
        <v>4.982713271</v>
      </c>
    </row>
    <row r="955">
      <c r="A955" s="16" t="s">
        <v>3</v>
      </c>
      <c r="B955" s="17">
        <v>54.0</v>
      </c>
      <c r="C955" s="24">
        <f t="shared" si="1820"/>
        <v>3716.98563</v>
      </c>
      <c r="D955" s="25">
        <v>0.05</v>
      </c>
      <c r="E955" s="24">
        <f t="shared" si="1821"/>
        <v>34.27601699</v>
      </c>
      <c r="F955" s="25">
        <v>0.02</v>
      </c>
      <c r="G955" s="24">
        <f t="shared" si="1822"/>
        <v>530.9979471</v>
      </c>
      <c r="H955" s="25">
        <v>0.05</v>
      </c>
      <c r="I955" s="24">
        <f t="shared" si="1823"/>
        <v>28.56334749</v>
      </c>
      <c r="J955" s="25">
        <v>0.02</v>
      </c>
      <c r="K955" s="25">
        <v>0.0</v>
      </c>
      <c r="L955" s="24" t="str">
        <f t="shared" ref="L955:M955" si="1977">IF(L954="", "", 1 + IFERROR(MINIFS(OFFSET(L955, -1, 0, -MIN(ROW()-2, $B955), 1), OFFSET(L955, -1, 0, -MIN(ROW()-2, $B955), 1), "&gt;0"), L954) + ROUND((L$2 * (LN(1 + $Z955) ^ U$2) * (U$3 / 100)), 0))</f>
        <v/>
      </c>
      <c r="M955" s="24">
        <f t="shared" si="1977"/>
        <v>56381</v>
      </c>
      <c r="N955" s="24" t="str">
        <f t="shared" ref="N955:O955" si="1978">IF(N954="", "", 1 + IFERROR(MINIFS(OFFSET(N955, -1, 0, -MIN(ROW()-2, $B955), 1), OFFSET(N955, -1, 0, -MIN(ROW()-2, $B955), 1), "&gt;0"), N954) + ROUND(IFERROR(MINIFS(OFFSET(N955, -1, 0, -MIN(ROW()-2, $B955), 1), OFFSET(N955, -1, 0, -MIN(ROW()-2, $B955), 1), "&gt;0"), N954) * ((LN(1 + $Z955) ^ W$2) * (W$3 / 1000)), 0))</f>
        <v/>
      </c>
      <c r="O955" s="24" t="str">
        <f t="shared" si="1978"/>
        <v/>
      </c>
      <c r="P955" s="24">
        <f t="shared" ref="P955:S955" si="1979">L955*$Y$2</f>
        <v>0</v>
      </c>
      <c r="Q955" s="24">
        <f t="shared" si="1979"/>
        <v>14095.25</v>
      </c>
      <c r="R955" s="24">
        <f t="shared" si="1979"/>
        <v>0</v>
      </c>
      <c r="S955" s="24">
        <f t="shared" si="1979"/>
        <v>0</v>
      </c>
      <c r="T955" s="24">
        <f t="shared" si="4"/>
        <v>6</v>
      </c>
      <c r="Z955" s="25">
        <f t="shared" si="12"/>
        <v>5.192108235</v>
      </c>
    </row>
    <row r="956">
      <c r="A956" s="16" t="s">
        <v>3</v>
      </c>
      <c r="B956" s="17">
        <v>55.0</v>
      </c>
      <c r="C956" s="24">
        <f t="shared" si="1820"/>
        <v>3902.834911</v>
      </c>
      <c r="D956" s="25">
        <v>0.05</v>
      </c>
      <c r="E956" s="24">
        <f t="shared" si="1821"/>
        <v>34.96153733</v>
      </c>
      <c r="F956" s="25">
        <v>0.02</v>
      </c>
      <c r="G956" s="24">
        <f t="shared" si="1822"/>
        <v>557.5478444</v>
      </c>
      <c r="H956" s="25">
        <v>0.05</v>
      </c>
      <c r="I956" s="24">
        <f t="shared" si="1823"/>
        <v>29.13461444</v>
      </c>
      <c r="J956" s="25">
        <v>0.02</v>
      </c>
      <c r="K956" s="25">
        <v>0.0</v>
      </c>
      <c r="L956" s="24" t="str">
        <f t="shared" ref="L956:M956" si="1980">IF(L955="", "", 1 + IFERROR(MINIFS(OFFSET(L956, -1, 0, -MIN(ROW()-2, $B956), 1), OFFSET(L956, -1, 0, -MIN(ROW()-2, $B956), 1), "&gt;0"), L955) + ROUND((L$2 * (LN(1 + $Z956) ^ U$2) * (U$3 / 100)), 0))</f>
        <v/>
      </c>
      <c r="M956" s="24">
        <f t="shared" si="1980"/>
        <v>56385</v>
      </c>
      <c r="N956" s="24" t="str">
        <f t="shared" ref="N956:O956" si="1981">IF(N955="", "", 1 + IFERROR(MINIFS(OFFSET(N956, -1, 0, -MIN(ROW()-2, $B956), 1), OFFSET(N956, -1, 0, -MIN(ROW()-2, $B956), 1), "&gt;0"), N955) + ROUND(IFERROR(MINIFS(OFFSET(N956, -1, 0, -MIN(ROW()-2, $B956), 1), OFFSET(N956, -1, 0, -MIN(ROW()-2, $B956), 1), "&gt;0"), N955) * ((LN(1 + $Z956) ^ W$2) * (W$3 / 1000)), 0))</f>
        <v/>
      </c>
      <c r="O956" s="24" t="str">
        <f t="shared" si="1981"/>
        <v/>
      </c>
      <c r="P956" s="24">
        <f t="shared" ref="P956:S956" si="1982">L956*$Y$2</f>
        <v>0</v>
      </c>
      <c r="Q956" s="24">
        <f t="shared" si="1982"/>
        <v>14096.25</v>
      </c>
      <c r="R956" s="24">
        <f t="shared" si="1982"/>
        <v>0</v>
      </c>
      <c r="S956" s="24">
        <f t="shared" si="1982"/>
        <v>0</v>
      </c>
      <c r="T956" s="24">
        <f t="shared" si="4"/>
        <v>7</v>
      </c>
      <c r="Z956" s="25">
        <f t="shared" si="12"/>
        <v>5.408832024</v>
      </c>
    </row>
    <row r="957">
      <c r="A957" s="16" t="s">
        <v>3</v>
      </c>
      <c r="B957" s="17">
        <v>56.0</v>
      </c>
      <c r="C957" s="24">
        <f t="shared" si="1820"/>
        <v>4097.976657</v>
      </c>
      <c r="D957" s="25">
        <v>0.05</v>
      </c>
      <c r="E957" s="24">
        <f t="shared" si="1821"/>
        <v>35.66076808</v>
      </c>
      <c r="F957" s="25">
        <v>0.02</v>
      </c>
      <c r="G957" s="24">
        <f t="shared" si="1822"/>
        <v>585.4252367</v>
      </c>
      <c r="H957" s="25">
        <v>0.05</v>
      </c>
      <c r="I957" s="24">
        <f t="shared" si="1823"/>
        <v>29.71730673</v>
      </c>
      <c r="J957" s="25">
        <v>0.02</v>
      </c>
      <c r="K957" s="25">
        <v>0.0</v>
      </c>
      <c r="L957" s="24" t="str">
        <f t="shared" ref="L957:M957" si="1983">IF(L956="", "", 1 + IFERROR(MINIFS(OFFSET(L957, -1, 0, -MIN(ROW()-2, $B957), 1), OFFSET(L957, -1, 0, -MIN(ROW()-2, $B957), 1), "&gt;0"), L956) + ROUND((L$2 * (LN(1 + $Z957) ^ U$2) * (U$3 / 100)), 0))</f>
        <v/>
      </c>
      <c r="M957" s="24">
        <f t="shared" si="1983"/>
        <v>56389</v>
      </c>
      <c r="N957" s="24" t="str">
        <f t="shared" ref="N957:O957" si="1984">IF(N956="", "", 1 + IFERROR(MINIFS(OFFSET(N957, -1, 0, -MIN(ROW()-2, $B957), 1), OFFSET(N957, -1, 0, -MIN(ROW()-2, $B957), 1), "&gt;0"), N956) + ROUND(IFERROR(MINIFS(OFFSET(N957, -1, 0, -MIN(ROW()-2, $B957), 1), OFFSET(N957, -1, 0, -MIN(ROW()-2, $B957), 1), "&gt;0"), N956) * ((LN(1 + $Z957) ^ W$2) * (W$3 / 1000)), 0))</f>
        <v/>
      </c>
      <c r="O957" s="24" t="str">
        <f t="shared" si="1984"/>
        <v/>
      </c>
      <c r="P957" s="24">
        <f t="shared" ref="P957:S957" si="1985">L957*$Y$2</f>
        <v>0</v>
      </c>
      <c r="Q957" s="24">
        <f t="shared" si="1985"/>
        <v>14097.25</v>
      </c>
      <c r="R957" s="24">
        <f t="shared" si="1985"/>
        <v>0</v>
      </c>
      <c r="S957" s="24">
        <f t="shared" si="1985"/>
        <v>0</v>
      </c>
      <c r="T957" s="24">
        <f t="shared" si="4"/>
        <v>7</v>
      </c>
      <c r="Z957" s="25">
        <f t="shared" si="12"/>
        <v>5.633141145</v>
      </c>
    </row>
    <row r="958">
      <c r="A958" s="16" t="s">
        <v>3</v>
      </c>
      <c r="B958" s="17">
        <v>57.0</v>
      </c>
      <c r="C958" s="24">
        <f t="shared" si="1820"/>
        <v>4302.875489</v>
      </c>
      <c r="D958" s="25">
        <v>0.05</v>
      </c>
      <c r="E958" s="24">
        <f t="shared" si="1821"/>
        <v>36.37398344</v>
      </c>
      <c r="F958" s="25">
        <v>0.02</v>
      </c>
      <c r="G958" s="24">
        <f t="shared" si="1822"/>
        <v>614.6964985</v>
      </c>
      <c r="H958" s="25">
        <v>0.05</v>
      </c>
      <c r="I958" s="24">
        <f t="shared" si="1823"/>
        <v>30.31165286</v>
      </c>
      <c r="J958" s="25">
        <v>0.02</v>
      </c>
      <c r="K958" s="25">
        <v>0.0</v>
      </c>
      <c r="L958" s="24" t="str">
        <f t="shared" ref="L958:M958" si="1986">IF(L957="", "", 1 + IFERROR(MINIFS(OFFSET(L958, -1, 0, -MIN(ROW()-2, $B958), 1), OFFSET(L958, -1, 0, -MIN(ROW()-2, $B958), 1), "&gt;0"), L957) + ROUND((L$2 * (LN(1 + $Z958) ^ U$2) * (U$3 / 100)), 0))</f>
        <v/>
      </c>
      <c r="M958" s="24">
        <f t="shared" si="1986"/>
        <v>56393</v>
      </c>
      <c r="N958" s="24" t="str">
        <f t="shared" ref="N958:O958" si="1987">IF(N957="", "", 1 + IFERROR(MINIFS(OFFSET(N958, -1, 0, -MIN(ROW()-2, $B958), 1), OFFSET(N958, -1, 0, -MIN(ROW()-2, $B958), 1), "&gt;0"), N957) + ROUND(IFERROR(MINIFS(OFFSET(N958, -1, 0, -MIN(ROW()-2, $B958), 1), OFFSET(N958, -1, 0, -MIN(ROW()-2, $B958), 1), "&gt;0"), N957) * ((LN(1 + $Z958) ^ W$2) * (W$3 / 1000)), 0))</f>
        <v/>
      </c>
      <c r="O958" s="24" t="str">
        <f t="shared" si="1987"/>
        <v/>
      </c>
      <c r="P958" s="24">
        <f t="shared" ref="P958:S958" si="1988">L958*$Y$2</f>
        <v>0</v>
      </c>
      <c r="Q958" s="24">
        <f t="shared" si="1988"/>
        <v>14098.25</v>
      </c>
      <c r="R958" s="24">
        <f t="shared" si="1988"/>
        <v>0</v>
      </c>
      <c r="S958" s="24">
        <f t="shared" si="1988"/>
        <v>0</v>
      </c>
      <c r="T958" s="24">
        <f t="shared" si="4"/>
        <v>7</v>
      </c>
      <c r="Z958" s="25">
        <f t="shared" si="12"/>
        <v>5.865301085</v>
      </c>
    </row>
    <row r="959">
      <c r="A959" s="16" t="s">
        <v>3</v>
      </c>
      <c r="B959" s="17">
        <v>58.0</v>
      </c>
      <c r="C959" s="24">
        <f t="shared" si="1820"/>
        <v>4518.019264</v>
      </c>
      <c r="D959" s="25">
        <v>0.05</v>
      </c>
      <c r="E959" s="24">
        <f t="shared" si="1821"/>
        <v>37.10146311</v>
      </c>
      <c r="F959" s="25">
        <v>0.02</v>
      </c>
      <c r="G959" s="24">
        <f t="shared" si="1822"/>
        <v>645.4313234</v>
      </c>
      <c r="H959" s="25">
        <v>0.05</v>
      </c>
      <c r="I959" s="24">
        <f t="shared" si="1823"/>
        <v>30.91788592</v>
      </c>
      <c r="J959" s="25">
        <v>0.02</v>
      </c>
      <c r="K959" s="25">
        <v>0.0</v>
      </c>
      <c r="L959" s="24" t="str">
        <f t="shared" ref="L959:M959" si="1989">IF(L958="", "", 1 + IFERROR(MINIFS(OFFSET(L959, -1, 0, -MIN(ROW()-2, $B959), 1), OFFSET(L959, -1, 0, -MIN(ROW()-2, $B959), 1), "&gt;0"), L958) + ROUND((L$2 * (LN(1 + $Z959) ^ U$2) * (U$3 / 100)), 0))</f>
        <v/>
      </c>
      <c r="M959" s="24">
        <f t="shared" si="1989"/>
        <v>56397</v>
      </c>
      <c r="N959" s="24" t="str">
        <f t="shared" ref="N959:O959" si="1990">IF(N958="", "", 1 + IFERROR(MINIFS(OFFSET(N959, -1, 0, -MIN(ROW()-2, $B959), 1), OFFSET(N959, -1, 0, -MIN(ROW()-2, $B959), 1), "&gt;0"), N958) + ROUND(IFERROR(MINIFS(OFFSET(N959, -1, 0, -MIN(ROW()-2, $B959), 1), OFFSET(N959, -1, 0, -MIN(ROW()-2, $B959), 1), "&gt;0"), N958) * ((LN(1 + $Z959) ^ W$2) * (W$3 / 1000)), 0))</f>
        <v/>
      </c>
      <c r="O959" s="24" t="str">
        <f t="shared" si="1990"/>
        <v/>
      </c>
      <c r="P959" s="24">
        <f t="shared" ref="P959:S959" si="1991">L959*$Y$2</f>
        <v>0</v>
      </c>
      <c r="Q959" s="24">
        <f t="shared" si="1991"/>
        <v>14099.25</v>
      </c>
      <c r="R959" s="24">
        <f t="shared" si="1991"/>
        <v>0</v>
      </c>
      <c r="S959" s="24">
        <f t="shared" si="1991"/>
        <v>0</v>
      </c>
      <c r="T959" s="24">
        <f t="shared" si="4"/>
        <v>7</v>
      </c>
      <c r="Z959" s="25">
        <f t="shared" si="12"/>
        <v>6.105586623</v>
      </c>
    </row>
    <row r="960">
      <c r="A960" s="16" t="s">
        <v>3</v>
      </c>
      <c r="B960" s="17">
        <v>59.0</v>
      </c>
      <c r="C960" s="24">
        <f t="shared" si="1820"/>
        <v>4743.920227</v>
      </c>
      <c r="D960" s="25">
        <v>0.05</v>
      </c>
      <c r="E960" s="24">
        <f t="shared" si="1821"/>
        <v>37.84349237</v>
      </c>
      <c r="F960" s="25">
        <v>0.02</v>
      </c>
      <c r="G960" s="24">
        <f t="shared" si="1822"/>
        <v>677.7028896</v>
      </c>
      <c r="H960" s="25">
        <v>0.05</v>
      </c>
      <c r="I960" s="24">
        <f t="shared" si="1823"/>
        <v>31.53624364</v>
      </c>
      <c r="J960" s="25">
        <v>0.02</v>
      </c>
      <c r="K960" s="25">
        <v>0.0</v>
      </c>
      <c r="L960" s="24" t="str">
        <f t="shared" ref="L960:M960" si="1992">IF(L959="", "", 1 + IFERROR(MINIFS(OFFSET(L960, -1, 0, -MIN(ROW()-2, $B960), 1), OFFSET(L960, -1, 0, -MIN(ROW()-2, $B960), 1), "&gt;0"), L959) + ROUND((L$2 * (LN(1 + $Z960) ^ U$2) * (U$3 / 100)), 0))</f>
        <v/>
      </c>
      <c r="M960" s="24">
        <f t="shared" si="1992"/>
        <v>56401</v>
      </c>
      <c r="N960" s="24" t="str">
        <f t="shared" ref="N960:O960" si="1993">IF(N959="", "", 1 + IFERROR(MINIFS(OFFSET(N960, -1, 0, -MIN(ROW()-2, $B960), 1), OFFSET(N960, -1, 0, -MIN(ROW()-2, $B960), 1), "&gt;0"), N959) + ROUND(IFERROR(MINIFS(OFFSET(N960, -1, 0, -MIN(ROW()-2, $B960), 1), OFFSET(N960, -1, 0, -MIN(ROW()-2, $B960), 1), "&gt;0"), N959) * ((LN(1 + $Z960) ^ W$2) * (W$3 / 1000)), 0))</f>
        <v/>
      </c>
      <c r="O960" s="24" t="str">
        <f t="shared" si="1993"/>
        <v/>
      </c>
      <c r="P960" s="24">
        <f t="shared" ref="P960:S960" si="1994">L960*$Y$2</f>
        <v>0</v>
      </c>
      <c r="Q960" s="24">
        <f t="shared" si="1994"/>
        <v>14100.25</v>
      </c>
      <c r="R960" s="24">
        <f t="shared" si="1994"/>
        <v>0</v>
      </c>
      <c r="S960" s="24">
        <f t="shared" si="1994"/>
        <v>0</v>
      </c>
      <c r="T960" s="24">
        <f t="shared" si="4"/>
        <v>7</v>
      </c>
      <c r="Z960" s="25">
        <f t="shared" si="12"/>
        <v>6.354282154</v>
      </c>
    </row>
    <row r="961">
      <c r="A961" s="16" t="s">
        <v>3</v>
      </c>
      <c r="B961" s="17">
        <v>60.0</v>
      </c>
      <c r="C961" s="24">
        <f t="shared" si="1820"/>
        <v>4981.116238</v>
      </c>
      <c r="D961" s="25">
        <v>0.05</v>
      </c>
      <c r="E961" s="24">
        <f t="shared" si="1821"/>
        <v>38.60036222</v>
      </c>
      <c r="F961" s="25">
        <v>0.02</v>
      </c>
      <c r="G961" s="24">
        <f t="shared" si="1822"/>
        <v>711.5880341</v>
      </c>
      <c r="H961" s="25">
        <v>0.05</v>
      </c>
      <c r="I961" s="24">
        <f t="shared" si="1823"/>
        <v>32.16696851</v>
      </c>
      <c r="J961" s="25">
        <v>0.02</v>
      </c>
      <c r="K961" s="25">
        <v>0.0</v>
      </c>
      <c r="L961" s="24" t="str">
        <f t="shared" ref="L961:M961" si="1995">IF(L960="", "", 1 + IFERROR(MINIFS(OFFSET(L961, -1, 0, -MIN(ROW()-2, $B961), 1), OFFSET(L961, -1, 0, -MIN(ROW()-2, $B961), 1), "&gt;0"), L960) + ROUND((L$2 * (LN(1 + $Z961) ^ U$2) * (U$3 / 100)), 0))</f>
        <v/>
      </c>
      <c r="M961" s="24">
        <f t="shared" si="1995"/>
        <v>56405</v>
      </c>
      <c r="N961" s="24" t="str">
        <f t="shared" ref="N961:O961" si="1996">IF(N960="", "", 1 + IFERROR(MINIFS(OFFSET(N961, -1, 0, -MIN(ROW()-2, $B961), 1), OFFSET(N961, -1, 0, -MIN(ROW()-2, $B961), 1), "&gt;0"), N960) + ROUND(IFERROR(MINIFS(OFFSET(N961, -1, 0, -MIN(ROW()-2, $B961), 1), OFFSET(N961, -1, 0, -MIN(ROW()-2, $B961), 1), "&gt;0"), N960) * ((LN(1 + $Z961) ^ W$2) * (W$3 / 1000)), 0))</f>
        <v/>
      </c>
      <c r="O961" s="24" t="str">
        <f t="shared" si="1996"/>
        <v/>
      </c>
      <c r="P961" s="24">
        <f t="shared" ref="P961:S961" si="1997">L961*$Y$2</f>
        <v>0</v>
      </c>
      <c r="Q961" s="24">
        <f t="shared" si="1997"/>
        <v>14101.25</v>
      </c>
      <c r="R961" s="24">
        <f t="shared" si="1997"/>
        <v>0</v>
      </c>
      <c r="S961" s="24">
        <f t="shared" si="1997"/>
        <v>0</v>
      </c>
      <c r="T961" s="24">
        <f t="shared" si="4"/>
        <v>7</v>
      </c>
      <c r="Z961" s="25">
        <f t="shared" si="12"/>
        <v>6.61168203</v>
      </c>
    </row>
    <row r="962">
      <c r="A962" s="16" t="s">
        <v>3</v>
      </c>
      <c r="B962" s="17">
        <v>61.0</v>
      </c>
      <c r="C962" s="24">
        <f t="shared" si="1820"/>
        <v>5230.17205</v>
      </c>
      <c r="D962" s="25">
        <v>0.05</v>
      </c>
      <c r="E962" s="24">
        <f t="shared" si="1821"/>
        <v>39.37236946</v>
      </c>
      <c r="F962" s="25">
        <v>0.02</v>
      </c>
      <c r="G962" s="24">
        <f t="shared" si="1822"/>
        <v>747.1674358</v>
      </c>
      <c r="H962" s="25">
        <v>0.05</v>
      </c>
      <c r="I962" s="24">
        <f t="shared" si="1823"/>
        <v>32.81030788</v>
      </c>
      <c r="J962" s="25">
        <v>0.02</v>
      </c>
      <c r="K962" s="25">
        <v>0.0</v>
      </c>
      <c r="L962" s="24" t="str">
        <f t="shared" ref="L962:M962" si="1998">IF(L961="", "", 1 + IFERROR(MINIFS(OFFSET(L962, -1, 0, -MIN(ROW()-2, $B962), 1), OFFSET(L962, -1, 0, -MIN(ROW()-2, $B962), 1), "&gt;0"), L961) + ROUND((L$2 * (LN(1 + $Z962) ^ U$2) * (U$3 / 100)), 0))</f>
        <v/>
      </c>
      <c r="M962" s="24">
        <f t="shared" si="1998"/>
        <v>56409</v>
      </c>
      <c r="N962" s="24" t="str">
        <f t="shared" ref="N962:O962" si="1999">IF(N961="", "", 1 + IFERROR(MINIFS(OFFSET(N962, -1, 0, -MIN(ROW()-2, $B962), 1), OFFSET(N962, -1, 0, -MIN(ROW()-2, $B962), 1), "&gt;0"), N961) + ROUND(IFERROR(MINIFS(OFFSET(N962, -1, 0, -MIN(ROW()-2, $B962), 1), OFFSET(N962, -1, 0, -MIN(ROW()-2, $B962), 1), "&gt;0"), N961) * ((LN(1 + $Z962) ^ W$2) * (W$3 / 1000)), 0))</f>
        <v/>
      </c>
      <c r="O962" s="24" t="str">
        <f t="shared" si="1999"/>
        <v/>
      </c>
      <c r="P962" s="24">
        <f t="shared" ref="P962:S962" si="2000">L962*$Y$2</f>
        <v>0</v>
      </c>
      <c r="Q962" s="24">
        <f t="shared" si="2000"/>
        <v>14102.25</v>
      </c>
      <c r="R962" s="24">
        <f t="shared" si="2000"/>
        <v>0</v>
      </c>
      <c r="S962" s="24">
        <f t="shared" si="2000"/>
        <v>0</v>
      </c>
      <c r="T962" s="24">
        <f t="shared" si="4"/>
        <v>7</v>
      </c>
      <c r="Z962" s="25">
        <f t="shared" si="12"/>
        <v>6.878090901</v>
      </c>
    </row>
    <row r="963">
      <c r="A963" s="16" t="s">
        <v>3</v>
      </c>
      <c r="B963" s="17">
        <v>62.0</v>
      </c>
      <c r="C963" s="24">
        <f t="shared" si="1820"/>
        <v>5491.680653</v>
      </c>
      <c r="D963" s="25">
        <v>0.05</v>
      </c>
      <c r="E963" s="24">
        <f t="shared" si="1821"/>
        <v>40.15981685</v>
      </c>
      <c r="F963" s="25">
        <v>0.02</v>
      </c>
      <c r="G963" s="24">
        <f t="shared" si="1822"/>
        <v>784.5258076</v>
      </c>
      <c r="H963" s="25">
        <v>0.05</v>
      </c>
      <c r="I963" s="24">
        <f t="shared" si="1823"/>
        <v>33.46651404</v>
      </c>
      <c r="J963" s="25">
        <v>0.02</v>
      </c>
      <c r="K963" s="25">
        <v>0.0</v>
      </c>
      <c r="L963" s="24" t="str">
        <f t="shared" ref="L963:M963" si="2001">IF(L962="", "", 1 + IFERROR(MINIFS(OFFSET(L963, -1, 0, -MIN(ROW()-2, $B963), 1), OFFSET(L963, -1, 0, -MIN(ROW()-2, $B963), 1), "&gt;0"), L962) + ROUND((L$2 * (LN(1 + $Z963) ^ U$2) * (U$3 / 100)), 0))</f>
        <v/>
      </c>
      <c r="M963" s="24">
        <f t="shared" si="2001"/>
        <v>56413</v>
      </c>
      <c r="N963" s="24" t="str">
        <f t="shared" ref="N963:O963" si="2002">IF(N962="", "", 1 + IFERROR(MINIFS(OFFSET(N963, -1, 0, -MIN(ROW()-2, $B963), 1), OFFSET(N963, -1, 0, -MIN(ROW()-2, $B963), 1), "&gt;0"), N962) + ROUND(IFERROR(MINIFS(OFFSET(N963, -1, 0, -MIN(ROW()-2, $B963), 1), OFFSET(N963, -1, 0, -MIN(ROW()-2, $B963), 1), "&gt;0"), N962) * ((LN(1 + $Z963) ^ W$2) * (W$3 / 1000)), 0))</f>
        <v/>
      </c>
      <c r="O963" s="24" t="str">
        <f t="shared" si="2002"/>
        <v/>
      </c>
      <c r="P963" s="24">
        <f t="shared" ref="P963:S963" si="2003">L963*$Y$2</f>
        <v>0</v>
      </c>
      <c r="Q963" s="24">
        <f t="shared" si="2003"/>
        <v>14103.25</v>
      </c>
      <c r="R963" s="24">
        <f t="shared" si="2003"/>
        <v>0</v>
      </c>
      <c r="S963" s="24">
        <f t="shared" si="2003"/>
        <v>0</v>
      </c>
      <c r="T963" s="24">
        <f t="shared" si="4"/>
        <v>7</v>
      </c>
      <c r="Z963" s="25">
        <f t="shared" si="12"/>
        <v>7.153824082</v>
      </c>
    </row>
    <row r="964">
      <c r="A964" s="16" t="s">
        <v>3</v>
      </c>
      <c r="B964" s="17">
        <v>63.0</v>
      </c>
      <c r="C964" s="24">
        <f t="shared" si="1820"/>
        <v>5766.264686</v>
      </c>
      <c r="D964" s="25">
        <v>0.05</v>
      </c>
      <c r="E964" s="24">
        <f t="shared" si="1821"/>
        <v>40.96301319</v>
      </c>
      <c r="F964" s="25">
        <v>0.02</v>
      </c>
      <c r="G964" s="24">
        <f t="shared" si="1822"/>
        <v>823.7520979</v>
      </c>
      <c r="H964" s="25">
        <v>0.05</v>
      </c>
      <c r="I964" s="24">
        <f t="shared" si="1823"/>
        <v>34.13584432</v>
      </c>
      <c r="J964" s="25">
        <v>0.02</v>
      </c>
      <c r="K964" s="25">
        <v>0.0</v>
      </c>
      <c r="L964" s="24" t="str">
        <f t="shared" ref="L964:M964" si="2004">IF(L963="", "", 1 + IFERROR(MINIFS(OFFSET(L964, -1, 0, -MIN(ROW()-2, $B964), 1), OFFSET(L964, -1, 0, -MIN(ROW()-2, $B964), 1), "&gt;0"), L963) + ROUND((L$2 * (LN(1 + $Z964) ^ U$2) * (U$3 / 100)), 0))</f>
        <v/>
      </c>
      <c r="M964" s="24">
        <f t="shared" si="2004"/>
        <v>56417</v>
      </c>
      <c r="N964" s="24" t="str">
        <f t="shared" ref="N964:O964" si="2005">IF(N963="", "", 1 + IFERROR(MINIFS(OFFSET(N964, -1, 0, -MIN(ROW()-2, $B964), 1), OFFSET(N964, -1, 0, -MIN(ROW()-2, $B964), 1), "&gt;0"), N963) + ROUND(IFERROR(MINIFS(OFFSET(N964, -1, 0, -MIN(ROW()-2, $B964), 1), OFFSET(N964, -1, 0, -MIN(ROW()-2, $B964), 1), "&gt;0"), N963) * ((LN(1 + $Z964) ^ W$2) * (W$3 / 1000)), 0))</f>
        <v/>
      </c>
      <c r="O964" s="24" t="str">
        <f t="shared" si="2005"/>
        <v/>
      </c>
      <c r="P964" s="24">
        <f t="shared" ref="P964:S964" si="2006">L964*$Y$2</f>
        <v>0</v>
      </c>
      <c r="Q964" s="24">
        <f t="shared" si="2006"/>
        <v>14104.25</v>
      </c>
      <c r="R964" s="24">
        <f t="shared" si="2006"/>
        <v>0</v>
      </c>
      <c r="S964" s="24">
        <f t="shared" si="2006"/>
        <v>0</v>
      </c>
      <c r="T964" s="24">
        <f t="shared" si="4"/>
        <v>7</v>
      </c>
      <c r="Z964" s="25">
        <f t="shared" si="12"/>
        <v>7.439207925</v>
      </c>
    </row>
    <row r="965">
      <c r="A965" s="16" t="s">
        <v>3</v>
      </c>
      <c r="B965" s="17">
        <v>64.0</v>
      </c>
      <c r="C965" s="24">
        <f t="shared" si="1820"/>
        <v>6054.57792</v>
      </c>
      <c r="D965" s="25">
        <v>0.05</v>
      </c>
      <c r="E965" s="24">
        <f t="shared" si="1821"/>
        <v>41.78227345</v>
      </c>
      <c r="F965" s="25">
        <v>0.02</v>
      </c>
      <c r="G965" s="24">
        <f t="shared" si="1822"/>
        <v>864.9397028</v>
      </c>
      <c r="H965" s="25">
        <v>0.05</v>
      </c>
      <c r="I965" s="24">
        <f t="shared" si="1823"/>
        <v>34.81856121</v>
      </c>
      <c r="J965" s="25">
        <v>0.02</v>
      </c>
      <c r="K965" s="25">
        <v>0.0</v>
      </c>
      <c r="L965" s="24" t="str">
        <f t="shared" ref="L965:M965" si="2007">IF(L964="", "", 1 + IFERROR(MINIFS(OFFSET(L965, -1, 0, -MIN(ROW()-2, $B965), 1), OFFSET(L965, -1, 0, -MIN(ROW()-2, $B965), 1), "&gt;0"), L964) + ROUND((L$2 * (LN(1 + $Z965) ^ U$2) * (U$3 / 100)), 0))</f>
        <v/>
      </c>
      <c r="M965" s="24">
        <f t="shared" si="2007"/>
        <v>56421</v>
      </c>
      <c r="N965" s="24" t="str">
        <f t="shared" ref="N965:O965" si="2008">IF(N964="", "", 1 + IFERROR(MINIFS(OFFSET(N965, -1, 0, -MIN(ROW()-2, $B965), 1), OFFSET(N965, -1, 0, -MIN(ROW()-2, $B965), 1), "&gt;0"), N964) + ROUND(IFERROR(MINIFS(OFFSET(N965, -1, 0, -MIN(ROW()-2, $B965), 1), OFFSET(N965, -1, 0, -MIN(ROW()-2, $B965), 1), "&gt;0"), N964) * ((LN(1 + $Z965) ^ W$2) * (W$3 / 1000)), 0))</f>
        <v/>
      </c>
      <c r="O965" s="24" t="str">
        <f t="shared" si="2008"/>
        <v/>
      </c>
      <c r="P965" s="24">
        <f t="shared" ref="P965:S965" si="2009">L965*$Y$2</f>
        <v>0</v>
      </c>
      <c r="Q965" s="24">
        <f t="shared" si="2009"/>
        <v>14105.25</v>
      </c>
      <c r="R965" s="24">
        <f t="shared" si="2009"/>
        <v>0</v>
      </c>
      <c r="S965" s="24">
        <f t="shared" si="2009"/>
        <v>0</v>
      </c>
      <c r="T965" s="24">
        <f t="shared" si="4"/>
        <v>7</v>
      </c>
      <c r="Z965" s="25">
        <f t="shared" si="12"/>
        <v>7.734580203</v>
      </c>
    </row>
    <row r="966">
      <c r="A966" s="16" t="s">
        <v>3</v>
      </c>
      <c r="B966" s="17">
        <v>65.0</v>
      </c>
      <c r="C966" s="24">
        <f t="shared" si="1820"/>
        <v>6357.306816</v>
      </c>
      <c r="D966" s="25">
        <v>0.05</v>
      </c>
      <c r="E966" s="24">
        <f t="shared" si="1821"/>
        <v>42.61791892</v>
      </c>
      <c r="F966" s="25">
        <v>0.02</v>
      </c>
      <c r="G966" s="24">
        <f t="shared" si="1822"/>
        <v>908.186688</v>
      </c>
      <c r="H966" s="25">
        <v>0.05</v>
      </c>
      <c r="I966" s="24">
        <f t="shared" si="1823"/>
        <v>35.51493243</v>
      </c>
      <c r="J966" s="25">
        <v>0.02</v>
      </c>
      <c r="K966" s="25">
        <v>0.0</v>
      </c>
      <c r="L966" s="24" t="str">
        <f t="shared" ref="L966:M966" si="2010">IF(L965="", "", 1 + IFERROR(MINIFS(OFFSET(L966, -1, 0, -MIN(ROW()-2, $B966), 1), OFFSET(L966, -1, 0, -MIN(ROW()-2, $B966), 1), "&gt;0"), L965) + ROUND((L$2 * (LN(1 + $Z966) ^ U$2) * (U$3 / 100)), 0))</f>
        <v/>
      </c>
      <c r="M966" s="24">
        <f t="shared" si="2010"/>
        <v>56425</v>
      </c>
      <c r="N966" s="24" t="str">
        <f t="shared" ref="N966:O966" si="2011">IF(N965="", "", 1 + IFERROR(MINIFS(OFFSET(N966, -1, 0, -MIN(ROW()-2, $B966), 1), OFFSET(N966, -1, 0, -MIN(ROW()-2, $B966), 1), "&gt;0"), N965) + ROUND(IFERROR(MINIFS(OFFSET(N966, -1, 0, -MIN(ROW()-2, $B966), 1), OFFSET(N966, -1, 0, -MIN(ROW()-2, $B966), 1), "&gt;0"), N965) * ((LN(1 + $Z966) ^ W$2) * (W$3 / 1000)), 0))</f>
        <v/>
      </c>
      <c r="O966" s="24" t="str">
        <f t="shared" si="2011"/>
        <v/>
      </c>
      <c r="P966" s="24">
        <f t="shared" ref="P966:S966" si="2012">L966*$Y$2</f>
        <v>0</v>
      </c>
      <c r="Q966" s="24">
        <f t="shared" si="2012"/>
        <v>14106.25</v>
      </c>
      <c r="R966" s="24">
        <f t="shared" si="2012"/>
        <v>0</v>
      </c>
      <c r="S966" s="24">
        <f t="shared" si="2012"/>
        <v>0</v>
      </c>
      <c r="T966" s="24">
        <f t="shared" si="4"/>
        <v>8</v>
      </c>
      <c r="Z966" s="25">
        <f t="shared" si="12"/>
        <v>8.04029051</v>
      </c>
    </row>
    <row r="967">
      <c r="A967" s="16" t="s">
        <v>3</v>
      </c>
      <c r="B967" s="17">
        <v>66.0</v>
      </c>
      <c r="C967" s="24">
        <f t="shared" si="1820"/>
        <v>6675.172157</v>
      </c>
      <c r="D967" s="25">
        <v>0.05</v>
      </c>
      <c r="E967" s="24">
        <f t="shared" si="1821"/>
        <v>43.4702773</v>
      </c>
      <c r="F967" s="25">
        <v>0.02</v>
      </c>
      <c r="G967" s="24">
        <f t="shared" si="1822"/>
        <v>953.5960224</v>
      </c>
      <c r="H967" s="25">
        <v>0.05</v>
      </c>
      <c r="I967" s="24">
        <f t="shared" si="1823"/>
        <v>36.22523108</v>
      </c>
      <c r="J967" s="25">
        <v>0.02</v>
      </c>
      <c r="K967" s="25">
        <v>0.0</v>
      </c>
      <c r="L967" s="24" t="str">
        <f t="shared" ref="L967:M967" si="2013">IF(L966="", "", 1 + IFERROR(MINIFS(OFFSET(L967, -1, 0, -MIN(ROW()-2, $B967), 1), OFFSET(L967, -1, 0, -MIN(ROW()-2, $B967), 1), "&gt;0"), L966) + ROUND((L$2 * (LN(1 + $Z967) ^ U$2) * (U$3 / 100)), 0))</f>
        <v/>
      </c>
      <c r="M967" s="24">
        <f t="shared" si="2013"/>
        <v>56430</v>
      </c>
      <c r="N967" s="24" t="str">
        <f t="shared" ref="N967:O967" si="2014">IF(N966="", "", 1 + IFERROR(MINIFS(OFFSET(N967, -1, 0, -MIN(ROW()-2, $B967), 1), OFFSET(N967, -1, 0, -MIN(ROW()-2, $B967), 1), "&gt;0"), N966) + ROUND(IFERROR(MINIFS(OFFSET(N967, -1, 0, -MIN(ROW()-2, $B967), 1), OFFSET(N967, -1, 0, -MIN(ROW()-2, $B967), 1), "&gt;0"), N966) * ((LN(1 + $Z967) ^ W$2) * (W$3 / 1000)), 0))</f>
        <v/>
      </c>
      <c r="O967" s="24" t="str">
        <f t="shared" si="2014"/>
        <v/>
      </c>
      <c r="P967" s="24">
        <f t="shared" ref="P967:S967" si="2015">L967*$Y$2</f>
        <v>0</v>
      </c>
      <c r="Q967" s="24">
        <f t="shared" si="2015"/>
        <v>14107.5</v>
      </c>
      <c r="R967" s="24">
        <f t="shared" si="2015"/>
        <v>0</v>
      </c>
      <c r="S967" s="24">
        <f t="shared" si="2015"/>
        <v>0</v>
      </c>
      <c r="T967" s="24">
        <f t="shared" si="4"/>
        <v>8</v>
      </c>
      <c r="Z967" s="25">
        <f t="shared" si="12"/>
        <v>8.356700677</v>
      </c>
    </row>
    <row r="968">
      <c r="A968" s="16" t="s">
        <v>3</v>
      </c>
      <c r="B968" s="17">
        <v>67.0</v>
      </c>
      <c r="C968" s="24">
        <f t="shared" si="1820"/>
        <v>7008.930764</v>
      </c>
      <c r="D968" s="25">
        <v>0.05</v>
      </c>
      <c r="E968" s="24">
        <f t="shared" si="1821"/>
        <v>44.33968284</v>
      </c>
      <c r="F968" s="25">
        <v>0.02</v>
      </c>
      <c r="G968" s="24">
        <f t="shared" si="1822"/>
        <v>1001.275823</v>
      </c>
      <c r="H968" s="25">
        <v>0.05</v>
      </c>
      <c r="I968" s="24">
        <f t="shared" si="1823"/>
        <v>36.9497357</v>
      </c>
      <c r="J968" s="25">
        <v>0.02</v>
      </c>
      <c r="K968" s="25">
        <v>0.0</v>
      </c>
      <c r="L968" s="24" t="str">
        <f t="shared" ref="L968:M968" si="2016">IF(L967="", "", 1 + IFERROR(MINIFS(OFFSET(L968, -1, 0, -MIN(ROW()-2, $B968), 1), OFFSET(L968, -1, 0, -MIN(ROW()-2, $B968), 1), "&gt;0"), L967) + ROUND((L$2 * (LN(1 + $Z968) ^ U$2) * (U$3 / 100)), 0))</f>
        <v/>
      </c>
      <c r="M968" s="24">
        <f t="shared" si="2016"/>
        <v>56435</v>
      </c>
      <c r="N968" s="24" t="str">
        <f t="shared" ref="N968:O968" si="2017">IF(N967="", "", 1 + IFERROR(MINIFS(OFFSET(N968, -1, 0, -MIN(ROW()-2, $B968), 1), OFFSET(N968, -1, 0, -MIN(ROW()-2, $B968), 1), "&gt;0"), N967) + ROUND(IFERROR(MINIFS(OFFSET(N968, -1, 0, -MIN(ROW()-2, $B968), 1), OFFSET(N968, -1, 0, -MIN(ROW()-2, $B968), 1), "&gt;0"), N967) * ((LN(1 + $Z968) ^ W$2) * (W$3 / 1000)), 0))</f>
        <v/>
      </c>
      <c r="O968" s="24" t="str">
        <f t="shared" si="2017"/>
        <v/>
      </c>
      <c r="P968" s="24">
        <f t="shared" ref="P968:S968" si="2018">L968*$Y$2</f>
        <v>0</v>
      </c>
      <c r="Q968" s="24">
        <f t="shared" si="2018"/>
        <v>14108.75</v>
      </c>
      <c r="R968" s="24">
        <f t="shared" si="2018"/>
        <v>0</v>
      </c>
      <c r="S968" s="24">
        <f t="shared" si="2018"/>
        <v>0</v>
      </c>
      <c r="T968" s="24">
        <f t="shared" si="4"/>
        <v>8</v>
      </c>
      <c r="Z968" s="25">
        <f t="shared" si="12"/>
        <v>8.684185201</v>
      </c>
    </row>
    <row r="969">
      <c r="A969" s="16" t="s">
        <v>3</v>
      </c>
      <c r="B969" s="17">
        <v>68.0</v>
      </c>
      <c r="C969" s="24">
        <f t="shared" si="1820"/>
        <v>7359.377303</v>
      </c>
      <c r="D969" s="25">
        <v>0.05</v>
      </c>
      <c r="E969" s="24">
        <f t="shared" si="1821"/>
        <v>45.2264765</v>
      </c>
      <c r="F969" s="25">
        <v>0.02</v>
      </c>
      <c r="G969" s="24">
        <f t="shared" si="1822"/>
        <v>1051.339615</v>
      </c>
      <c r="H969" s="25">
        <v>0.05</v>
      </c>
      <c r="I969" s="24">
        <f t="shared" si="1823"/>
        <v>37.68873042</v>
      </c>
      <c r="J969" s="25">
        <v>0.02</v>
      </c>
      <c r="K969" s="25">
        <v>0.0</v>
      </c>
      <c r="L969" s="24" t="str">
        <f t="shared" ref="L969:M969" si="2019">IF(L968="", "", 1 + IFERROR(MINIFS(OFFSET(L969, -1, 0, -MIN(ROW()-2, $B969), 1), OFFSET(L969, -1, 0, -MIN(ROW()-2, $B969), 1), "&gt;0"), L968) + ROUND((L$2 * (LN(1 + $Z969) ^ U$2) * (U$3 / 100)), 0))</f>
        <v/>
      </c>
      <c r="M969" s="24">
        <f t="shared" si="2019"/>
        <v>56440</v>
      </c>
      <c r="N969" s="24" t="str">
        <f t="shared" ref="N969:O969" si="2020">IF(N968="", "", 1 + IFERROR(MINIFS(OFFSET(N969, -1, 0, -MIN(ROW()-2, $B969), 1), OFFSET(N969, -1, 0, -MIN(ROW()-2, $B969), 1), "&gt;0"), N968) + ROUND(IFERROR(MINIFS(OFFSET(N969, -1, 0, -MIN(ROW()-2, $B969), 1), OFFSET(N969, -1, 0, -MIN(ROW()-2, $B969), 1), "&gt;0"), N968) * ((LN(1 + $Z969) ^ W$2) * (W$3 / 1000)), 0))</f>
        <v/>
      </c>
      <c r="O969" s="24" t="str">
        <f t="shared" si="2020"/>
        <v/>
      </c>
      <c r="P969" s="24">
        <f t="shared" ref="P969:S969" si="2021">L969*$Y$2</f>
        <v>0</v>
      </c>
      <c r="Q969" s="24">
        <f t="shared" si="2021"/>
        <v>14110</v>
      </c>
      <c r="R969" s="24">
        <f t="shared" si="2021"/>
        <v>0</v>
      </c>
      <c r="S969" s="24">
        <f t="shared" si="2021"/>
        <v>0</v>
      </c>
      <c r="T969" s="24">
        <f t="shared" si="4"/>
        <v>8</v>
      </c>
      <c r="Z969" s="25">
        <f t="shared" si="12"/>
        <v>9.023131683</v>
      </c>
    </row>
    <row r="970">
      <c r="A970" s="16" t="s">
        <v>3</v>
      </c>
      <c r="B970" s="17">
        <v>69.0</v>
      </c>
      <c r="C970" s="24">
        <f t="shared" si="1820"/>
        <v>7727.346168</v>
      </c>
      <c r="D970" s="25">
        <v>0.05</v>
      </c>
      <c r="E970" s="24">
        <f t="shared" si="1821"/>
        <v>46.13100603</v>
      </c>
      <c r="F970" s="25">
        <v>0.02</v>
      </c>
      <c r="G970" s="24">
        <f t="shared" si="1822"/>
        <v>1103.906595</v>
      </c>
      <c r="H970" s="25">
        <v>0.05</v>
      </c>
      <c r="I970" s="24">
        <f t="shared" si="1823"/>
        <v>38.44250503</v>
      </c>
      <c r="J970" s="25">
        <v>0.02</v>
      </c>
      <c r="K970" s="25">
        <v>0.0</v>
      </c>
      <c r="L970" s="24" t="str">
        <f t="shared" ref="L970:M970" si="2022">IF(L969="", "", 1 + IFERROR(MINIFS(OFFSET(L970, -1, 0, -MIN(ROW()-2, $B970), 1), OFFSET(L970, -1, 0, -MIN(ROW()-2, $B970), 1), "&gt;0"), L969) + ROUND((L$2 * (LN(1 + $Z970) ^ U$2) * (U$3 / 100)), 0))</f>
        <v/>
      </c>
      <c r="M970" s="24">
        <f t="shared" si="2022"/>
        <v>56445</v>
      </c>
      <c r="N970" s="24" t="str">
        <f t="shared" ref="N970:O970" si="2023">IF(N969="", "", 1 + IFERROR(MINIFS(OFFSET(N970, -1, 0, -MIN(ROW()-2, $B970), 1), OFFSET(N970, -1, 0, -MIN(ROW()-2, $B970), 1), "&gt;0"), N969) + ROUND(IFERROR(MINIFS(OFFSET(N970, -1, 0, -MIN(ROW()-2, $B970), 1), OFFSET(N970, -1, 0, -MIN(ROW()-2, $B970), 1), "&gt;0"), N969) * ((LN(1 + $Z970) ^ W$2) * (W$3 / 1000)), 0))</f>
        <v/>
      </c>
      <c r="O970" s="24" t="str">
        <f t="shared" si="2023"/>
        <v/>
      </c>
      <c r="P970" s="24">
        <f t="shared" ref="P970:S970" si="2024">L970*$Y$2</f>
        <v>0</v>
      </c>
      <c r="Q970" s="24">
        <f t="shared" si="2024"/>
        <v>14111.25</v>
      </c>
      <c r="R970" s="24">
        <f t="shared" si="2024"/>
        <v>0</v>
      </c>
      <c r="S970" s="24">
        <f t="shared" si="2024"/>
        <v>0</v>
      </c>
      <c r="T970" s="24">
        <f t="shared" si="4"/>
        <v>8</v>
      </c>
      <c r="Z970" s="25">
        <f t="shared" si="12"/>
        <v>9.373941292</v>
      </c>
    </row>
    <row r="971">
      <c r="A971" s="16" t="s">
        <v>3</v>
      </c>
      <c r="B971" s="17">
        <v>70.0</v>
      </c>
      <c r="C971" s="24">
        <f t="shared" si="1820"/>
        <v>8113.713476</v>
      </c>
      <c r="D971" s="25">
        <v>0.05</v>
      </c>
      <c r="E971" s="24">
        <f t="shared" si="1821"/>
        <v>47.05362615</v>
      </c>
      <c r="F971" s="25">
        <v>0.02</v>
      </c>
      <c r="G971" s="24">
        <f t="shared" si="1822"/>
        <v>1159.101925</v>
      </c>
      <c r="H971" s="25">
        <v>0.05</v>
      </c>
      <c r="I971" s="24">
        <f t="shared" si="1823"/>
        <v>39.21135513</v>
      </c>
      <c r="J971" s="25">
        <v>0.02</v>
      </c>
      <c r="K971" s="25">
        <v>0.0</v>
      </c>
      <c r="L971" s="24" t="str">
        <f t="shared" ref="L971:M971" si="2025">IF(L970="", "", 1 + IFERROR(MINIFS(OFFSET(L971, -1, 0, -MIN(ROW()-2, $B971), 1), OFFSET(L971, -1, 0, -MIN(ROW()-2, $B971), 1), "&gt;0"), L970) + ROUND((L$2 * (LN(1 + $Z971) ^ U$2) * (U$3 / 100)), 0))</f>
        <v/>
      </c>
      <c r="M971" s="24">
        <f t="shared" si="2025"/>
        <v>56450</v>
      </c>
      <c r="N971" s="24" t="str">
        <f t="shared" ref="N971:O971" si="2026">IF(N970="", "", 1 + IFERROR(MINIFS(OFFSET(N971, -1, 0, -MIN(ROW()-2, $B971), 1), OFFSET(N971, -1, 0, -MIN(ROW()-2, $B971), 1), "&gt;0"), N970) + ROUND(IFERROR(MINIFS(OFFSET(N971, -1, 0, -MIN(ROW()-2, $B971), 1), OFFSET(N971, -1, 0, -MIN(ROW()-2, $B971), 1), "&gt;0"), N970) * ((LN(1 + $Z971) ^ W$2) * (W$3 / 1000)), 0))</f>
        <v/>
      </c>
      <c r="O971" s="24" t="str">
        <f t="shared" si="2026"/>
        <v/>
      </c>
      <c r="P971" s="24">
        <f t="shared" ref="P971:S971" si="2027">L971*$Y$2</f>
        <v>0</v>
      </c>
      <c r="Q971" s="24">
        <f t="shared" si="2027"/>
        <v>14112.5</v>
      </c>
      <c r="R971" s="24">
        <f t="shared" si="2027"/>
        <v>0</v>
      </c>
      <c r="S971" s="24">
        <f t="shared" si="2027"/>
        <v>0</v>
      </c>
      <c r="T971" s="24">
        <f t="shared" si="4"/>
        <v>8</v>
      </c>
      <c r="Z971" s="25">
        <f t="shared" si="12"/>
        <v>9.737029237</v>
      </c>
    </row>
    <row r="972">
      <c r="A972" s="16" t="s">
        <v>3</v>
      </c>
      <c r="B972" s="17">
        <v>71.0</v>
      </c>
      <c r="C972" s="24">
        <f t="shared" si="1820"/>
        <v>8519.39915</v>
      </c>
      <c r="D972" s="25">
        <v>0.05</v>
      </c>
      <c r="E972" s="24">
        <f t="shared" si="1821"/>
        <v>47.99469867</v>
      </c>
      <c r="F972" s="25">
        <v>0.02</v>
      </c>
      <c r="G972" s="24">
        <f t="shared" si="1822"/>
        <v>1217.057021</v>
      </c>
      <c r="H972" s="25">
        <v>0.05</v>
      </c>
      <c r="I972" s="24">
        <f t="shared" si="1823"/>
        <v>39.99558223</v>
      </c>
      <c r="J972" s="25">
        <v>0.02</v>
      </c>
      <c r="K972" s="25">
        <v>0.0</v>
      </c>
      <c r="L972" s="24" t="str">
        <f t="shared" ref="L972:M972" si="2028">IF(L971="", "", 1 + IFERROR(MINIFS(OFFSET(L972, -1, 0, -MIN(ROW()-2, $B972), 1), OFFSET(L972, -1, 0, -MIN(ROW()-2, $B972), 1), "&gt;0"), L971) + ROUND((L$2 * (LN(1 + $Z972) ^ U$2) * (U$3 / 100)), 0))</f>
        <v/>
      </c>
      <c r="M972" s="24">
        <f t="shared" si="2028"/>
        <v>56455</v>
      </c>
      <c r="N972" s="24" t="str">
        <f t="shared" ref="N972:O972" si="2029">IF(N971="", "", 1 + IFERROR(MINIFS(OFFSET(N972, -1, 0, -MIN(ROW()-2, $B972), 1), OFFSET(N972, -1, 0, -MIN(ROW()-2, $B972), 1), "&gt;0"), N971) + ROUND(IFERROR(MINIFS(OFFSET(N972, -1, 0, -MIN(ROW()-2, $B972), 1), OFFSET(N972, -1, 0, -MIN(ROW()-2, $B972), 1), "&gt;0"), N971) * ((LN(1 + $Z972) ^ W$2) * (W$3 / 1000)), 0))</f>
        <v/>
      </c>
      <c r="O972" s="24" t="str">
        <f t="shared" si="2029"/>
        <v/>
      </c>
      <c r="P972" s="24">
        <f t="shared" ref="P972:S972" si="2030">L972*$Y$2</f>
        <v>0</v>
      </c>
      <c r="Q972" s="24">
        <f t="shared" si="2030"/>
        <v>14113.75</v>
      </c>
      <c r="R972" s="24">
        <f t="shared" si="2030"/>
        <v>0</v>
      </c>
      <c r="S972" s="24">
        <f t="shared" si="2030"/>
        <v>0</v>
      </c>
      <c r="T972" s="24">
        <f t="shared" si="4"/>
        <v>8</v>
      </c>
      <c r="Z972" s="25">
        <f t="shared" si="12"/>
        <v>10.11282526</v>
      </c>
    </row>
    <row r="973">
      <c r="A973" s="16" t="s">
        <v>3</v>
      </c>
      <c r="B973" s="17">
        <v>72.0</v>
      </c>
      <c r="C973" s="24">
        <f t="shared" si="1820"/>
        <v>8945.369107</v>
      </c>
      <c r="D973" s="25">
        <v>0.05</v>
      </c>
      <c r="E973" s="24">
        <f t="shared" si="1821"/>
        <v>48.95459265</v>
      </c>
      <c r="F973" s="25">
        <v>0.02</v>
      </c>
      <c r="G973" s="24">
        <f t="shared" si="1822"/>
        <v>1277.909872</v>
      </c>
      <c r="H973" s="25">
        <v>0.05</v>
      </c>
      <c r="I973" s="24">
        <f t="shared" si="1823"/>
        <v>40.79549387</v>
      </c>
      <c r="J973" s="25">
        <v>0.02</v>
      </c>
      <c r="K973" s="25">
        <v>0.0</v>
      </c>
      <c r="L973" s="24" t="str">
        <f t="shared" ref="L973:M973" si="2031">IF(L972="", "", 1 + IFERROR(MINIFS(OFFSET(L973, -1, 0, -MIN(ROW()-2, $B973), 1), OFFSET(L973, -1, 0, -MIN(ROW()-2, $B973), 1), "&gt;0"), L972) + ROUND((L$2 * (LN(1 + $Z973) ^ U$2) * (U$3 / 100)), 0))</f>
        <v/>
      </c>
      <c r="M973" s="24">
        <f t="shared" si="2031"/>
        <v>56460</v>
      </c>
      <c r="N973" s="24" t="str">
        <f t="shared" ref="N973:O973" si="2032">IF(N972="", "", 1 + IFERROR(MINIFS(OFFSET(N973, -1, 0, -MIN(ROW()-2, $B973), 1), OFFSET(N973, -1, 0, -MIN(ROW()-2, $B973), 1), "&gt;0"), N972) + ROUND(IFERROR(MINIFS(OFFSET(N973, -1, 0, -MIN(ROW()-2, $B973), 1), OFFSET(N973, -1, 0, -MIN(ROW()-2, $B973), 1), "&gt;0"), N972) * ((LN(1 + $Z973) ^ W$2) * (W$3 / 1000)), 0))</f>
        <v/>
      </c>
      <c r="O973" s="24" t="str">
        <f t="shared" si="2032"/>
        <v/>
      </c>
      <c r="P973" s="24">
        <f t="shared" ref="P973:S973" si="2033">L973*$Y$2</f>
        <v>0</v>
      </c>
      <c r="Q973" s="24">
        <f t="shared" si="2033"/>
        <v>14115</v>
      </c>
      <c r="R973" s="24">
        <f t="shared" si="2033"/>
        <v>0</v>
      </c>
      <c r="S973" s="24">
        <f t="shared" si="2033"/>
        <v>0</v>
      </c>
      <c r="T973" s="24">
        <f t="shared" si="4"/>
        <v>8</v>
      </c>
      <c r="Z973" s="25">
        <f t="shared" si="12"/>
        <v>10.50177414</v>
      </c>
    </row>
    <row r="974">
      <c r="A974" s="16" t="s">
        <v>3</v>
      </c>
      <c r="B974" s="17">
        <v>73.0</v>
      </c>
      <c r="C974" s="24">
        <f t="shared" si="1820"/>
        <v>9392.637563</v>
      </c>
      <c r="D974" s="25">
        <v>0.05</v>
      </c>
      <c r="E974" s="24">
        <f t="shared" si="1821"/>
        <v>49.9336845</v>
      </c>
      <c r="F974" s="25">
        <v>0.02</v>
      </c>
      <c r="G974" s="24">
        <f t="shared" si="1822"/>
        <v>1341.805366</v>
      </c>
      <c r="H974" s="25">
        <v>0.05</v>
      </c>
      <c r="I974" s="24">
        <f t="shared" si="1823"/>
        <v>41.61140375</v>
      </c>
      <c r="J974" s="25">
        <v>0.02</v>
      </c>
      <c r="K974" s="25">
        <v>0.0</v>
      </c>
      <c r="L974" s="24" t="str">
        <f t="shared" ref="L974:M974" si="2034">IF(L973="", "", 1 + IFERROR(MINIFS(OFFSET(L974, -1, 0, -MIN(ROW()-2, $B974), 1), OFFSET(L974, -1, 0, -MIN(ROW()-2, $B974), 1), "&gt;0"), L973) + ROUND((L$2 * (LN(1 + $Z974) ^ U$2) * (U$3 / 100)), 0))</f>
        <v/>
      </c>
      <c r="M974" s="24">
        <f t="shared" si="2034"/>
        <v>56465</v>
      </c>
      <c r="N974" s="24" t="str">
        <f t="shared" ref="N974:O974" si="2035">IF(N973="", "", 1 + IFERROR(MINIFS(OFFSET(N974, -1, 0, -MIN(ROW()-2, $B974), 1), OFFSET(N974, -1, 0, -MIN(ROW()-2, $B974), 1), "&gt;0"), N973) + ROUND(IFERROR(MINIFS(OFFSET(N974, -1, 0, -MIN(ROW()-2, $B974), 1), OFFSET(N974, -1, 0, -MIN(ROW()-2, $B974), 1), "&gt;0"), N973) * ((LN(1 + $Z974) ^ W$2) * (W$3 / 1000)), 0))</f>
        <v/>
      </c>
      <c r="O974" s="24" t="str">
        <f t="shared" si="2035"/>
        <v/>
      </c>
      <c r="P974" s="24">
        <f t="shared" ref="P974:S974" si="2036">L974*$Y$2</f>
        <v>0</v>
      </c>
      <c r="Q974" s="24">
        <f t="shared" si="2036"/>
        <v>14116.25</v>
      </c>
      <c r="R974" s="24">
        <f t="shared" si="2036"/>
        <v>0</v>
      </c>
      <c r="S974" s="24">
        <f t="shared" si="2036"/>
        <v>0</v>
      </c>
      <c r="T974" s="24">
        <f t="shared" si="4"/>
        <v>8</v>
      </c>
      <c r="Z974" s="25">
        <f t="shared" si="12"/>
        <v>10.90433624</v>
      </c>
    </row>
    <row r="975">
      <c r="A975" s="16" t="s">
        <v>3</v>
      </c>
      <c r="B975" s="17">
        <v>74.0</v>
      </c>
      <c r="C975" s="24">
        <f t="shared" si="1820"/>
        <v>9862.269441</v>
      </c>
      <c r="D975" s="25">
        <v>0.05</v>
      </c>
      <c r="E975" s="24">
        <f t="shared" si="1821"/>
        <v>50.93235819</v>
      </c>
      <c r="F975" s="25">
        <v>0.02</v>
      </c>
      <c r="G975" s="24">
        <f t="shared" si="1822"/>
        <v>1408.895634</v>
      </c>
      <c r="H975" s="25">
        <v>0.05</v>
      </c>
      <c r="I975" s="24">
        <f t="shared" si="1823"/>
        <v>42.44363183</v>
      </c>
      <c r="J975" s="25">
        <v>0.02</v>
      </c>
      <c r="K975" s="25">
        <v>0.0</v>
      </c>
      <c r="L975" s="24" t="str">
        <f t="shared" ref="L975:M975" si="2037">IF(L974="", "", 1 + IFERROR(MINIFS(OFFSET(L975, -1, 0, -MIN(ROW()-2, $B975), 1), OFFSET(L975, -1, 0, -MIN(ROW()-2, $B975), 1), "&gt;0"), L974) + ROUND((L$2 * (LN(1 + $Z975) ^ U$2) * (U$3 / 100)), 0))</f>
        <v/>
      </c>
      <c r="M975" s="24">
        <f t="shared" si="2037"/>
        <v>56470</v>
      </c>
      <c r="N975" s="24" t="str">
        <f t="shared" ref="N975:O975" si="2038">IF(N974="", "", 1 + IFERROR(MINIFS(OFFSET(N975, -1, 0, -MIN(ROW()-2, $B975), 1), OFFSET(N975, -1, 0, -MIN(ROW()-2, $B975), 1), "&gt;0"), N974) + ROUND(IFERROR(MINIFS(OFFSET(N975, -1, 0, -MIN(ROW()-2, $B975), 1), OFFSET(N975, -1, 0, -MIN(ROW()-2, $B975), 1), "&gt;0"), N974) * ((LN(1 + $Z975) ^ W$2) * (W$3 / 1000)), 0))</f>
        <v/>
      </c>
      <c r="O975" s="24" t="str">
        <f t="shared" si="2038"/>
        <v/>
      </c>
      <c r="P975" s="24">
        <f t="shared" ref="P975:S975" si="2039">L975*$Y$2</f>
        <v>0</v>
      </c>
      <c r="Q975" s="24">
        <f t="shared" si="2039"/>
        <v>14117.5</v>
      </c>
      <c r="R975" s="24">
        <f t="shared" si="2039"/>
        <v>0</v>
      </c>
      <c r="S975" s="24">
        <f t="shared" si="2039"/>
        <v>0</v>
      </c>
      <c r="T975" s="24">
        <f t="shared" si="4"/>
        <v>8</v>
      </c>
      <c r="Z975" s="25">
        <f t="shared" si="12"/>
        <v>11.32098801</v>
      </c>
    </row>
    <row r="976">
      <c r="A976" s="16" t="s">
        <v>3</v>
      </c>
      <c r="B976" s="17">
        <v>75.0</v>
      </c>
      <c r="C976" s="24">
        <f t="shared" si="1820"/>
        <v>10355.38291</v>
      </c>
      <c r="D976" s="25">
        <v>0.05</v>
      </c>
      <c r="E976" s="24">
        <f t="shared" si="1821"/>
        <v>51.95100535</v>
      </c>
      <c r="F976" s="25">
        <v>0.02</v>
      </c>
      <c r="G976" s="24">
        <f t="shared" si="1822"/>
        <v>1479.340416</v>
      </c>
      <c r="H976" s="25">
        <v>0.05</v>
      </c>
      <c r="I976" s="24">
        <f t="shared" si="1823"/>
        <v>43.29250446</v>
      </c>
      <c r="J976" s="25">
        <v>0.02</v>
      </c>
      <c r="K976" s="25">
        <v>0.0</v>
      </c>
      <c r="L976" s="24" t="str">
        <f t="shared" ref="L976:M976" si="2040">IF(L975="", "", 1 + IFERROR(MINIFS(OFFSET(L976, -1, 0, -MIN(ROW()-2, $B976), 1), OFFSET(L976, -1, 0, -MIN(ROW()-2, $B976), 1), "&gt;0"), L975) + ROUND((L$2 * (LN(1 + $Z976) ^ U$2) * (U$3 / 100)), 0))</f>
        <v/>
      </c>
      <c r="M976" s="24">
        <f t="shared" si="2040"/>
        <v>56475</v>
      </c>
      <c r="N976" s="24" t="str">
        <f t="shared" ref="N976:O976" si="2041">IF(N975="", "", 1 + IFERROR(MINIFS(OFFSET(N976, -1, 0, -MIN(ROW()-2, $B976), 1), OFFSET(N976, -1, 0, -MIN(ROW()-2, $B976), 1), "&gt;0"), N975) + ROUND(IFERROR(MINIFS(OFFSET(N976, -1, 0, -MIN(ROW()-2, $B976), 1), OFFSET(N976, -1, 0, -MIN(ROW()-2, $B976), 1), "&gt;0"), N975) * ((LN(1 + $Z976) ^ W$2) * (W$3 / 1000)), 0))</f>
        <v/>
      </c>
      <c r="O976" s="24" t="str">
        <f t="shared" si="2041"/>
        <v/>
      </c>
      <c r="P976" s="24">
        <f t="shared" ref="P976:S976" si="2042">L976*$Y$2</f>
        <v>0</v>
      </c>
      <c r="Q976" s="24">
        <f t="shared" si="2042"/>
        <v>14118.75</v>
      </c>
      <c r="R976" s="24">
        <f t="shared" si="2042"/>
        <v>0</v>
      </c>
      <c r="S976" s="24">
        <f t="shared" si="2042"/>
        <v>0</v>
      </c>
      <c r="T976" s="24">
        <f t="shared" si="4"/>
        <v>9</v>
      </c>
      <c r="Z976" s="25">
        <f t="shared" si="12"/>
        <v>11.75222259</v>
      </c>
    </row>
    <row r="977">
      <c r="A977" s="16" t="s">
        <v>3</v>
      </c>
      <c r="B977" s="17">
        <v>76.0</v>
      </c>
      <c r="C977" s="24">
        <f t="shared" si="1820"/>
        <v>10873.15206</v>
      </c>
      <c r="D977" s="25">
        <v>0.05</v>
      </c>
      <c r="E977" s="24">
        <f t="shared" si="1821"/>
        <v>52.99002546</v>
      </c>
      <c r="F977" s="25">
        <v>0.02</v>
      </c>
      <c r="G977" s="24">
        <f t="shared" si="1822"/>
        <v>1553.307437</v>
      </c>
      <c r="H977" s="25">
        <v>0.05</v>
      </c>
      <c r="I977" s="24">
        <f t="shared" si="1823"/>
        <v>44.15835455</v>
      </c>
      <c r="J977" s="25">
        <v>0.02</v>
      </c>
      <c r="K977" s="25">
        <v>0.0</v>
      </c>
      <c r="L977" s="24" t="str">
        <f t="shared" ref="L977:M977" si="2043">IF(L976="", "", 1 + IFERROR(MINIFS(OFFSET(L977, -1, 0, -MIN(ROW()-2, $B977), 1), OFFSET(L977, -1, 0, -MIN(ROW()-2, $B977), 1), "&gt;0"), L976) + ROUND((L$2 * (LN(1 + $Z977) ^ U$2) * (U$3 / 100)), 0))</f>
        <v/>
      </c>
      <c r="M977" s="24">
        <f t="shared" si="2043"/>
        <v>56480</v>
      </c>
      <c r="N977" s="24" t="str">
        <f t="shared" ref="N977:O977" si="2044">IF(N976="", "", 1 + IFERROR(MINIFS(OFFSET(N977, -1, 0, -MIN(ROW()-2, $B977), 1), OFFSET(N977, -1, 0, -MIN(ROW()-2, $B977), 1), "&gt;0"), N976) + ROUND(IFERROR(MINIFS(OFFSET(N977, -1, 0, -MIN(ROW()-2, $B977), 1), OFFSET(N977, -1, 0, -MIN(ROW()-2, $B977), 1), "&gt;0"), N976) * ((LN(1 + $Z977) ^ W$2) * (W$3 / 1000)), 0))</f>
        <v/>
      </c>
      <c r="O977" s="24" t="str">
        <f t="shared" si="2044"/>
        <v/>
      </c>
      <c r="P977" s="24">
        <f t="shared" ref="P977:S977" si="2045">L977*$Y$2</f>
        <v>0</v>
      </c>
      <c r="Q977" s="24">
        <f t="shared" si="2045"/>
        <v>14120</v>
      </c>
      <c r="R977" s="24">
        <f t="shared" si="2045"/>
        <v>0</v>
      </c>
      <c r="S977" s="24">
        <f t="shared" si="2045"/>
        <v>0</v>
      </c>
      <c r="T977" s="24">
        <f t="shared" si="4"/>
        <v>9</v>
      </c>
      <c r="Z977" s="25">
        <f t="shared" si="12"/>
        <v>12.19855038</v>
      </c>
    </row>
    <row r="978">
      <c r="A978" s="16" t="s">
        <v>3</v>
      </c>
      <c r="B978" s="17">
        <v>77.0</v>
      </c>
      <c r="C978" s="24">
        <f t="shared" si="1820"/>
        <v>11416.80966</v>
      </c>
      <c r="D978" s="25">
        <v>0.05</v>
      </c>
      <c r="E978" s="24">
        <f t="shared" si="1821"/>
        <v>54.04982597</v>
      </c>
      <c r="F978" s="25">
        <v>0.02</v>
      </c>
      <c r="G978" s="24">
        <f t="shared" si="1822"/>
        <v>1630.972809</v>
      </c>
      <c r="H978" s="25">
        <v>0.05</v>
      </c>
      <c r="I978" s="24">
        <f t="shared" si="1823"/>
        <v>45.04152164</v>
      </c>
      <c r="J978" s="25">
        <v>0.02</v>
      </c>
      <c r="K978" s="25">
        <v>0.0</v>
      </c>
      <c r="L978" s="24" t="str">
        <f t="shared" ref="L978:M978" si="2046">IF(L977="", "", 1 + IFERROR(MINIFS(OFFSET(L978, -1, 0, -MIN(ROW()-2, $B978), 1), OFFSET(L978, -1, 0, -MIN(ROW()-2, $B978), 1), "&gt;0"), L977) + ROUND((L$2 * (LN(1 + $Z978) ^ U$2) * (U$3 / 100)), 0))</f>
        <v/>
      </c>
      <c r="M978" s="24">
        <f t="shared" si="2046"/>
        <v>56485</v>
      </c>
      <c r="N978" s="24" t="str">
        <f t="shared" ref="N978:O978" si="2047">IF(N977="", "", 1 + IFERROR(MINIFS(OFFSET(N978, -1, 0, -MIN(ROW()-2, $B978), 1), OFFSET(N978, -1, 0, -MIN(ROW()-2, $B978), 1), "&gt;0"), N977) + ROUND(IFERROR(MINIFS(OFFSET(N978, -1, 0, -MIN(ROW()-2, $B978), 1), OFFSET(N978, -1, 0, -MIN(ROW()-2, $B978), 1), "&gt;0"), N977) * ((LN(1 + $Z978) ^ W$2) * (W$3 / 1000)), 0))</f>
        <v/>
      </c>
      <c r="O978" s="24" t="str">
        <f t="shared" si="2047"/>
        <v/>
      </c>
      <c r="P978" s="24">
        <f t="shared" ref="P978:S978" si="2048">L978*$Y$2</f>
        <v>0</v>
      </c>
      <c r="Q978" s="24">
        <f t="shared" si="2048"/>
        <v>14121.25</v>
      </c>
      <c r="R978" s="24">
        <f t="shared" si="2048"/>
        <v>0</v>
      </c>
      <c r="S978" s="24">
        <f t="shared" si="2048"/>
        <v>0</v>
      </c>
      <c r="T978" s="24">
        <f t="shared" si="4"/>
        <v>9</v>
      </c>
      <c r="Z978" s="25">
        <f t="shared" si="12"/>
        <v>12.66049964</v>
      </c>
    </row>
    <row r="979">
      <c r="A979" s="16" t="s">
        <v>3</v>
      </c>
      <c r="B979" s="17">
        <v>78.0</v>
      </c>
      <c r="C979" s="24">
        <f t="shared" si="1820"/>
        <v>11987.65014</v>
      </c>
      <c r="D979" s="25">
        <v>0.05</v>
      </c>
      <c r="E979" s="24">
        <f t="shared" si="1821"/>
        <v>55.13082249</v>
      </c>
      <c r="F979" s="25">
        <v>0.02</v>
      </c>
      <c r="G979" s="24">
        <f t="shared" si="1822"/>
        <v>1712.521449</v>
      </c>
      <c r="H979" s="25">
        <v>0.05</v>
      </c>
      <c r="I979" s="24">
        <f t="shared" si="1823"/>
        <v>45.94235208</v>
      </c>
      <c r="J979" s="25">
        <v>0.02</v>
      </c>
      <c r="K979" s="25">
        <v>0.0</v>
      </c>
      <c r="L979" s="24" t="str">
        <f t="shared" ref="L979:M979" si="2049">IF(L978="", "", 1 + IFERROR(MINIFS(OFFSET(L979, -1, 0, -MIN(ROW()-2, $B979), 1), OFFSET(L979, -1, 0, -MIN(ROW()-2, $B979), 1), "&gt;0"), L978) + ROUND((L$2 * (LN(1 + $Z979) ^ U$2) * (U$3 / 100)), 0))</f>
        <v/>
      </c>
      <c r="M979" s="24">
        <f t="shared" si="2049"/>
        <v>56490</v>
      </c>
      <c r="N979" s="24" t="str">
        <f t="shared" ref="N979:O979" si="2050">IF(N978="", "", 1 + IFERROR(MINIFS(OFFSET(N979, -1, 0, -MIN(ROW()-2, $B979), 1), OFFSET(N979, -1, 0, -MIN(ROW()-2, $B979), 1), "&gt;0"), N978) + ROUND(IFERROR(MINIFS(OFFSET(N979, -1, 0, -MIN(ROW()-2, $B979), 1), OFFSET(N979, -1, 0, -MIN(ROW()-2, $B979), 1), "&gt;0"), N978) * ((LN(1 + $Z979) ^ W$2) * (W$3 / 1000)), 0))</f>
        <v/>
      </c>
      <c r="O979" s="24" t="str">
        <f t="shared" si="2050"/>
        <v/>
      </c>
      <c r="P979" s="24">
        <f t="shared" ref="P979:S979" si="2051">L979*$Y$2</f>
        <v>0</v>
      </c>
      <c r="Q979" s="24">
        <f t="shared" si="2051"/>
        <v>14122.5</v>
      </c>
      <c r="R979" s="24">
        <f t="shared" si="2051"/>
        <v>0</v>
      </c>
      <c r="S979" s="24">
        <f t="shared" si="2051"/>
        <v>0</v>
      </c>
      <c r="T979" s="24">
        <f t="shared" si="4"/>
        <v>9</v>
      </c>
      <c r="Z979" s="25">
        <f t="shared" si="12"/>
        <v>13.13861713</v>
      </c>
    </row>
    <row r="980">
      <c r="A980" s="16" t="s">
        <v>3</v>
      </c>
      <c r="B980" s="17">
        <v>79.0</v>
      </c>
      <c r="C980" s="24">
        <f t="shared" si="1820"/>
        <v>12587.03265</v>
      </c>
      <c r="D980" s="25">
        <v>0.05</v>
      </c>
      <c r="E980" s="24">
        <f t="shared" si="1821"/>
        <v>56.23343894</v>
      </c>
      <c r="F980" s="25">
        <v>0.02</v>
      </c>
      <c r="G980" s="24">
        <f t="shared" si="1822"/>
        <v>1798.147522</v>
      </c>
      <c r="H980" s="25">
        <v>0.05</v>
      </c>
      <c r="I980" s="24">
        <f t="shared" si="1823"/>
        <v>46.86119912</v>
      </c>
      <c r="J980" s="25">
        <v>0.02</v>
      </c>
      <c r="K980" s="25">
        <v>0.0</v>
      </c>
      <c r="L980" s="24" t="str">
        <f t="shared" ref="L980:M980" si="2052">IF(L979="", "", 1 + IFERROR(MINIFS(OFFSET(L980, -1, 0, -MIN(ROW()-2, $B980), 1), OFFSET(L980, -1, 0, -MIN(ROW()-2, $B980), 1), "&gt;0"), L979) + ROUND((L$2 * (LN(1 + $Z980) ^ U$2) * (U$3 / 100)), 0))</f>
        <v/>
      </c>
      <c r="M980" s="24">
        <f t="shared" si="2052"/>
        <v>56495</v>
      </c>
      <c r="N980" s="24" t="str">
        <f t="shared" ref="N980:O980" si="2053">IF(N979="", "", 1 + IFERROR(MINIFS(OFFSET(N980, -1, 0, -MIN(ROW()-2, $B980), 1), OFFSET(N980, -1, 0, -MIN(ROW()-2, $B980), 1), "&gt;0"), N979) + ROUND(IFERROR(MINIFS(OFFSET(N980, -1, 0, -MIN(ROW()-2, $B980), 1), OFFSET(N980, -1, 0, -MIN(ROW()-2, $B980), 1), "&gt;0"), N979) * ((LN(1 + $Z980) ^ W$2) * (W$3 / 1000)), 0))</f>
        <v/>
      </c>
      <c r="O980" s="24" t="str">
        <f t="shared" si="2053"/>
        <v/>
      </c>
      <c r="P980" s="24">
        <f t="shared" ref="P980:S980" si="2054">L980*$Y$2</f>
        <v>0</v>
      </c>
      <c r="Q980" s="24">
        <f t="shared" si="2054"/>
        <v>14123.75</v>
      </c>
      <c r="R980" s="24">
        <f t="shared" si="2054"/>
        <v>0</v>
      </c>
      <c r="S980" s="24">
        <f t="shared" si="2054"/>
        <v>0</v>
      </c>
      <c r="T980" s="24">
        <f t="shared" si="4"/>
        <v>9</v>
      </c>
      <c r="Z980" s="25">
        <f t="shared" si="12"/>
        <v>13.63346873</v>
      </c>
    </row>
    <row r="981">
      <c r="A981" s="16" t="s">
        <v>3</v>
      </c>
      <c r="B981" s="17">
        <v>80.0</v>
      </c>
      <c r="C981" s="24">
        <f t="shared" si="1820"/>
        <v>13216.38428</v>
      </c>
      <c r="D981" s="25">
        <v>0.05</v>
      </c>
      <c r="E981" s="24">
        <f t="shared" si="1821"/>
        <v>57.35810772</v>
      </c>
      <c r="F981" s="25">
        <v>0.02</v>
      </c>
      <c r="G981" s="24">
        <f t="shared" si="1822"/>
        <v>1888.054898</v>
      </c>
      <c r="H981" s="25">
        <v>0.05</v>
      </c>
      <c r="I981" s="24">
        <f t="shared" si="1823"/>
        <v>47.7984231</v>
      </c>
      <c r="J981" s="25">
        <v>0.02</v>
      </c>
      <c r="K981" s="25">
        <v>0.0</v>
      </c>
      <c r="L981" s="24" t="str">
        <f t="shared" ref="L981:M981" si="2055">IF(L980="", "", 1 + IFERROR(MINIFS(OFFSET(L981, -1, 0, -MIN(ROW()-2, $B981), 1), OFFSET(L981, -1, 0, -MIN(ROW()-2, $B981), 1), "&gt;0"), L980) + ROUND((L$2 * (LN(1 + $Z981) ^ U$2) * (U$3 / 100)), 0))</f>
        <v/>
      </c>
      <c r="M981" s="24">
        <f t="shared" si="2055"/>
        <v>56500</v>
      </c>
      <c r="N981" s="24" t="str">
        <f t="shared" ref="N981:O981" si="2056">IF(N980="", "", 1 + IFERROR(MINIFS(OFFSET(N981, -1, 0, -MIN(ROW()-2, $B981), 1), OFFSET(N981, -1, 0, -MIN(ROW()-2, $B981), 1), "&gt;0"), N980) + ROUND(IFERROR(MINIFS(OFFSET(N981, -1, 0, -MIN(ROW()-2, $B981), 1), OFFSET(N981, -1, 0, -MIN(ROW()-2, $B981), 1), "&gt;0"), N980) * ((LN(1 + $Z981) ^ W$2) * (W$3 / 1000)), 0))</f>
        <v/>
      </c>
      <c r="O981" s="24" t="str">
        <f t="shared" si="2056"/>
        <v/>
      </c>
      <c r="P981" s="24">
        <f t="shared" ref="P981:S981" si="2057">L981*$Y$2</f>
        <v>0</v>
      </c>
      <c r="Q981" s="24">
        <f t="shared" si="2057"/>
        <v>14125</v>
      </c>
      <c r="R981" s="24">
        <f t="shared" si="2057"/>
        <v>0</v>
      </c>
      <c r="S981" s="24">
        <f t="shared" si="2057"/>
        <v>0</v>
      </c>
      <c r="T981" s="24">
        <f t="shared" si="4"/>
        <v>9</v>
      </c>
      <c r="Z981" s="25">
        <f t="shared" si="12"/>
        <v>14.14564013</v>
      </c>
    </row>
    <row r="982">
      <c r="A982" s="16" t="s">
        <v>3</v>
      </c>
      <c r="B982" s="17">
        <v>81.0</v>
      </c>
      <c r="C982" s="24">
        <f t="shared" si="1820"/>
        <v>13877.2035</v>
      </c>
      <c r="D982" s="25">
        <v>0.05</v>
      </c>
      <c r="E982" s="24">
        <f t="shared" si="1821"/>
        <v>58.50526987</v>
      </c>
      <c r="F982" s="25">
        <v>0.02</v>
      </c>
      <c r="G982" s="24">
        <f t="shared" si="1822"/>
        <v>1982.457643</v>
      </c>
      <c r="H982" s="25">
        <v>0.05</v>
      </c>
      <c r="I982" s="24">
        <f t="shared" si="1823"/>
        <v>48.75439156</v>
      </c>
      <c r="J982" s="25">
        <v>0.02</v>
      </c>
      <c r="K982" s="25">
        <v>0.0</v>
      </c>
      <c r="L982" s="24" t="str">
        <f t="shared" ref="L982:M982" si="2058">IF(L981="", "", 1 + IFERROR(MINIFS(OFFSET(L982, -1, 0, -MIN(ROW()-2, $B982), 1), OFFSET(L982, -1, 0, -MIN(ROW()-2, $B982), 1), "&gt;0"), L981) + ROUND((L$2 * (LN(1 + $Z982) ^ U$2) * (U$3 / 100)), 0))</f>
        <v/>
      </c>
      <c r="M982" s="24">
        <f t="shared" si="2058"/>
        <v>56505</v>
      </c>
      <c r="N982" s="24" t="str">
        <f t="shared" ref="N982:O982" si="2059">IF(N981="", "", 1 + IFERROR(MINIFS(OFFSET(N982, -1, 0, -MIN(ROW()-2, $B982), 1), OFFSET(N982, -1, 0, -MIN(ROW()-2, $B982), 1), "&gt;0"), N981) + ROUND(IFERROR(MINIFS(OFFSET(N982, -1, 0, -MIN(ROW()-2, $B982), 1), OFFSET(N982, -1, 0, -MIN(ROW()-2, $B982), 1), "&gt;0"), N981) * ((LN(1 + $Z982) ^ W$2) * (W$3 / 1000)), 0))</f>
        <v/>
      </c>
      <c r="O982" s="24" t="str">
        <f t="shared" si="2059"/>
        <v/>
      </c>
      <c r="P982" s="24">
        <f t="shared" ref="P982:S982" si="2060">L982*$Y$2</f>
        <v>0</v>
      </c>
      <c r="Q982" s="24">
        <f t="shared" si="2060"/>
        <v>14126.25</v>
      </c>
      <c r="R982" s="24">
        <f t="shared" si="2060"/>
        <v>0</v>
      </c>
      <c r="S982" s="24">
        <f t="shared" si="2060"/>
        <v>0</v>
      </c>
      <c r="T982" s="24">
        <f t="shared" si="4"/>
        <v>9</v>
      </c>
      <c r="Z982" s="25">
        <f t="shared" si="12"/>
        <v>14.67573754</v>
      </c>
    </row>
    <row r="983">
      <c r="A983" s="16" t="s">
        <v>3</v>
      </c>
      <c r="B983" s="17">
        <v>82.0</v>
      </c>
      <c r="C983" s="24">
        <f t="shared" si="1820"/>
        <v>14571.06367</v>
      </c>
      <c r="D983" s="25">
        <v>0.05</v>
      </c>
      <c r="E983" s="24">
        <f t="shared" si="1821"/>
        <v>59.67537527</v>
      </c>
      <c r="F983" s="25">
        <v>0.02</v>
      </c>
      <c r="G983" s="24">
        <f t="shared" si="1822"/>
        <v>2081.580525</v>
      </c>
      <c r="H983" s="25">
        <v>0.05</v>
      </c>
      <c r="I983" s="24">
        <f t="shared" si="1823"/>
        <v>49.72947939</v>
      </c>
      <c r="J983" s="25">
        <v>0.02</v>
      </c>
      <c r="K983" s="25">
        <v>0.0</v>
      </c>
      <c r="L983" s="24" t="str">
        <f t="shared" ref="L983:M983" si="2061">IF(L982="", "", 1 + IFERROR(MINIFS(OFFSET(L983, -1, 0, -MIN(ROW()-2, $B983), 1), OFFSET(L983, -1, 0, -MIN(ROW()-2, $B983), 1), "&gt;0"), L982) + ROUND((L$2 * (LN(1 + $Z983) ^ U$2) * (U$3 / 100)), 0))</f>
        <v/>
      </c>
      <c r="M983" s="24">
        <f t="shared" si="2061"/>
        <v>56510</v>
      </c>
      <c r="N983" s="24" t="str">
        <f t="shared" ref="N983:O983" si="2062">IF(N982="", "", 1 + IFERROR(MINIFS(OFFSET(N983, -1, 0, -MIN(ROW()-2, $B983), 1), OFFSET(N983, -1, 0, -MIN(ROW()-2, $B983), 1), "&gt;0"), N982) + ROUND(IFERROR(MINIFS(OFFSET(N983, -1, 0, -MIN(ROW()-2, $B983), 1), OFFSET(N983, -1, 0, -MIN(ROW()-2, $B983), 1), "&gt;0"), N982) * ((LN(1 + $Z983) ^ W$2) * (W$3 / 1000)), 0))</f>
        <v/>
      </c>
      <c r="O983" s="24" t="str">
        <f t="shared" si="2062"/>
        <v/>
      </c>
      <c r="P983" s="24">
        <f t="shared" ref="P983:S983" si="2063">L983*$Y$2</f>
        <v>0</v>
      </c>
      <c r="Q983" s="24">
        <f t="shared" si="2063"/>
        <v>14127.5</v>
      </c>
      <c r="R983" s="24">
        <f t="shared" si="2063"/>
        <v>0</v>
      </c>
      <c r="S983" s="24">
        <f t="shared" si="2063"/>
        <v>0</v>
      </c>
      <c r="T983" s="24">
        <f t="shared" si="4"/>
        <v>9</v>
      </c>
      <c r="Z983" s="25">
        <f t="shared" si="12"/>
        <v>15.22438835</v>
      </c>
    </row>
    <row r="984">
      <c r="A984" s="16" t="s">
        <v>3</v>
      </c>
      <c r="B984" s="17">
        <v>83.0</v>
      </c>
      <c r="C984" s="24">
        <f t="shared" si="1820"/>
        <v>15299.61686</v>
      </c>
      <c r="D984" s="25">
        <v>0.05</v>
      </c>
      <c r="E984" s="24">
        <f t="shared" si="1821"/>
        <v>60.86888278</v>
      </c>
      <c r="F984" s="25">
        <v>0.02</v>
      </c>
      <c r="G984" s="24">
        <f t="shared" si="1822"/>
        <v>2185.659551</v>
      </c>
      <c r="H984" s="25">
        <v>0.05</v>
      </c>
      <c r="I984" s="24">
        <f t="shared" si="1823"/>
        <v>50.72406898</v>
      </c>
      <c r="J984" s="25">
        <v>0.02</v>
      </c>
      <c r="K984" s="25">
        <v>0.0</v>
      </c>
      <c r="L984" s="24" t="str">
        <f t="shared" ref="L984:M984" si="2064">IF(L983="", "", 1 + IFERROR(MINIFS(OFFSET(L984, -1, 0, -MIN(ROW()-2, $B984), 1), OFFSET(L984, -1, 0, -MIN(ROW()-2, $B984), 1), "&gt;0"), L983) + ROUND((L$2 * (LN(1 + $Z984) ^ U$2) * (U$3 / 100)), 0))</f>
        <v/>
      </c>
      <c r="M984" s="24">
        <f t="shared" si="2064"/>
        <v>56515</v>
      </c>
      <c r="N984" s="24" t="str">
        <f t="shared" ref="N984:O984" si="2065">IF(N983="", "", 1 + IFERROR(MINIFS(OFFSET(N984, -1, 0, -MIN(ROW()-2, $B984), 1), OFFSET(N984, -1, 0, -MIN(ROW()-2, $B984), 1), "&gt;0"), N983) + ROUND(IFERROR(MINIFS(OFFSET(N984, -1, 0, -MIN(ROW()-2, $B984), 1), OFFSET(N984, -1, 0, -MIN(ROW()-2, $B984), 1), "&gt;0"), N983) * ((LN(1 + $Z984) ^ W$2) * (W$3 / 1000)), 0))</f>
        <v/>
      </c>
      <c r="O984" s="24" t="str">
        <f t="shared" si="2065"/>
        <v/>
      </c>
      <c r="P984" s="24">
        <f t="shared" ref="P984:S984" si="2066">L984*$Y$2</f>
        <v>0</v>
      </c>
      <c r="Q984" s="24">
        <f t="shared" si="2066"/>
        <v>14128.75</v>
      </c>
      <c r="R984" s="24">
        <f t="shared" si="2066"/>
        <v>0</v>
      </c>
      <c r="S984" s="24">
        <f t="shared" si="2066"/>
        <v>0</v>
      </c>
      <c r="T984" s="24">
        <f t="shared" si="4"/>
        <v>9</v>
      </c>
      <c r="Z984" s="25">
        <f t="shared" si="12"/>
        <v>15.79224195</v>
      </c>
    </row>
    <row r="985">
      <c r="A985" s="16" t="s">
        <v>3</v>
      </c>
      <c r="B985" s="17">
        <v>84.0</v>
      </c>
      <c r="C985" s="24">
        <f t="shared" si="1820"/>
        <v>16064.5977</v>
      </c>
      <c r="D985" s="25">
        <v>0.05</v>
      </c>
      <c r="E985" s="24">
        <f t="shared" si="1821"/>
        <v>62.08626043</v>
      </c>
      <c r="F985" s="25">
        <v>0.02</v>
      </c>
      <c r="G985" s="24">
        <f t="shared" si="1822"/>
        <v>2294.942529</v>
      </c>
      <c r="H985" s="25">
        <v>0.05</v>
      </c>
      <c r="I985" s="24">
        <f t="shared" si="1823"/>
        <v>51.73855036</v>
      </c>
      <c r="J985" s="25">
        <v>0.02</v>
      </c>
      <c r="K985" s="25">
        <v>0.0</v>
      </c>
      <c r="L985" s="24" t="str">
        <f t="shared" ref="L985:M985" si="2067">IF(L984="", "", 1 + IFERROR(MINIFS(OFFSET(L985, -1, 0, -MIN(ROW()-2, $B985), 1), OFFSET(L985, -1, 0, -MIN(ROW()-2, $B985), 1), "&gt;0"), L984) + ROUND((L$2 * (LN(1 + $Z985) ^ U$2) * (U$3 / 100)), 0))</f>
        <v/>
      </c>
      <c r="M985" s="24">
        <f t="shared" si="2067"/>
        <v>56520</v>
      </c>
      <c r="N985" s="24" t="str">
        <f t="shared" ref="N985:O985" si="2068">IF(N984="", "", 1 + IFERROR(MINIFS(OFFSET(N985, -1, 0, -MIN(ROW()-2, $B985), 1), OFFSET(N985, -1, 0, -MIN(ROW()-2, $B985), 1), "&gt;0"), N984) + ROUND(IFERROR(MINIFS(OFFSET(N985, -1, 0, -MIN(ROW()-2, $B985), 1), OFFSET(N985, -1, 0, -MIN(ROW()-2, $B985), 1), "&gt;0"), N984) * ((LN(1 + $Z985) ^ W$2) * (W$3 / 1000)), 0))</f>
        <v/>
      </c>
      <c r="O985" s="24" t="str">
        <f t="shared" si="2068"/>
        <v/>
      </c>
      <c r="P985" s="24">
        <f t="shared" ref="P985:S985" si="2069">L985*$Y$2</f>
        <v>0</v>
      </c>
      <c r="Q985" s="24">
        <f t="shared" si="2069"/>
        <v>14130</v>
      </c>
      <c r="R985" s="24">
        <f t="shared" si="2069"/>
        <v>0</v>
      </c>
      <c r="S985" s="24">
        <f t="shared" si="2069"/>
        <v>0</v>
      </c>
      <c r="T985" s="24">
        <f t="shared" si="4"/>
        <v>9</v>
      </c>
      <c r="Z985" s="25">
        <f t="shared" si="12"/>
        <v>16.37997041</v>
      </c>
    </row>
    <row r="986">
      <c r="A986" s="16" t="s">
        <v>3</v>
      </c>
      <c r="B986" s="17">
        <v>85.0</v>
      </c>
      <c r="C986" s="24">
        <f t="shared" si="1820"/>
        <v>16867.82759</v>
      </c>
      <c r="D986" s="25">
        <v>0.05</v>
      </c>
      <c r="E986" s="24">
        <f t="shared" si="1821"/>
        <v>63.32798564</v>
      </c>
      <c r="F986" s="25">
        <v>0.02</v>
      </c>
      <c r="G986" s="24">
        <f t="shared" si="1822"/>
        <v>2409.689655</v>
      </c>
      <c r="H986" s="25">
        <v>0.05</v>
      </c>
      <c r="I986" s="24">
        <f t="shared" si="1823"/>
        <v>52.77332137</v>
      </c>
      <c r="J986" s="25">
        <v>0.02</v>
      </c>
      <c r="K986" s="25">
        <v>0.0</v>
      </c>
      <c r="L986" s="24" t="str">
        <f t="shared" ref="L986:M986" si="2070">IF(L985="", "", 1 + IFERROR(MINIFS(OFFSET(L986, -1, 0, -MIN(ROW()-2, $B986), 1), OFFSET(L986, -1, 0, -MIN(ROW()-2, $B986), 1), "&gt;0"), L985) + ROUND((L$2 * (LN(1 + $Z986) ^ U$2) * (U$3 / 100)), 0))</f>
        <v/>
      </c>
      <c r="M986" s="24">
        <f t="shared" si="2070"/>
        <v>56525</v>
      </c>
      <c r="N986" s="24" t="str">
        <f t="shared" ref="N986:O986" si="2071">IF(N985="", "", 1 + IFERROR(MINIFS(OFFSET(N986, -1, 0, -MIN(ROW()-2, $B986), 1), OFFSET(N986, -1, 0, -MIN(ROW()-2, $B986), 1), "&gt;0"), N985) + ROUND(IFERROR(MINIFS(OFFSET(N986, -1, 0, -MIN(ROW()-2, $B986), 1), OFFSET(N986, -1, 0, -MIN(ROW()-2, $B986), 1), "&gt;0"), N985) * ((LN(1 + $Z986) ^ W$2) * (W$3 / 1000)), 0))</f>
        <v/>
      </c>
      <c r="O986" s="24" t="str">
        <f t="shared" si="2071"/>
        <v/>
      </c>
      <c r="P986" s="24">
        <f t="shared" ref="P986:S986" si="2072">L986*$Y$2</f>
        <v>0</v>
      </c>
      <c r="Q986" s="24">
        <f t="shared" si="2072"/>
        <v>14131.25</v>
      </c>
      <c r="R986" s="24">
        <f t="shared" si="2072"/>
        <v>0</v>
      </c>
      <c r="S986" s="24">
        <f t="shared" si="2072"/>
        <v>0</v>
      </c>
      <c r="T986" s="24">
        <f t="shared" si="4"/>
        <v>10</v>
      </c>
      <c r="Z986" s="25">
        <f t="shared" si="12"/>
        <v>16.98826938</v>
      </c>
    </row>
    <row r="987">
      <c r="A987" s="16" t="s">
        <v>3</v>
      </c>
      <c r="B987" s="17">
        <v>86.0</v>
      </c>
      <c r="C987" s="24">
        <f t="shared" si="1820"/>
        <v>17711.21896</v>
      </c>
      <c r="D987" s="25">
        <v>0.05</v>
      </c>
      <c r="E987" s="24">
        <f t="shared" si="1821"/>
        <v>64.59454535</v>
      </c>
      <c r="F987" s="25">
        <v>0.02</v>
      </c>
      <c r="G987" s="24">
        <f t="shared" si="1822"/>
        <v>2530.174138</v>
      </c>
      <c r="H987" s="25">
        <v>0.05</v>
      </c>
      <c r="I987" s="24">
        <f t="shared" si="1823"/>
        <v>53.82878779</v>
      </c>
      <c r="J987" s="25">
        <v>0.02</v>
      </c>
      <c r="K987" s="25">
        <v>0.0</v>
      </c>
      <c r="L987" s="24" t="str">
        <f t="shared" ref="L987:M987" si="2073">IF(L986="", "", 1 + IFERROR(MINIFS(OFFSET(L987, -1, 0, -MIN(ROW()-2, $B987), 1), OFFSET(L987, -1, 0, -MIN(ROW()-2, $B987), 1), "&gt;0"), L986) + ROUND((L$2 * (LN(1 + $Z987) ^ U$2) * (U$3 / 100)), 0))</f>
        <v/>
      </c>
      <c r="M987" s="24">
        <f t="shared" si="2073"/>
        <v>56530</v>
      </c>
      <c r="N987" s="24" t="str">
        <f t="shared" ref="N987:O987" si="2074">IF(N986="", "", 1 + IFERROR(MINIFS(OFFSET(N987, -1, 0, -MIN(ROW()-2, $B987), 1), OFFSET(N987, -1, 0, -MIN(ROW()-2, $B987), 1), "&gt;0"), N986) + ROUND(IFERROR(MINIFS(OFFSET(N987, -1, 0, -MIN(ROW()-2, $B987), 1), OFFSET(N987, -1, 0, -MIN(ROW()-2, $B987), 1), "&gt;0"), N986) * ((LN(1 + $Z987) ^ W$2) * (W$3 / 1000)), 0))</f>
        <v/>
      </c>
      <c r="O987" s="24" t="str">
        <f t="shared" si="2074"/>
        <v/>
      </c>
      <c r="P987" s="24">
        <f t="shared" ref="P987:S987" si="2075">L987*$Y$2</f>
        <v>0</v>
      </c>
      <c r="Q987" s="24">
        <f t="shared" si="2075"/>
        <v>14132.5</v>
      </c>
      <c r="R987" s="24">
        <f t="shared" si="2075"/>
        <v>0</v>
      </c>
      <c r="S987" s="24">
        <f t="shared" si="2075"/>
        <v>0</v>
      </c>
      <c r="T987" s="24">
        <f t="shared" si="4"/>
        <v>10</v>
      </c>
      <c r="Z987" s="25">
        <f t="shared" si="12"/>
        <v>17.61785881</v>
      </c>
    </row>
    <row r="988">
      <c r="A988" s="16" t="s">
        <v>3</v>
      </c>
      <c r="B988" s="17">
        <v>87.0</v>
      </c>
      <c r="C988" s="24">
        <f t="shared" si="1820"/>
        <v>18596.77991</v>
      </c>
      <c r="D988" s="25">
        <v>0.05</v>
      </c>
      <c r="E988" s="24">
        <f t="shared" si="1821"/>
        <v>65.88643626</v>
      </c>
      <c r="F988" s="25">
        <v>0.02</v>
      </c>
      <c r="G988" s="24">
        <f t="shared" si="1822"/>
        <v>2656.682845</v>
      </c>
      <c r="H988" s="25">
        <v>0.05</v>
      </c>
      <c r="I988" s="24">
        <f t="shared" si="1823"/>
        <v>54.90536355</v>
      </c>
      <c r="J988" s="25">
        <v>0.02</v>
      </c>
      <c r="K988" s="25">
        <v>0.0</v>
      </c>
      <c r="L988" s="24" t="str">
        <f t="shared" ref="L988:M988" si="2076">IF(L987="", "", 1 + IFERROR(MINIFS(OFFSET(L988, -1, 0, -MIN(ROW()-2, $B988), 1), OFFSET(L988, -1, 0, -MIN(ROW()-2, $B988), 1), "&gt;0"), L987) + ROUND((L$2 * (LN(1 + $Z988) ^ U$2) * (U$3 / 100)), 0))</f>
        <v/>
      </c>
      <c r="M988" s="24">
        <f t="shared" si="2076"/>
        <v>56535</v>
      </c>
      <c r="N988" s="24" t="str">
        <f t="shared" ref="N988:O988" si="2077">IF(N987="", "", 1 + IFERROR(MINIFS(OFFSET(N988, -1, 0, -MIN(ROW()-2, $B988), 1), OFFSET(N988, -1, 0, -MIN(ROW()-2, $B988), 1), "&gt;0"), N987) + ROUND(IFERROR(MINIFS(OFFSET(N988, -1, 0, -MIN(ROW()-2, $B988), 1), OFFSET(N988, -1, 0, -MIN(ROW()-2, $B988), 1), "&gt;0"), N987) * ((LN(1 + $Z988) ^ W$2) * (W$3 / 1000)), 0))</f>
        <v/>
      </c>
      <c r="O988" s="24" t="str">
        <f t="shared" si="2077"/>
        <v/>
      </c>
      <c r="P988" s="24">
        <f t="shared" ref="P988:S988" si="2078">L988*$Y$2</f>
        <v>0</v>
      </c>
      <c r="Q988" s="24">
        <f t="shared" si="2078"/>
        <v>14133.75</v>
      </c>
      <c r="R988" s="24">
        <f t="shared" si="2078"/>
        <v>0</v>
      </c>
      <c r="S988" s="24">
        <f t="shared" si="2078"/>
        <v>0</v>
      </c>
      <c r="T988" s="24">
        <f t="shared" si="4"/>
        <v>10</v>
      </c>
      <c r="Z988" s="25">
        <f t="shared" si="12"/>
        <v>18.26948387</v>
      </c>
    </row>
    <row r="989">
      <c r="A989" s="16" t="s">
        <v>3</v>
      </c>
      <c r="B989" s="17">
        <v>88.0</v>
      </c>
      <c r="C989" s="24">
        <f t="shared" si="1820"/>
        <v>19526.61891</v>
      </c>
      <c r="D989" s="25">
        <v>0.05</v>
      </c>
      <c r="E989" s="24">
        <f t="shared" si="1821"/>
        <v>67.20416499</v>
      </c>
      <c r="F989" s="25">
        <v>0.02</v>
      </c>
      <c r="G989" s="24">
        <f t="shared" si="1822"/>
        <v>2789.516987</v>
      </c>
      <c r="H989" s="25">
        <v>0.05</v>
      </c>
      <c r="I989" s="24">
        <f t="shared" si="1823"/>
        <v>56.00347082</v>
      </c>
      <c r="J989" s="25">
        <v>0.02</v>
      </c>
      <c r="K989" s="25">
        <v>0.0</v>
      </c>
      <c r="L989" s="24" t="str">
        <f t="shared" ref="L989:M989" si="2079">IF(L988="", "", 1 + IFERROR(MINIFS(OFFSET(L989, -1, 0, -MIN(ROW()-2, $B989), 1), OFFSET(L989, -1, 0, -MIN(ROW()-2, $B989), 1), "&gt;0"), L988) + ROUND((L$2 * (LN(1 + $Z989) ^ U$2) * (U$3 / 100)), 0))</f>
        <v/>
      </c>
      <c r="M989" s="24">
        <f t="shared" si="2079"/>
        <v>56540</v>
      </c>
      <c r="N989" s="24" t="str">
        <f t="shared" ref="N989:O989" si="2080">IF(N988="", "", 1 + IFERROR(MINIFS(OFFSET(N989, -1, 0, -MIN(ROW()-2, $B989), 1), OFFSET(N989, -1, 0, -MIN(ROW()-2, $B989), 1), "&gt;0"), N988) + ROUND(IFERROR(MINIFS(OFFSET(N989, -1, 0, -MIN(ROW()-2, $B989), 1), OFFSET(N989, -1, 0, -MIN(ROW()-2, $B989), 1), "&gt;0"), N988) * ((LN(1 + $Z989) ^ W$2) * (W$3 / 1000)), 0))</f>
        <v/>
      </c>
      <c r="O989" s="24" t="str">
        <f t="shared" si="2080"/>
        <v/>
      </c>
      <c r="P989" s="24">
        <f t="shared" ref="P989:S989" si="2081">L989*$Y$2</f>
        <v>0</v>
      </c>
      <c r="Q989" s="24">
        <f t="shared" si="2081"/>
        <v>14135</v>
      </c>
      <c r="R989" s="24">
        <f t="shared" si="2081"/>
        <v>0</v>
      </c>
      <c r="S989" s="24">
        <f t="shared" si="2081"/>
        <v>0</v>
      </c>
      <c r="T989" s="24">
        <f t="shared" si="4"/>
        <v>10</v>
      </c>
      <c r="Z989" s="25">
        <f t="shared" si="12"/>
        <v>18.9439158</v>
      </c>
    </row>
    <row r="990">
      <c r="A990" s="16" t="s">
        <v>3</v>
      </c>
      <c r="B990" s="17">
        <v>89.0</v>
      </c>
      <c r="C990" s="24">
        <f t="shared" si="1820"/>
        <v>20502.94985</v>
      </c>
      <c r="D990" s="25">
        <v>0.05</v>
      </c>
      <c r="E990" s="24">
        <f t="shared" si="1821"/>
        <v>68.54824828</v>
      </c>
      <c r="F990" s="25">
        <v>0.02</v>
      </c>
      <c r="G990" s="24">
        <f t="shared" si="1822"/>
        <v>2928.992836</v>
      </c>
      <c r="H990" s="25">
        <v>0.05</v>
      </c>
      <c r="I990" s="24">
        <f t="shared" si="1823"/>
        <v>57.12354024</v>
      </c>
      <c r="J990" s="25">
        <v>0.02</v>
      </c>
      <c r="K990" s="25">
        <v>0.0</v>
      </c>
      <c r="L990" s="24" t="str">
        <f t="shared" ref="L990:M990" si="2082">IF(L989="", "", 1 + IFERROR(MINIFS(OFFSET(L990, -1, 0, -MIN(ROW()-2, $B990), 1), OFFSET(L990, -1, 0, -MIN(ROW()-2, $B990), 1), "&gt;0"), L989) + ROUND((L$2 * (LN(1 + $Z990) ^ U$2) * (U$3 / 100)), 0))</f>
        <v/>
      </c>
      <c r="M990" s="24">
        <f t="shared" si="2082"/>
        <v>56545</v>
      </c>
      <c r="N990" s="24" t="str">
        <f t="shared" ref="N990:O990" si="2083">IF(N989="", "", 1 + IFERROR(MINIFS(OFFSET(N990, -1, 0, -MIN(ROW()-2, $B990), 1), OFFSET(N990, -1, 0, -MIN(ROW()-2, $B990), 1), "&gt;0"), N989) + ROUND(IFERROR(MINIFS(OFFSET(N990, -1, 0, -MIN(ROW()-2, $B990), 1), OFFSET(N990, -1, 0, -MIN(ROW()-2, $B990), 1), "&gt;0"), N989) * ((LN(1 + $Z990) ^ W$2) * (W$3 / 1000)), 0))</f>
        <v/>
      </c>
      <c r="O990" s="24" t="str">
        <f t="shared" si="2083"/>
        <v/>
      </c>
      <c r="P990" s="24">
        <f t="shared" ref="P990:S990" si="2084">L990*$Y$2</f>
        <v>0</v>
      </c>
      <c r="Q990" s="24">
        <f t="shared" si="2084"/>
        <v>14136.25</v>
      </c>
      <c r="R990" s="24">
        <f t="shared" si="2084"/>
        <v>0</v>
      </c>
      <c r="S990" s="24">
        <f t="shared" si="2084"/>
        <v>0</v>
      </c>
      <c r="T990" s="24">
        <f t="shared" si="4"/>
        <v>10</v>
      </c>
      <c r="Z990" s="25">
        <f t="shared" si="12"/>
        <v>19.64195285</v>
      </c>
    </row>
    <row r="991">
      <c r="A991" s="16" t="s">
        <v>3</v>
      </c>
      <c r="B991" s="17">
        <v>90.0</v>
      </c>
      <c r="C991" s="24">
        <f t="shared" si="1820"/>
        <v>21528.09735</v>
      </c>
      <c r="D991" s="25">
        <v>0.05</v>
      </c>
      <c r="E991" s="24">
        <f t="shared" si="1821"/>
        <v>69.91921325</v>
      </c>
      <c r="F991" s="25">
        <v>0.02</v>
      </c>
      <c r="G991" s="24">
        <f t="shared" si="1822"/>
        <v>3075.442478</v>
      </c>
      <c r="H991" s="25">
        <v>0.05</v>
      </c>
      <c r="I991" s="24">
        <f t="shared" si="1823"/>
        <v>58.26601104</v>
      </c>
      <c r="J991" s="25">
        <v>0.02</v>
      </c>
      <c r="K991" s="25">
        <v>0.0</v>
      </c>
      <c r="L991" s="24" t="str">
        <f t="shared" ref="L991:M991" si="2085">IF(L990="", "", 1 + IFERROR(MINIFS(OFFSET(L991, -1, 0, -MIN(ROW()-2, $B991), 1), OFFSET(L991, -1, 0, -MIN(ROW()-2, $B991), 1), "&gt;0"), L990) + ROUND((L$2 * (LN(1 + $Z991) ^ U$2) * (U$3 / 100)), 0))</f>
        <v/>
      </c>
      <c r="M991" s="24">
        <f t="shared" si="2085"/>
        <v>56550</v>
      </c>
      <c r="N991" s="24" t="str">
        <f t="shared" ref="N991:O991" si="2086">IF(N990="", "", 1 + IFERROR(MINIFS(OFFSET(N991, -1, 0, -MIN(ROW()-2, $B991), 1), OFFSET(N991, -1, 0, -MIN(ROW()-2, $B991), 1), "&gt;0"), N990) + ROUND(IFERROR(MINIFS(OFFSET(N991, -1, 0, -MIN(ROW()-2, $B991), 1), OFFSET(N991, -1, 0, -MIN(ROW()-2, $B991), 1), "&gt;0"), N990) * ((LN(1 + $Z991) ^ W$2) * (W$3 / 1000)), 0))</f>
        <v/>
      </c>
      <c r="O991" s="24" t="str">
        <f t="shared" si="2086"/>
        <v/>
      </c>
      <c r="P991" s="24">
        <f t="shared" ref="P991:S991" si="2087">L991*$Y$2</f>
        <v>0</v>
      </c>
      <c r="Q991" s="24">
        <f t="shared" si="2087"/>
        <v>14137.5</v>
      </c>
      <c r="R991" s="24">
        <f t="shared" si="2087"/>
        <v>0</v>
      </c>
      <c r="S991" s="24">
        <f t="shared" si="2087"/>
        <v>0</v>
      </c>
      <c r="T991" s="24">
        <f t="shared" si="4"/>
        <v>10</v>
      </c>
      <c r="Z991" s="25">
        <f t="shared" si="12"/>
        <v>20.3644212</v>
      </c>
    </row>
    <row r="992">
      <c r="A992" s="16" t="s">
        <v>3</v>
      </c>
      <c r="B992" s="17">
        <v>91.0</v>
      </c>
      <c r="C992" s="24">
        <f t="shared" si="1820"/>
        <v>22604.50221</v>
      </c>
      <c r="D992" s="25">
        <v>0.05</v>
      </c>
      <c r="E992" s="24">
        <f t="shared" si="1821"/>
        <v>71.31759752</v>
      </c>
      <c r="F992" s="25">
        <v>0.02</v>
      </c>
      <c r="G992" s="24">
        <f t="shared" si="1822"/>
        <v>3229.214602</v>
      </c>
      <c r="H992" s="25">
        <v>0.05</v>
      </c>
      <c r="I992" s="24">
        <f t="shared" si="1823"/>
        <v>59.43133126</v>
      </c>
      <c r="J992" s="25">
        <v>0.02</v>
      </c>
      <c r="K992" s="25">
        <v>0.0</v>
      </c>
      <c r="L992" s="24" t="str">
        <f t="shared" ref="L992:M992" si="2088">IF(L991="", "", 1 + IFERROR(MINIFS(OFFSET(L992, -1, 0, -MIN(ROW()-2, $B992), 1), OFFSET(L992, -1, 0, -MIN(ROW()-2, $B992), 1), "&gt;0"), L991) + ROUND((L$2 * (LN(1 + $Z992) ^ U$2) * (U$3 / 100)), 0))</f>
        <v/>
      </c>
      <c r="M992" s="24">
        <f t="shared" si="2088"/>
        <v>56555</v>
      </c>
      <c r="N992" s="24" t="str">
        <f t="shared" ref="N992:O992" si="2089">IF(N991="", "", 1 + IFERROR(MINIFS(OFFSET(N992, -1, 0, -MIN(ROW()-2, $B992), 1), OFFSET(N992, -1, 0, -MIN(ROW()-2, $B992), 1), "&gt;0"), N991) + ROUND(IFERROR(MINIFS(OFFSET(N992, -1, 0, -MIN(ROW()-2, $B992), 1), OFFSET(N992, -1, 0, -MIN(ROW()-2, $B992), 1), "&gt;0"), N991) * ((LN(1 + $Z992) ^ W$2) * (W$3 / 1000)), 0))</f>
        <v/>
      </c>
      <c r="O992" s="24" t="str">
        <f t="shared" si="2089"/>
        <v/>
      </c>
      <c r="P992" s="24">
        <f t="shared" ref="P992:S992" si="2090">L992*$Y$2</f>
        <v>0</v>
      </c>
      <c r="Q992" s="24">
        <f t="shared" si="2090"/>
        <v>14138.75</v>
      </c>
      <c r="R992" s="24">
        <f t="shared" si="2090"/>
        <v>0</v>
      </c>
      <c r="S992" s="24">
        <f t="shared" si="2090"/>
        <v>0</v>
      </c>
      <c r="T992" s="24">
        <f t="shared" si="4"/>
        <v>10</v>
      </c>
      <c r="Z992" s="25">
        <f t="shared" si="12"/>
        <v>21.11217595</v>
      </c>
    </row>
    <row r="993">
      <c r="A993" s="16" t="s">
        <v>3</v>
      </c>
      <c r="B993" s="17">
        <v>92.0</v>
      </c>
      <c r="C993" s="24">
        <f t="shared" si="1820"/>
        <v>23734.72732</v>
      </c>
      <c r="D993" s="25">
        <v>0.05</v>
      </c>
      <c r="E993" s="24">
        <f t="shared" si="1821"/>
        <v>72.74394947</v>
      </c>
      <c r="F993" s="25">
        <v>0.02</v>
      </c>
      <c r="G993" s="24">
        <f t="shared" si="1822"/>
        <v>3390.675332</v>
      </c>
      <c r="H993" s="25">
        <v>0.05</v>
      </c>
      <c r="I993" s="24">
        <f t="shared" si="1823"/>
        <v>60.61995789</v>
      </c>
      <c r="J993" s="25">
        <v>0.02</v>
      </c>
      <c r="K993" s="25">
        <v>0.0</v>
      </c>
      <c r="L993" s="24" t="str">
        <f t="shared" ref="L993:M993" si="2091">IF(L992="", "", 1 + IFERROR(MINIFS(OFFSET(L993, -1, 0, -MIN(ROW()-2, $B993), 1), OFFSET(L993, -1, 0, -MIN(ROW()-2, $B993), 1), "&gt;0"), L992) + ROUND((L$2 * (LN(1 + $Z993) ^ U$2) * (U$3 / 100)), 0))</f>
        <v/>
      </c>
      <c r="M993" s="24">
        <f t="shared" si="2091"/>
        <v>56560</v>
      </c>
      <c r="N993" s="24" t="str">
        <f t="shared" ref="N993:O993" si="2092">IF(N992="", "", 1 + IFERROR(MINIFS(OFFSET(N993, -1, 0, -MIN(ROW()-2, $B993), 1), OFFSET(N993, -1, 0, -MIN(ROW()-2, $B993), 1), "&gt;0"), N992) + ROUND(IFERROR(MINIFS(OFFSET(N993, -1, 0, -MIN(ROW()-2, $B993), 1), OFFSET(N993, -1, 0, -MIN(ROW()-2, $B993), 1), "&gt;0"), N992) * ((LN(1 + $Z993) ^ W$2) * (W$3 / 1000)), 0))</f>
        <v/>
      </c>
      <c r="O993" s="24" t="str">
        <f t="shared" si="2092"/>
        <v/>
      </c>
      <c r="P993" s="24">
        <f t="shared" ref="P993:S993" si="2093">L993*$Y$2</f>
        <v>0</v>
      </c>
      <c r="Q993" s="24">
        <f t="shared" si="2093"/>
        <v>14140</v>
      </c>
      <c r="R993" s="24">
        <f t="shared" si="2093"/>
        <v>0</v>
      </c>
      <c r="S993" s="24">
        <f t="shared" si="2093"/>
        <v>0</v>
      </c>
      <c r="T993" s="24">
        <f t="shared" si="4"/>
        <v>10</v>
      </c>
      <c r="Z993" s="25">
        <f t="shared" si="12"/>
        <v>21.8861021</v>
      </c>
    </row>
    <row r="994">
      <c r="A994" s="16" t="s">
        <v>3</v>
      </c>
      <c r="B994" s="17">
        <v>93.0</v>
      </c>
      <c r="C994" s="24">
        <f t="shared" si="1820"/>
        <v>24921.46369</v>
      </c>
      <c r="D994" s="25">
        <v>0.05</v>
      </c>
      <c r="E994" s="24">
        <f t="shared" si="1821"/>
        <v>74.19882846</v>
      </c>
      <c r="F994" s="25">
        <v>0.02</v>
      </c>
      <c r="G994" s="24">
        <f t="shared" si="1822"/>
        <v>3560.209099</v>
      </c>
      <c r="H994" s="25">
        <v>0.05</v>
      </c>
      <c r="I994" s="24">
        <f t="shared" si="1823"/>
        <v>61.83235705</v>
      </c>
      <c r="J994" s="25">
        <v>0.02</v>
      </c>
      <c r="K994" s="25">
        <v>0.0</v>
      </c>
      <c r="L994" s="24" t="str">
        <f t="shared" ref="L994:M994" si="2094">IF(L993="", "", 1 + IFERROR(MINIFS(OFFSET(L994, -1, 0, -MIN(ROW()-2, $B994), 1), OFFSET(L994, -1, 0, -MIN(ROW()-2, $B994), 1), "&gt;0"), L993) + ROUND((L$2 * (LN(1 + $Z994) ^ U$2) * (U$3 / 100)), 0))</f>
        <v/>
      </c>
      <c r="M994" s="24">
        <f t="shared" si="2094"/>
        <v>56565</v>
      </c>
      <c r="N994" s="24" t="str">
        <f t="shared" ref="N994:O994" si="2095">IF(N993="", "", 1 + IFERROR(MINIFS(OFFSET(N994, -1, 0, -MIN(ROW()-2, $B994), 1), OFFSET(N994, -1, 0, -MIN(ROW()-2, $B994), 1), "&gt;0"), N993) + ROUND(IFERROR(MINIFS(OFFSET(N994, -1, 0, -MIN(ROW()-2, $B994), 1), OFFSET(N994, -1, 0, -MIN(ROW()-2, $B994), 1), "&gt;0"), N993) * ((LN(1 + $Z994) ^ W$2) * (W$3 / 1000)), 0))</f>
        <v/>
      </c>
      <c r="O994" s="24" t="str">
        <f t="shared" si="2095"/>
        <v/>
      </c>
      <c r="P994" s="24">
        <f t="shared" ref="P994:S994" si="2096">L994*$Y$2</f>
        <v>0</v>
      </c>
      <c r="Q994" s="24">
        <f t="shared" si="2096"/>
        <v>14141.25</v>
      </c>
      <c r="R994" s="24">
        <f t="shared" si="2096"/>
        <v>0</v>
      </c>
      <c r="S994" s="24">
        <f t="shared" si="2096"/>
        <v>0</v>
      </c>
      <c r="T994" s="24">
        <f t="shared" si="4"/>
        <v>10</v>
      </c>
      <c r="Z994" s="25">
        <f t="shared" si="12"/>
        <v>22.68711568</v>
      </c>
    </row>
    <row r="995">
      <c r="A995" s="16" t="s">
        <v>3</v>
      </c>
      <c r="B995" s="17">
        <v>94.0</v>
      </c>
      <c r="C995" s="24">
        <f t="shared" si="1820"/>
        <v>26167.53688</v>
      </c>
      <c r="D995" s="25">
        <v>0.05</v>
      </c>
      <c r="E995" s="24">
        <f t="shared" si="1821"/>
        <v>75.68280502</v>
      </c>
      <c r="F995" s="25">
        <v>0.02</v>
      </c>
      <c r="G995" s="24">
        <f t="shared" si="1822"/>
        <v>3738.219554</v>
      </c>
      <c r="H995" s="25">
        <v>0.05</v>
      </c>
      <c r="I995" s="24">
        <f t="shared" si="1823"/>
        <v>63.06900419</v>
      </c>
      <c r="J995" s="25">
        <v>0.02</v>
      </c>
      <c r="K995" s="25">
        <v>0.0</v>
      </c>
      <c r="L995" s="24" t="str">
        <f t="shared" ref="L995:M995" si="2097">IF(L994="", "", 1 + IFERROR(MINIFS(OFFSET(L995, -1, 0, -MIN(ROW()-2, $B995), 1), OFFSET(L995, -1, 0, -MIN(ROW()-2, $B995), 1), "&gt;0"), L994) + ROUND((L$2 * (LN(1 + $Z995) ^ U$2) * (U$3 / 100)), 0))</f>
        <v/>
      </c>
      <c r="M995" s="24">
        <f t="shared" si="2097"/>
        <v>56571</v>
      </c>
      <c r="N995" s="24" t="str">
        <f t="shared" ref="N995:O995" si="2098">IF(N994="", "", 1 + IFERROR(MINIFS(OFFSET(N995, -1, 0, -MIN(ROW()-2, $B995), 1), OFFSET(N995, -1, 0, -MIN(ROW()-2, $B995), 1), "&gt;0"), N994) + ROUND(IFERROR(MINIFS(OFFSET(N995, -1, 0, -MIN(ROW()-2, $B995), 1), OFFSET(N995, -1, 0, -MIN(ROW()-2, $B995), 1), "&gt;0"), N994) * ((LN(1 + $Z995) ^ W$2) * (W$3 / 1000)), 0))</f>
        <v/>
      </c>
      <c r="O995" s="24" t="str">
        <f t="shared" si="2098"/>
        <v/>
      </c>
      <c r="P995" s="24">
        <f t="shared" ref="P995:S995" si="2099">L995*$Y$2</f>
        <v>0</v>
      </c>
      <c r="Q995" s="24">
        <f t="shared" si="2099"/>
        <v>14142.75</v>
      </c>
      <c r="R995" s="24">
        <f t="shared" si="2099"/>
        <v>0</v>
      </c>
      <c r="S995" s="24">
        <f t="shared" si="2099"/>
        <v>0</v>
      </c>
      <c r="T995" s="24">
        <f t="shared" si="4"/>
        <v>10</v>
      </c>
      <c r="Z995" s="25">
        <f t="shared" si="12"/>
        <v>23.51616473</v>
      </c>
    </row>
    <row r="996">
      <c r="A996" s="16" t="s">
        <v>3</v>
      </c>
      <c r="B996" s="17">
        <v>95.0</v>
      </c>
      <c r="C996" s="24">
        <f t="shared" si="1820"/>
        <v>27475.91372</v>
      </c>
      <c r="D996" s="25">
        <v>0.05</v>
      </c>
      <c r="E996" s="24">
        <f t="shared" si="1821"/>
        <v>77.19646112</v>
      </c>
      <c r="F996" s="25">
        <v>0.02</v>
      </c>
      <c r="G996" s="24">
        <f t="shared" si="1822"/>
        <v>3925.130531</v>
      </c>
      <c r="H996" s="25">
        <v>0.05</v>
      </c>
      <c r="I996" s="24">
        <f t="shared" si="1823"/>
        <v>64.33038427</v>
      </c>
      <c r="J996" s="25">
        <v>0.02</v>
      </c>
      <c r="K996" s="25">
        <v>0.0</v>
      </c>
      <c r="L996" s="24" t="str">
        <f t="shared" ref="L996:M996" si="2100">IF(L995="", "", 1 + IFERROR(MINIFS(OFFSET(L996, -1, 0, -MIN(ROW()-2, $B996), 1), OFFSET(L996, -1, 0, -MIN(ROW()-2, $B996), 1), "&gt;0"), L995) + ROUND((L$2 * (LN(1 + $Z996) ^ U$2) * (U$3 / 100)), 0))</f>
        <v/>
      </c>
      <c r="M996" s="24">
        <f t="shared" si="2100"/>
        <v>56577</v>
      </c>
      <c r="N996" s="24" t="str">
        <f t="shared" ref="N996:O996" si="2101">IF(N995="", "", 1 + IFERROR(MINIFS(OFFSET(N996, -1, 0, -MIN(ROW()-2, $B996), 1), OFFSET(N996, -1, 0, -MIN(ROW()-2, $B996), 1), "&gt;0"), N995) + ROUND(IFERROR(MINIFS(OFFSET(N996, -1, 0, -MIN(ROW()-2, $B996), 1), OFFSET(N996, -1, 0, -MIN(ROW()-2, $B996), 1), "&gt;0"), N995) * ((LN(1 + $Z996) ^ W$2) * (W$3 / 1000)), 0))</f>
        <v/>
      </c>
      <c r="O996" s="24" t="str">
        <f t="shared" si="2101"/>
        <v/>
      </c>
      <c r="P996" s="24">
        <f t="shared" ref="P996:S996" si="2102">L996*$Y$2</f>
        <v>0</v>
      </c>
      <c r="Q996" s="24">
        <f t="shared" si="2102"/>
        <v>14144.25</v>
      </c>
      <c r="R996" s="24">
        <f t="shared" si="2102"/>
        <v>0</v>
      </c>
      <c r="S996" s="24">
        <f t="shared" si="2102"/>
        <v>0</v>
      </c>
      <c r="T996" s="24">
        <f t="shared" si="4"/>
        <v>11</v>
      </c>
      <c r="Z996" s="25">
        <f t="shared" si="12"/>
        <v>24.37423049</v>
      </c>
    </row>
    <row r="997">
      <c r="A997" s="16" t="s">
        <v>3</v>
      </c>
      <c r="B997" s="17">
        <v>96.0</v>
      </c>
      <c r="C997" s="24">
        <f t="shared" si="1820"/>
        <v>28849.7094</v>
      </c>
      <c r="D997" s="25">
        <v>0.05</v>
      </c>
      <c r="E997" s="24">
        <f t="shared" si="1821"/>
        <v>78.74039035</v>
      </c>
      <c r="F997" s="25">
        <v>0.02</v>
      </c>
      <c r="G997" s="24">
        <f t="shared" si="1822"/>
        <v>4121.387058</v>
      </c>
      <c r="H997" s="25">
        <v>0.05</v>
      </c>
      <c r="I997" s="24">
        <f t="shared" si="1823"/>
        <v>65.61699196</v>
      </c>
      <c r="J997" s="25">
        <v>0.02</v>
      </c>
      <c r="K997" s="25">
        <v>0.0</v>
      </c>
      <c r="L997" s="24" t="str">
        <f t="shared" ref="L997:M997" si="2103">IF(L996="", "", 1 + IFERROR(MINIFS(OFFSET(L997, -1, 0, -MIN(ROW()-2, $B997), 1), OFFSET(L997, -1, 0, -MIN(ROW()-2, $B997), 1), "&gt;0"), L996) + ROUND((L$2 * (LN(1 + $Z997) ^ U$2) * (U$3 / 100)), 0))</f>
        <v/>
      </c>
      <c r="M997" s="24">
        <f t="shared" si="2103"/>
        <v>56583</v>
      </c>
      <c r="N997" s="24" t="str">
        <f t="shared" ref="N997:O997" si="2104">IF(N996="", "", 1 + IFERROR(MINIFS(OFFSET(N997, -1, 0, -MIN(ROW()-2, $B997), 1), OFFSET(N997, -1, 0, -MIN(ROW()-2, $B997), 1), "&gt;0"), N996) + ROUND(IFERROR(MINIFS(OFFSET(N997, -1, 0, -MIN(ROW()-2, $B997), 1), OFFSET(N997, -1, 0, -MIN(ROW()-2, $B997), 1), "&gt;0"), N996) * ((LN(1 + $Z997) ^ W$2) * (W$3 / 1000)), 0))</f>
        <v/>
      </c>
      <c r="O997" s="24" t="str">
        <f t="shared" si="2104"/>
        <v/>
      </c>
      <c r="P997" s="24">
        <f t="shared" ref="P997:S997" si="2105">L997*$Y$2</f>
        <v>0</v>
      </c>
      <c r="Q997" s="24">
        <f t="shared" si="2105"/>
        <v>14145.75</v>
      </c>
      <c r="R997" s="24">
        <f t="shared" si="2105"/>
        <v>0</v>
      </c>
      <c r="S997" s="24">
        <f t="shared" si="2105"/>
        <v>0</v>
      </c>
      <c r="T997" s="24">
        <f t="shared" si="4"/>
        <v>11</v>
      </c>
      <c r="Z997" s="25">
        <f t="shared" si="12"/>
        <v>25.26232856</v>
      </c>
    </row>
    <row r="998">
      <c r="A998" s="16" t="s">
        <v>3</v>
      </c>
      <c r="B998" s="17">
        <v>97.0</v>
      </c>
      <c r="C998" s="24">
        <f t="shared" si="1820"/>
        <v>30292.19488</v>
      </c>
      <c r="D998" s="25">
        <v>0.05</v>
      </c>
      <c r="E998" s="24">
        <f t="shared" si="1821"/>
        <v>80.31519815</v>
      </c>
      <c r="F998" s="25">
        <v>0.02</v>
      </c>
      <c r="G998" s="24">
        <f t="shared" si="1822"/>
        <v>4327.456411</v>
      </c>
      <c r="H998" s="25">
        <v>0.05</v>
      </c>
      <c r="I998" s="24">
        <f t="shared" si="1823"/>
        <v>66.9293318</v>
      </c>
      <c r="J998" s="25">
        <v>0.02</v>
      </c>
      <c r="K998" s="25">
        <v>0.0</v>
      </c>
      <c r="L998" s="24" t="str">
        <f t="shared" ref="L998:M998" si="2106">IF(L997="", "", 1 + IFERROR(MINIFS(OFFSET(L998, -1, 0, -MIN(ROW()-2, $B998), 1), OFFSET(L998, -1, 0, -MIN(ROW()-2, $B998), 1), "&gt;0"), L997) + ROUND((L$2 * (LN(1 + $Z998) ^ U$2) * (U$3 / 100)), 0))</f>
        <v/>
      </c>
      <c r="M998" s="24">
        <f t="shared" si="2106"/>
        <v>56589</v>
      </c>
      <c r="N998" s="24" t="str">
        <f t="shared" ref="N998:O998" si="2107">IF(N997="", "", 1 + IFERROR(MINIFS(OFFSET(N998, -1, 0, -MIN(ROW()-2, $B998), 1), OFFSET(N998, -1, 0, -MIN(ROW()-2, $B998), 1), "&gt;0"), N997) + ROUND(IFERROR(MINIFS(OFFSET(N998, -1, 0, -MIN(ROW()-2, $B998), 1), OFFSET(N998, -1, 0, -MIN(ROW()-2, $B998), 1), "&gt;0"), N997) * ((LN(1 + $Z998) ^ W$2) * (W$3 / 1000)), 0))</f>
        <v/>
      </c>
      <c r="O998" s="24" t="str">
        <f t="shared" si="2107"/>
        <v/>
      </c>
      <c r="P998" s="24">
        <f t="shared" ref="P998:S998" si="2108">L998*$Y$2</f>
        <v>0</v>
      </c>
      <c r="Q998" s="24">
        <f t="shared" si="2108"/>
        <v>14147.25</v>
      </c>
      <c r="R998" s="24">
        <f t="shared" si="2108"/>
        <v>0</v>
      </c>
      <c r="S998" s="24">
        <f t="shared" si="2108"/>
        <v>0</v>
      </c>
      <c r="T998" s="24">
        <f t="shared" si="4"/>
        <v>11</v>
      </c>
      <c r="Z998" s="25">
        <f t="shared" si="12"/>
        <v>26.18151006</v>
      </c>
    </row>
    <row r="999">
      <c r="A999" s="16" t="s">
        <v>3</v>
      </c>
      <c r="B999" s="17">
        <v>98.0</v>
      </c>
      <c r="C999" s="24">
        <f t="shared" si="1820"/>
        <v>31806.80462</v>
      </c>
      <c r="D999" s="25">
        <v>0.05</v>
      </c>
      <c r="E999" s="24">
        <f t="shared" si="1821"/>
        <v>81.92150212</v>
      </c>
      <c r="F999" s="25">
        <v>0.02</v>
      </c>
      <c r="G999" s="24">
        <f t="shared" si="1822"/>
        <v>4543.829231</v>
      </c>
      <c r="H999" s="25">
        <v>0.05</v>
      </c>
      <c r="I999" s="24">
        <f t="shared" si="1823"/>
        <v>68.26791843</v>
      </c>
      <c r="J999" s="25">
        <v>0.02</v>
      </c>
      <c r="K999" s="25">
        <v>0.0</v>
      </c>
      <c r="L999" s="24" t="str">
        <f t="shared" ref="L999:M999" si="2109">IF(L998="", "", 1 + IFERROR(MINIFS(OFFSET(L999, -1, 0, -MIN(ROW()-2, $B999), 1), OFFSET(L999, -1, 0, -MIN(ROW()-2, $B999), 1), "&gt;0"), L998) + ROUND((L$2 * (LN(1 + $Z999) ^ U$2) * (U$3 / 100)), 0))</f>
        <v/>
      </c>
      <c r="M999" s="24">
        <f t="shared" si="2109"/>
        <v>56595</v>
      </c>
      <c r="N999" s="24" t="str">
        <f t="shared" ref="N999:O999" si="2110">IF(N998="", "", 1 + IFERROR(MINIFS(OFFSET(N999, -1, 0, -MIN(ROW()-2, $B999), 1), OFFSET(N999, -1, 0, -MIN(ROW()-2, $B999), 1), "&gt;0"), N998) + ROUND(IFERROR(MINIFS(OFFSET(N999, -1, 0, -MIN(ROW()-2, $B999), 1), OFFSET(N999, -1, 0, -MIN(ROW()-2, $B999), 1), "&gt;0"), N998) * ((LN(1 + $Z999) ^ W$2) * (W$3 / 1000)), 0))</f>
        <v/>
      </c>
      <c r="O999" s="24" t="str">
        <f t="shared" si="2110"/>
        <v/>
      </c>
      <c r="P999" s="24">
        <f t="shared" ref="P999:S999" si="2111">L999*$Y$2</f>
        <v>0</v>
      </c>
      <c r="Q999" s="24">
        <f t="shared" si="2111"/>
        <v>14148.75</v>
      </c>
      <c r="R999" s="24">
        <f t="shared" si="2111"/>
        <v>0</v>
      </c>
      <c r="S999" s="24">
        <f t="shared" si="2111"/>
        <v>0</v>
      </c>
      <c r="T999" s="24">
        <f t="shared" si="4"/>
        <v>11</v>
      </c>
      <c r="Z999" s="25">
        <f t="shared" si="12"/>
        <v>27.13286291</v>
      </c>
    </row>
    <row r="1000">
      <c r="A1000" s="16" t="s">
        <v>3</v>
      </c>
      <c r="B1000" s="17">
        <v>99.0</v>
      </c>
      <c r="C1000" s="24">
        <f t="shared" si="1820"/>
        <v>33397.14485</v>
      </c>
      <c r="D1000" s="25">
        <v>0.05</v>
      </c>
      <c r="E1000" s="24">
        <f t="shared" si="1821"/>
        <v>83.55993216</v>
      </c>
      <c r="F1000" s="25">
        <v>0.02</v>
      </c>
      <c r="G1000" s="24">
        <f t="shared" si="1822"/>
        <v>4771.020693</v>
      </c>
      <c r="H1000" s="25">
        <v>0.05</v>
      </c>
      <c r="I1000" s="24">
        <f t="shared" si="1823"/>
        <v>69.6332768</v>
      </c>
      <c r="J1000" s="25">
        <v>0.02</v>
      </c>
      <c r="K1000" s="25">
        <v>0.0</v>
      </c>
      <c r="L1000" s="24" t="str">
        <f t="shared" ref="L1000:M1000" si="2112">IF(L999="", "", 1 + IFERROR(MINIFS(OFFSET(L1000, -1, 0, -MIN(ROW()-2, $B1000), 1), OFFSET(L1000, -1, 0, -MIN(ROW()-2, $B1000), 1), "&gt;0"), L999) + ROUND((L$2 * (LN(1 + $Z1000) ^ U$2) * (U$3 / 100)), 0))</f>
        <v/>
      </c>
      <c r="M1000" s="24">
        <f t="shared" si="2112"/>
        <v>56601</v>
      </c>
      <c r="N1000" s="24" t="str">
        <f t="shared" ref="N1000:O1000" si="2113">IF(N999="", "", 1 + IFERROR(MINIFS(OFFSET(N1000, -1, 0, -MIN(ROW()-2, $B1000), 1), OFFSET(N1000, -1, 0, -MIN(ROW()-2, $B1000), 1), "&gt;0"), N999) + ROUND(IFERROR(MINIFS(OFFSET(N1000, -1, 0, -MIN(ROW()-2, $B1000), 1), OFFSET(N1000, -1, 0, -MIN(ROW()-2, $B1000), 1), "&gt;0"), N999) * ((LN(1 + $Z1000) ^ W$2) * (W$3 / 1000)), 0))</f>
        <v/>
      </c>
      <c r="O1000" s="24" t="str">
        <f t="shared" si="2113"/>
        <v/>
      </c>
      <c r="P1000" s="24">
        <f t="shared" ref="P1000:S1000" si="2114">L1000*$Y$2</f>
        <v>0</v>
      </c>
      <c r="Q1000" s="24">
        <f t="shared" si="2114"/>
        <v>14150.25</v>
      </c>
      <c r="R1000" s="24">
        <f t="shared" si="2114"/>
        <v>0</v>
      </c>
      <c r="S1000" s="24">
        <f t="shared" si="2114"/>
        <v>0</v>
      </c>
      <c r="T1000" s="24">
        <f t="shared" si="4"/>
        <v>11</v>
      </c>
      <c r="Z1000" s="25">
        <f t="shared" si="12"/>
        <v>28.11751311</v>
      </c>
    </row>
    <row r="1001">
      <c r="A1001" s="16" t="s">
        <v>3</v>
      </c>
      <c r="B1001" s="17">
        <v>100.0</v>
      </c>
      <c r="C1001" s="24">
        <f t="shared" si="1820"/>
        <v>35067.00209</v>
      </c>
      <c r="D1001" s="25">
        <v>0.05</v>
      </c>
      <c r="E1001" s="24">
        <f t="shared" si="1821"/>
        <v>85.2311308</v>
      </c>
      <c r="F1001" s="25">
        <v>0.02</v>
      </c>
      <c r="G1001" s="24">
        <f t="shared" si="1822"/>
        <v>5009.571727</v>
      </c>
      <c r="H1001" s="25">
        <v>0.05</v>
      </c>
      <c r="I1001" s="24">
        <f t="shared" si="1823"/>
        <v>71.02594234</v>
      </c>
      <c r="J1001" s="25">
        <v>0.02</v>
      </c>
      <c r="K1001" s="25">
        <v>0.0</v>
      </c>
      <c r="L1001" s="24" t="str">
        <f t="shared" ref="L1001:M1001" si="2115">IF(L1000="", "", 1 + IFERROR(MINIFS(OFFSET(L1001, -1, 0, -MIN(ROW()-2, $B1001), 1), OFFSET(L1001, -1, 0, -MIN(ROW()-2, $B1001), 1), "&gt;0"), L1000) + ROUND((L$2 * (LN(1 + $Z1001) ^ U$2) * (U$3 / 100)), 0))</f>
        <v/>
      </c>
      <c r="M1001" s="24">
        <f t="shared" si="2115"/>
        <v>56607</v>
      </c>
      <c r="N1001" s="24" t="str">
        <f t="shared" ref="N1001:O1001" si="2116">IF(N1000="", "", 1 + IFERROR(MINIFS(OFFSET(N1001, -1, 0, -MIN(ROW()-2, $B1001), 1), OFFSET(N1001, -1, 0, -MIN(ROW()-2, $B1001), 1), "&gt;0"), N1000) + ROUND(IFERROR(MINIFS(OFFSET(N1001, -1, 0, -MIN(ROW()-2, $B1001), 1), OFFSET(N1001, -1, 0, -MIN(ROW()-2, $B1001), 1), "&gt;0"), N1000) * ((LN(1 + $Z1001) ^ W$2) * (W$3 / 1000)), 0))</f>
        <v/>
      </c>
      <c r="O1001" s="24" t="str">
        <f t="shared" si="2116"/>
        <v/>
      </c>
      <c r="P1001" s="24">
        <f t="shared" ref="P1001:S1001" si="2117">L1001*$Y$2</f>
        <v>0</v>
      </c>
      <c r="Q1001" s="24">
        <f t="shared" si="2117"/>
        <v>14151.75</v>
      </c>
      <c r="R1001" s="24">
        <f t="shared" si="2117"/>
        <v>0</v>
      </c>
      <c r="S1001" s="24">
        <f t="shared" si="2117"/>
        <v>0</v>
      </c>
      <c r="T1001" s="24">
        <f t="shared" si="4"/>
        <v>11</v>
      </c>
      <c r="Z1001" s="25">
        <f t="shared" si="12"/>
        <v>29.13662607</v>
      </c>
    </row>
    <row r="1002">
      <c r="A1002" s="16" t="s">
        <v>3</v>
      </c>
      <c r="B1002" s="17">
        <v>101.0</v>
      </c>
      <c r="C1002" s="24">
        <f t="shared" si="1820"/>
        <v>36820.3522</v>
      </c>
      <c r="D1002" s="25">
        <v>0.05</v>
      </c>
      <c r="E1002" s="24">
        <f t="shared" si="1821"/>
        <v>86.93575342</v>
      </c>
      <c r="F1002" s="25">
        <v>0.02</v>
      </c>
      <c r="G1002" s="24">
        <f t="shared" si="1822"/>
        <v>5260.050314</v>
      </c>
      <c r="H1002" s="25">
        <v>0.05</v>
      </c>
      <c r="I1002" s="24">
        <f t="shared" si="1823"/>
        <v>72.44646118</v>
      </c>
      <c r="J1002" s="25">
        <v>0.02</v>
      </c>
      <c r="K1002" s="25">
        <v>0.0</v>
      </c>
      <c r="L1002" s="24" t="str">
        <f t="shared" ref="L1002:M1002" si="2118">IF(L1001="", "", 1 + IFERROR(MINIFS(OFFSET(L1002, -1, 0, -MIN(ROW()-2, $B1002), 1), OFFSET(L1002, -1, 0, -MIN(ROW()-2, $B1002), 1), "&gt;0"), L1001) + ROUND((L$2 * (LN(1 + $Z1002) ^ U$2) * (U$3 / 100)), 0))</f>
        <v/>
      </c>
      <c r="M1002" s="24">
        <f t="shared" si="2118"/>
        <v>56613</v>
      </c>
      <c r="N1002" s="24" t="str">
        <f t="shared" ref="N1002:O1002" si="2119">IF(N1001="", "", 1 + IFERROR(MINIFS(OFFSET(N1002, -1, 0, -MIN(ROW()-2, $B1002), 1), OFFSET(N1002, -1, 0, -MIN(ROW()-2, $B1002), 1), "&gt;0"), N1001) + ROUND(IFERROR(MINIFS(OFFSET(N1002, -1, 0, -MIN(ROW()-2, $B1002), 1), OFFSET(N1002, -1, 0, -MIN(ROW()-2, $B1002), 1), "&gt;0"), N1001) * ((LN(1 + $Z1002) ^ W$2) * (W$3 / 1000)), 0))</f>
        <v/>
      </c>
      <c r="O1002" s="24" t="str">
        <f t="shared" si="2119"/>
        <v/>
      </c>
      <c r="P1002" s="24">
        <f t="shared" ref="P1002:S1002" si="2120">L1002*$Y$2</f>
        <v>0</v>
      </c>
      <c r="Q1002" s="24">
        <f t="shared" si="2120"/>
        <v>14153.25</v>
      </c>
      <c r="R1002" s="24">
        <f t="shared" si="2120"/>
        <v>0</v>
      </c>
      <c r="S1002" s="24">
        <f t="shared" si="2120"/>
        <v>0</v>
      </c>
      <c r="T1002" s="24">
        <f t="shared" si="4"/>
        <v>11</v>
      </c>
      <c r="Z1002" s="25">
        <f t="shared" si="12"/>
        <v>30.19140798</v>
      </c>
    </row>
    <row r="1003">
      <c r="A1003" s="16" t="s">
        <v>3</v>
      </c>
      <c r="B1003" s="17">
        <v>102.0</v>
      </c>
      <c r="C1003" s="24">
        <f t="shared" si="1820"/>
        <v>38661.36981</v>
      </c>
      <c r="D1003" s="25">
        <v>0.05</v>
      </c>
      <c r="E1003" s="24">
        <f t="shared" si="1821"/>
        <v>88.67446849</v>
      </c>
      <c r="F1003" s="25">
        <v>0.02</v>
      </c>
      <c r="G1003" s="24">
        <f t="shared" si="1822"/>
        <v>5523.05283</v>
      </c>
      <c r="H1003" s="25">
        <v>0.05</v>
      </c>
      <c r="I1003" s="24">
        <f t="shared" si="1823"/>
        <v>73.89539041</v>
      </c>
      <c r="J1003" s="25">
        <v>0.02</v>
      </c>
      <c r="K1003" s="25">
        <v>0.0</v>
      </c>
      <c r="L1003" s="24" t="str">
        <f t="shared" ref="L1003:M1003" si="2121">IF(L1002="", "", 1 + IFERROR(MINIFS(OFFSET(L1003, -1, 0, -MIN(ROW()-2, $B1003), 1), OFFSET(L1003, -1, 0, -MIN(ROW()-2, $B1003), 1), "&gt;0"), L1002) + ROUND((L$2 * (LN(1 + $Z1003) ^ U$2) * (U$3 / 100)), 0))</f>
        <v/>
      </c>
      <c r="M1003" s="24">
        <f t="shared" si="2121"/>
        <v>56619</v>
      </c>
      <c r="N1003" s="24" t="str">
        <f t="shared" ref="N1003:O1003" si="2122">IF(N1002="", "", 1 + IFERROR(MINIFS(OFFSET(N1003, -1, 0, -MIN(ROW()-2, $B1003), 1), OFFSET(N1003, -1, 0, -MIN(ROW()-2, $B1003), 1), "&gt;0"), N1002) + ROUND(IFERROR(MINIFS(OFFSET(N1003, -1, 0, -MIN(ROW()-2, $B1003), 1), OFFSET(N1003, -1, 0, -MIN(ROW()-2, $B1003), 1), "&gt;0"), N1002) * ((LN(1 + $Z1003) ^ W$2) * (W$3 / 1000)), 0))</f>
        <v/>
      </c>
      <c r="O1003" s="24" t="str">
        <f t="shared" si="2122"/>
        <v/>
      </c>
      <c r="P1003" s="24">
        <f t="shared" ref="P1003:S1003" si="2123">L1003*$Y$2</f>
        <v>0</v>
      </c>
      <c r="Q1003" s="24">
        <f t="shared" si="2123"/>
        <v>14154.75</v>
      </c>
      <c r="R1003" s="24">
        <f t="shared" si="2123"/>
        <v>0</v>
      </c>
      <c r="S1003" s="24">
        <f t="shared" si="2123"/>
        <v>0</v>
      </c>
      <c r="T1003" s="24">
        <f t="shared" si="4"/>
        <v>11</v>
      </c>
      <c r="Z1003" s="25">
        <f t="shared" si="12"/>
        <v>31.28310726</v>
      </c>
    </row>
    <row r="1004">
      <c r="A1004" s="16" t="s">
        <v>3</v>
      </c>
      <c r="B1004" s="17">
        <v>103.0</v>
      </c>
      <c r="C1004" s="24">
        <f t="shared" si="1820"/>
        <v>40594.4383</v>
      </c>
      <c r="D1004" s="25">
        <v>0.05</v>
      </c>
      <c r="E1004" s="24">
        <f t="shared" si="1821"/>
        <v>90.44795786</v>
      </c>
      <c r="F1004" s="25">
        <v>0.02</v>
      </c>
      <c r="G1004" s="24">
        <f t="shared" si="1822"/>
        <v>5799.205471</v>
      </c>
      <c r="H1004" s="25">
        <v>0.05</v>
      </c>
      <c r="I1004" s="24">
        <f t="shared" si="1823"/>
        <v>75.37329821</v>
      </c>
      <c r="J1004" s="25">
        <v>0.02</v>
      </c>
      <c r="K1004" s="25">
        <v>0.0</v>
      </c>
      <c r="L1004" s="24" t="str">
        <f t="shared" ref="L1004:M1004" si="2124">IF(L1003="", "", 1 + IFERROR(MINIFS(OFFSET(L1004, -1, 0, -MIN(ROW()-2, $B1004), 1), OFFSET(L1004, -1, 0, -MIN(ROW()-2, $B1004), 1), "&gt;0"), L1003) + ROUND((L$2 * (LN(1 + $Z1004) ^ U$2) * (U$3 / 100)), 0))</f>
        <v/>
      </c>
      <c r="M1004" s="24">
        <f t="shared" si="2124"/>
        <v>56625</v>
      </c>
      <c r="N1004" s="24" t="str">
        <f t="shared" ref="N1004:O1004" si="2125">IF(N1003="", "", 1 + IFERROR(MINIFS(OFFSET(N1004, -1, 0, -MIN(ROW()-2, $B1004), 1), OFFSET(N1004, -1, 0, -MIN(ROW()-2, $B1004), 1), "&gt;0"), N1003) + ROUND(IFERROR(MINIFS(OFFSET(N1004, -1, 0, -MIN(ROW()-2, $B1004), 1), OFFSET(N1004, -1, 0, -MIN(ROW()-2, $B1004), 1), "&gt;0"), N1003) * ((LN(1 + $Z1004) ^ W$2) * (W$3 / 1000)), 0))</f>
        <v/>
      </c>
      <c r="O1004" s="24" t="str">
        <f t="shared" si="2125"/>
        <v/>
      </c>
      <c r="P1004" s="24">
        <f t="shared" ref="P1004:S1004" si="2126">L1004*$Y$2</f>
        <v>0</v>
      </c>
      <c r="Q1004" s="24">
        <f t="shared" si="2126"/>
        <v>14156.25</v>
      </c>
      <c r="R1004" s="24">
        <f t="shared" si="2126"/>
        <v>0</v>
      </c>
      <c r="S1004" s="24">
        <f t="shared" si="2126"/>
        <v>0</v>
      </c>
      <c r="T1004" s="24">
        <f t="shared" si="4"/>
        <v>11</v>
      </c>
      <c r="Z1004" s="25">
        <f t="shared" si="12"/>
        <v>32.41301602</v>
      </c>
    </row>
    <row r="1005">
      <c r="A1005" s="16" t="s">
        <v>3</v>
      </c>
      <c r="B1005" s="17">
        <v>104.0</v>
      </c>
      <c r="C1005" s="24">
        <f t="shared" si="1820"/>
        <v>42624.16021</v>
      </c>
      <c r="D1005" s="25">
        <v>0.05</v>
      </c>
      <c r="E1005" s="24">
        <f t="shared" si="1821"/>
        <v>92.25691701</v>
      </c>
      <c r="F1005" s="25">
        <v>0.02</v>
      </c>
      <c r="G1005" s="24">
        <f t="shared" si="1822"/>
        <v>6089.165745</v>
      </c>
      <c r="H1005" s="25">
        <v>0.05</v>
      </c>
      <c r="I1005" s="24">
        <f t="shared" si="1823"/>
        <v>76.88076418</v>
      </c>
      <c r="J1005" s="25">
        <v>0.02</v>
      </c>
      <c r="K1005" s="25">
        <v>0.0</v>
      </c>
      <c r="L1005" s="24" t="str">
        <f t="shared" ref="L1005:M1005" si="2127">IF(L1004="", "", 1 + IFERROR(MINIFS(OFFSET(L1005, -1, 0, -MIN(ROW()-2, $B1005), 1), OFFSET(L1005, -1, 0, -MIN(ROW()-2, $B1005), 1), "&gt;0"), L1004) + ROUND((L$2 * (LN(1 + $Z1005) ^ U$2) * (U$3 / 100)), 0))</f>
        <v/>
      </c>
      <c r="M1005" s="24">
        <f t="shared" si="2127"/>
        <v>56631</v>
      </c>
      <c r="N1005" s="24" t="str">
        <f t="shared" ref="N1005:O1005" si="2128">IF(N1004="", "", 1 + IFERROR(MINIFS(OFFSET(N1005, -1, 0, -MIN(ROW()-2, $B1005), 1), OFFSET(N1005, -1, 0, -MIN(ROW()-2, $B1005), 1), "&gt;0"), N1004) + ROUND(IFERROR(MINIFS(OFFSET(N1005, -1, 0, -MIN(ROW()-2, $B1005), 1), OFFSET(N1005, -1, 0, -MIN(ROW()-2, $B1005), 1), "&gt;0"), N1004) * ((LN(1 + $Z1005) ^ W$2) * (W$3 / 1000)), 0))</f>
        <v/>
      </c>
      <c r="O1005" s="24" t="str">
        <f t="shared" si="2128"/>
        <v/>
      </c>
      <c r="P1005" s="24">
        <f t="shared" ref="P1005:S1005" si="2129">L1005*$Y$2</f>
        <v>0</v>
      </c>
      <c r="Q1005" s="24">
        <f t="shared" si="2129"/>
        <v>14157.75</v>
      </c>
      <c r="R1005" s="24">
        <f t="shared" si="2129"/>
        <v>0</v>
      </c>
      <c r="S1005" s="24">
        <f t="shared" si="2129"/>
        <v>0</v>
      </c>
      <c r="T1005" s="24">
        <f t="shared" si="4"/>
        <v>11</v>
      </c>
      <c r="Z1005" s="25">
        <f t="shared" si="12"/>
        <v>33.58247158</v>
      </c>
    </row>
    <row r="1006">
      <c r="A1006" s="16" t="s">
        <v>3</v>
      </c>
      <c r="B1006" s="17">
        <v>105.0</v>
      </c>
      <c r="C1006" s="24">
        <f t="shared" si="1820"/>
        <v>44755.36822</v>
      </c>
      <c r="D1006" s="25">
        <v>0.05</v>
      </c>
      <c r="E1006" s="24">
        <f t="shared" si="1821"/>
        <v>94.10205535</v>
      </c>
      <c r="F1006" s="25">
        <v>0.02</v>
      </c>
      <c r="G1006" s="24">
        <f t="shared" si="1822"/>
        <v>6393.624032</v>
      </c>
      <c r="H1006" s="25">
        <v>0.05</v>
      </c>
      <c r="I1006" s="24">
        <f t="shared" si="1823"/>
        <v>78.41837946</v>
      </c>
      <c r="J1006" s="25">
        <v>0.02</v>
      </c>
      <c r="K1006" s="25">
        <v>0.0</v>
      </c>
      <c r="L1006" s="24" t="str">
        <f t="shared" ref="L1006:M1006" si="2130">IF(L1005="", "", 1 + IFERROR(MINIFS(OFFSET(L1006, -1, 0, -MIN(ROW()-2, $B1006), 1), OFFSET(L1006, -1, 0, -MIN(ROW()-2, $B1006), 1), "&gt;0"), L1005) + ROUND((L$2 * (LN(1 + $Z1006) ^ U$2) * (U$3 / 100)), 0))</f>
        <v/>
      </c>
      <c r="M1006" s="24">
        <f t="shared" si="2130"/>
        <v>56637</v>
      </c>
      <c r="N1006" s="24" t="str">
        <f t="shared" ref="N1006:O1006" si="2131">IF(N1005="", "", 1 + IFERROR(MINIFS(OFFSET(N1006, -1, 0, -MIN(ROW()-2, $B1006), 1), OFFSET(N1006, -1, 0, -MIN(ROW()-2, $B1006), 1), "&gt;0"), N1005) + ROUND(IFERROR(MINIFS(OFFSET(N1006, -1, 0, -MIN(ROW()-2, $B1006), 1), OFFSET(N1006, -1, 0, -MIN(ROW()-2, $B1006), 1), "&gt;0"), N1005) * ((LN(1 + $Z1006) ^ W$2) * (W$3 / 1000)), 0))</f>
        <v/>
      </c>
      <c r="O1006" s="24" t="str">
        <f t="shared" si="2131"/>
        <v/>
      </c>
      <c r="P1006" s="24">
        <f t="shared" ref="P1006:S1006" si="2132">L1006*$Y$2</f>
        <v>0</v>
      </c>
      <c r="Q1006" s="24">
        <f t="shared" si="2132"/>
        <v>14159.25</v>
      </c>
      <c r="R1006" s="24">
        <f t="shared" si="2132"/>
        <v>0</v>
      </c>
      <c r="S1006" s="24">
        <f t="shared" si="2132"/>
        <v>0</v>
      </c>
      <c r="T1006" s="24">
        <f t="shared" si="4"/>
        <v>12</v>
      </c>
      <c r="Z1006" s="25">
        <f t="shared" si="12"/>
        <v>34.79285808</v>
      </c>
    </row>
    <row r="1007">
      <c r="A1007" s="16" t="s">
        <v>3</v>
      </c>
      <c r="B1007" s="17">
        <v>106.0</v>
      </c>
      <c r="C1007" s="24">
        <f t="shared" si="1820"/>
        <v>46993.13663</v>
      </c>
      <c r="D1007" s="25">
        <v>0.05</v>
      </c>
      <c r="E1007" s="24">
        <f t="shared" si="1821"/>
        <v>95.98409646</v>
      </c>
      <c r="F1007" s="25">
        <v>0.02</v>
      </c>
      <c r="G1007" s="24">
        <f t="shared" si="1822"/>
        <v>6713.305233</v>
      </c>
      <c r="H1007" s="25">
        <v>0.05</v>
      </c>
      <c r="I1007" s="24">
        <f t="shared" si="1823"/>
        <v>79.98674705</v>
      </c>
      <c r="J1007" s="25">
        <v>0.02</v>
      </c>
      <c r="K1007" s="25">
        <v>0.0</v>
      </c>
      <c r="L1007" s="24" t="str">
        <f t="shared" ref="L1007:M1007" si="2133">IF(L1006="", "", 1 + IFERROR(MINIFS(OFFSET(L1007, -1, 0, -MIN(ROW()-2, $B1007), 1), OFFSET(L1007, -1, 0, -MIN(ROW()-2, $B1007), 1), "&gt;0"), L1006) + ROUND((L$2 * (LN(1 + $Z1007) ^ U$2) * (U$3 / 100)), 0))</f>
        <v/>
      </c>
      <c r="M1007" s="24">
        <f t="shared" si="2133"/>
        <v>56643</v>
      </c>
      <c r="N1007" s="24" t="str">
        <f t="shared" ref="N1007:O1007" si="2134">IF(N1006="", "", 1 + IFERROR(MINIFS(OFFSET(N1007, -1, 0, -MIN(ROW()-2, $B1007), 1), OFFSET(N1007, -1, 0, -MIN(ROW()-2, $B1007), 1), "&gt;0"), N1006) + ROUND(IFERROR(MINIFS(OFFSET(N1007, -1, 0, -MIN(ROW()-2, $B1007), 1), OFFSET(N1007, -1, 0, -MIN(ROW()-2, $B1007), 1), "&gt;0"), N1006) * ((LN(1 + $Z1007) ^ W$2) * (W$3 / 1000)), 0))</f>
        <v/>
      </c>
      <c r="O1007" s="24" t="str">
        <f t="shared" si="2134"/>
        <v/>
      </c>
      <c r="P1007" s="24">
        <f t="shared" ref="P1007:S1007" si="2135">L1007*$Y$2</f>
        <v>0</v>
      </c>
      <c r="Q1007" s="24">
        <f t="shared" si="2135"/>
        <v>14160.75</v>
      </c>
      <c r="R1007" s="24">
        <f t="shared" si="2135"/>
        <v>0</v>
      </c>
      <c r="S1007" s="24">
        <f t="shared" si="2135"/>
        <v>0</v>
      </c>
      <c r="T1007" s="24">
        <f t="shared" si="4"/>
        <v>12</v>
      </c>
      <c r="Z1007" s="25">
        <f t="shared" si="12"/>
        <v>36.04560812</v>
      </c>
    </row>
    <row r="1008">
      <c r="A1008" s="16" t="s">
        <v>3</v>
      </c>
      <c r="B1008" s="17">
        <v>107.0</v>
      </c>
      <c r="C1008" s="24">
        <f t="shared" si="1820"/>
        <v>49342.79347</v>
      </c>
      <c r="D1008" s="25">
        <v>0.05</v>
      </c>
      <c r="E1008" s="24">
        <f t="shared" si="1821"/>
        <v>97.90377839</v>
      </c>
      <c r="F1008" s="25">
        <v>0.02</v>
      </c>
      <c r="G1008" s="24">
        <f t="shared" si="1822"/>
        <v>7048.970495</v>
      </c>
      <c r="H1008" s="25">
        <v>0.05</v>
      </c>
      <c r="I1008" s="24">
        <f t="shared" si="1823"/>
        <v>81.58648199</v>
      </c>
      <c r="J1008" s="25">
        <v>0.02</v>
      </c>
      <c r="K1008" s="25">
        <v>0.0</v>
      </c>
      <c r="L1008" s="24" t="str">
        <f t="shared" ref="L1008:M1008" si="2136">IF(L1007="", "", 1 + IFERROR(MINIFS(OFFSET(L1008, -1, 0, -MIN(ROW()-2, $B1008), 1), OFFSET(L1008, -1, 0, -MIN(ROW()-2, $B1008), 1), "&gt;0"), L1007) + ROUND((L$2 * (LN(1 + $Z1008) ^ U$2) * (U$3 / 100)), 0))</f>
        <v/>
      </c>
      <c r="M1008" s="24">
        <f t="shared" si="2136"/>
        <v>56649</v>
      </c>
      <c r="N1008" s="24" t="str">
        <f t="shared" ref="N1008:O1008" si="2137">IF(N1007="", "", 1 + IFERROR(MINIFS(OFFSET(N1008, -1, 0, -MIN(ROW()-2, $B1008), 1), OFFSET(N1008, -1, 0, -MIN(ROW()-2, $B1008), 1), "&gt;0"), N1007) + ROUND(IFERROR(MINIFS(OFFSET(N1008, -1, 0, -MIN(ROW()-2, $B1008), 1), OFFSET(N1008, -1, 0, -MIN(ROW()-2, $B1008), 1), "&gt;0"), N1007) * ((LN(1 + $Z1008) ^ W$2) * (W$3 / 1000)), 0))</f>
        <v/>
      </c>
      <c r="O1008" s="24" t="str">
        <f t="shared" si="2137"/>
        <v/>
      </c>
      <c r="P1008" s="24">
        <f t="shared" ref="P1008:S1008" si="2138">L1008*$Y$2</f>
        <v>0</v>
      </c>
      <c r="Q1008" s="24">
        <f t="shared" si="2138"/>
        <v>14162.25</v>
      </c>
      <c r="R1008" s="24">
        <f t="shared" si="2138"/>
        <v>0</v>
      </c>
      <c r="S1008" s="24">
        <f t="shared" si="2138"/>
        <v>0</v>
      </c>
      <c r="T1008" s="24">
        <f t="shared" si="4"/>
        <v>12</v>
      </c>
      <c r="Z1008" s="25">
        <f t="shared" si="12"/>
        <v>37.3422044</v>
      </c>
    </row>
    <row r="1009">
      <c r="A1009" s="16" t="s">
        <v>3</v>
      </c>
      <c r="B1009" s="17">
        <v>108.0</v>
      </c>
      <c r="C1009" s="24">
        <f t="shared" si="1820"/>
        <v>51809.93314</v>
      </c>
      <c r="D1009" s="25">
        <v>0.05</v>
      </c>
      <c r="E1009" s="24">
        <f t="shared" si="1821"/>
        <v>99.86185396</v>
      </c>
      <c r="F1009" s="25">
        <v>0.02</v>
      </c>
      <c r="G1009" s="24">
        <f t="shared" si="1822"/>
        <v>7401.41902</v>
      </c>
      <c r="H1009" s="25">
        <v>0.05</v>
      </c>
      <c r="I1009" s="24">
        <f t="shared" si="1823"/>
        <v>83.21821163</v>
      </c>
      <c r="J1009" s="25">
        <v>0.02</v>
      </c>
      <c r="K1009" s="25">
        <v>0.0</v>
      </c>
      <c r="L1009" s="24" t="str">
        <f t="shared" ref="L1009:M1009" si="2139">IF(L1008="", "", 1 + IFERROR(MINIFS(OFFSET(L1009, -1, 0, -MIN(ROW()-2, $B1009), 1), OFFSET(L1009, -1, 0, -MIN(ROW()-2, $B1009), 1), "&gt;0"), L1008) + ROUND((L$2 * (LN(1 + $Z1009) ^ U$2) * (U$3 / 100)), 0))</f>
        <v/>
      </c>
      <c r="M1009" s="24">
        <f t="shared" si="2139"/>
        <v>56655</v>
      </c>
      <c r="N1009" s="24" t="str">
        <f t="shared" ref="N1009:O1009" si="2140">IF(N1008="", "", 1 + IFERROR(MINIFS(OFFSET(N1009, -1, 0, -MIN(ROW()-2, $B1009), 1), OFFSET(N1009, -1, 0, -MIN(ROW()-2, $B1009), 1), "&gt;0"), N1008) + ROUND(IFERROR(MINIFS(OFFSET(N1009, -1, 0, -MIN(ROW()-2, $B1009), 1), OFFSET(N1009, -1, 0, -MIN(ROW()-2, $B1009), 1), "&gt;0"), N1008) * ((LN(1 + $Z1009) ^ W$2) * (W$3 / 1000)), 0))</f>
        <v/>
      </c>
      <c r="O1009" s="24" t="str">
        <f t="shared" si="2140"/>
        <v/>
      </c>
      <c r="P1009" s="24">
        <f t="shared" ref="P1009:S1009" si="2141">L1009*$Y$2</f>
        <v>0</v>
      </c>
      <c r="Q1009" s="24">
        <f t="shared" si="2141"/>
        <v>14163.75</v>
      </c>
      <c r="R1009" s="24">
        <f t="shared" si="2141"/>
        <v>0</v>
      </c>
      <c r="S1009" s="24">
        <f t="shared" si="2141"/>
        <v>0</v>
      </c>
      <c r="T1009" s="24">
        <f t="shared" si="4"/>
        <v>12</v>
      </c>
      <c r="Z1009" s="25">
        <f t="shared" si="12"/>
        <v>38.68418155</v>
      </c>
    </row>
    <row r="1010">
      <c r="A1010" s="16" t="s">
        <v>3</v>
      </c>
      <c r="B1010" s="17">
        <v>109.0</v>
      </c>
      <c r="C1010" s="24">
        <f t="shared" si="1820"/>
        <v>54400.4298</v>
      </c>
      <c r="D1010" s="25">
        <v>0.05</v>
      </c>
      <c r="E1010" s="24">
        <f t="shared" si="1821"/>
        <v>101.859091</v>
      </c>
      <c r="F1010" s="25">
        <v>0.02</v>
      </c>
      <c r="G1010" s="24">
        <f t="shared" si="1822"/>
        <v>7771.489971</v>
      </c>
      <c r="H1010" s="25">
        <v>0.05</v>
      </c>
      <c r="I1010" s="24">
        <f t="shared" si="1823"/>
        <v>84.88257586</v>
      </c>
      <c r="J1010" s="25">
        <v>0.02</v>
      </c>
      <c r="K1010" s="25">
        <v>0.0</v>
      </c>
      <c r="L1010" s="24" t="str">
        <f t="shared" ref="L1010:M1010" si="2142">IF(L1009="", "", 1 + IFERROR(MINIFS(OFFSET(L1010, -1, 0, -MIN(ROW()-2, $B1010), 1), OFFSET(L1010, -1, 0, -MIN(ROW()-2, $B1010), 1), "&gt;0"), L1009) + ROUND((L$2 * (LN(1 + $Z1010) ^ U$2) * (U$3 / 100)), 0))</f>
        <v/>
      </c>
      <c r="M1010" s="24">
        <f t="shared" si="2142"/>
        <v>56661</v>
      </c>
      <c r="N1010" s="24" t="str">
        <f t="shared" ref="N1010:O1010" si="2143">IF(N1009="", "", 1 + IFERROR(MINIFS(OFFSET(N1010, -1, 0, -MIN(ROW()-2, $B1010), 1), OFFSET(N1010, -1, 0, -MIN(ROW()-2, $B1010), 1), "&gt;0"), N1009) + ROUND(IFERROR(MINIFS(OFFSET(N1010, -1, 0, -MIN(ROW()-2, $B1010), 1), OFFSET(N1010, -1, 0, -MIN(ROW()-2, $B1010), 1), "&gt;0"), N1009) * ((LN(1 + $Z1010) ^ W$2) * (W$3 / 1000)), 0))</f>
        <v/>
      </c>
      <c r="O1010" s="24" t="str">
        <f t="shared" si="2143"/>
        <v/>
      </c>
      <c r="P1010" s="24">
        <f t="shared" ref="P1010:S1010" si="2144">L1010*$Y$2</f>
        <v>0</v>
      </c>
      <c r="Q1010" s="24">
        <f t="shared" si="2144"/>
        <v>14165.25</v>
      </c>
      <c r="R1010" s="24">
        <f t="shared" si="2144"/>
        <v>0</v>
      </c>
      <c r="S1010" s="24">
        <f t="shared" si="2144"/>
        <v>0</v>
      </c>
      <c r="T1010" s="24">
        <f t="shared" si="4"/>
        <v>12</v>
      </c>
      <c r="Z1010" s="25">
        <f t="shared" si="12"/>
        <v>40.07312791</v>
      </c>
    </row>
    <row r="1011">
      <c r="A1011" s="16" t="s">
        <v>3</v>
      </c>
      <c r="B1011" s="17">
        <v>110.0</v>
      </c>
      <c r="C1011" s="24">
        <f t="shared" si="1820"/>
        <v>57120.45129</v>
      </c>
      <c r="D1011" s="25">
        <v>0.05</v>
      </c>
      <c r="E1011" s="24">
        <f t="shared" si="1821"/>
        <v>103.8962729</v>
      </c>
      <c r="F1011" s="25">
        <v>0.02</v>
      </c>
      <c r="G1011" s="24">
        <f t="shared" si="1822"/>
        <v>8160.064469</v>
      </c>
      <c r="H1011" s="25">
        <v>0.05</v>
      </c>
      <c r="I1011" s="24">
        <f t="shared" si="1823"/>
        <v>86.58022738</v>
      </c>
      <c r="J1011" s="25">
        <v>0.02</v>
      </c>
      <c r="K1011" s="25">
        <v>0.0</v>
      </c>
      <c r="L1011" s="24" t="str">
        <f t="shared" ref="L1011:M1011" si="2145">IF(L1010="", "", 1 + IFERROR(MINIFS(OFFSET(L1011, -1, 0, -MIN(ROW()-2, $B1011), 1), OFFSET(L1011, -1, 0, -MIN(ROW()-2, $B1011), 1), "&gt;0"), L1010) + ROUND((L$2 * (LN(1 + $Z1011) ^ U$2) * (U$3 / 100)), 0))</f>
        <v/>
      </c>
      <c r="M1011" s="24">
        <f t="shared" si="2145"/>
        <v>56667</v>
      </c>
      <c r="N1011" s="24" t="str">
        <f t="shared" ref="N1011:O1011" si="2146">IF(N1010="", "", 1 + IFERROR(MINIFS(OFFSET(N1011, -1, 0, -MIN(ROW()-2, $B1011), 1), OFFSET(N1011, -1, 0, -MIN(ROW()-2, $B1011), 1), "&gt;0"), N1010) + ROUND(IFERROR(MINIFS(OFFSET(N1011, -1, 0, -MIN(ROW()-2, $B1011), 1), OFFSET(N1011, -1, 0, -MIN(ROW()-2, $B1011), 1), "&gt;0"), N1010) * ((LN(1 + $Z1011) ^ W$2) * (W$3 / 1000)), 0))</f>
        <v/>
      </c>
      <c r="O1011" s="24" t="str">
        <f t="shared" si="2146"/>
        <v/>
      </c>
      <c r="P1011" s="24">
        <f t="shared" ref="P1011:S1011" si="2147">L1011*$Y$2</f>
        <v>0</v>
      </c>
      <c r="Q1011" s="24">
        <f t="shared" si="2147"/>
        <v>14166.75</v>
      </c>
      <c r="R1011" s="24">
        <f t="shared" si="2147"/>
        <v>0</v>
      </c>
      <c r="S1011" s="24">
        <f t="shared" si="2147"/>
        <v>0</v>
      </c>
      <c r="T1011" s="24">
        <f t="shared" si="4"/>
        <v>12</v>
      </c>
      <c r="Z1011" s="25">
        <f t="shared" si="12"/>
        <v>41.51068738</v>
      </c>
    </row>
    <row r="1012">
      <c r="A1012" s="16" t="s">
        <v>3</v>
      </c>
      <c r="B1012" s="17">
        <v>111.0</v>
      </c>
      <c r="C1012" s="24">
        <f t="shared" si="1820"/>
        <v>59976.47385</v>
      </c>
      <c r="D1012" s="25">
        <v>0.05</v>
      </c>
      <c r="E1012" s="24">
        <f t="shared" si="1821"/>
        <v>105.9741983</v>
      </c>
      <c r="F1012" s="25">
        <v>0.02</v>
      </c>
      <c r="G1012" s="24">
        <f t="shared" si="1822"/>
        <v>8568.067693</v>
      </c>
      <c r="H1012" s="25">
        <v>0.05</v>
      </c>
      <c r="I1012" s="24">
        <f t="shared" si="1823"/>
        <v>88.31183193</v>
      </c>
      <c r="J1012" s="25">
        <v>0.02</v>
      </c>
      <c r="K1012" s="25">
        <v>0.0</v>
      </c>
      <c r="L1012" s="24" t="str">
        <f t="shared" ref="L1012:M1012" si="2148">IF(L1011="", "", 1 + IFERROR(MINIFS(OFFSET(L1012, -1, 0, -MIN(ROW()-2, $B1012), 1), OFFSET(L1012, -1, 0, -MIN(ROW()-2, $B1012), 1), "&gt;0"), L1011) + ROUND((L$2 * (LN(1 + $Z1012) ^ U$2) * (U$3 / 100)), 0))</f>
        <v/>
      </c>
      <c r="M1012" s="24">
        <f t="shared" si="2148"/>
        <v>56673</v>
      </c>
      <c r="N1012" s="24" t="str">
        <f t="shared" ref="N1012:O1012" si="2149">IF(N1011="", "", 1 + IFERROR(MINIFS(OFFSET(N1012, -1, 0, -MIN(ROW()-2, $B1012), 1), OFFSET(N1012, -1, 0, -MIN(ROW()-2, $B1012), 1), "&gt;0"), N1011) + ROUND(IFERROR(MINIFS(OFFSET(N1012, -1, 0, -MIN(ROW()-2, $B1012), 1), OFFSET(N1012, -1, 0, -MIN(ROW()-2, $B1012), 1), "&gt;0"), N1011) * ((LN(1 + $Z1012) ^ W$2) * (W$3 / 1000)), 0))</f>
        <v/>
      </c>
      <c r="O1012" s="24" t="str">
        <f t="shared" si="2149"/>
        <v/>
      </c>
      <c r="P1012" s="24">
        <f t="shared" ref="P1012:S1012" si="2150">L1012*$Y$2</f>
        <v>0</v>
      </c>
      <c r="Q1012" s="24">
        <f t="shared" si="2150"/>
        <v>14168.25</v>
      </c>
      <c r="R1012" s="24">
        <f t="shared" si="2150"/>
        <v>0</v>
      </c>
      <c r="S1012" s="24">
        <f t="shared" si="2150"/>
        <v>0</v>
      </c>
      <c r="T1012" s="24">
        <f t="shared" si="4"/>
        <v>12</v>
      </c>
      <c r="Z1012" s="25">
        <f t="shared" si="12"/>
        <v>42.99856144</v>
      </c>
    </row>
    <row r="1013">
      <c r="A1013" s="16" t="s">
        <v>3</v>
      </c>
      <c r="B1013" s="17">
        <v>112.0</v>
      </c>
      <c r="C1013" s="24">
        <f t="shared" si="1820"/>
        <v>62975.29754</v>
      </c>
      <c r="D1013" s="25">
        <v>0.05</v>
      </c>
      <c r="E1013" s="24">
        <f t="shared" si="1821"/>
        <v>108.0936823</v>
      </c>
      <c r="F1013" s="25">
        <v>0.02</v>
      </c>
      <c r="G1013" s="24">
        <f t="shared" si="1822"/>
        <v>8996.471077</v>
      </c>
      <c r="H1013" s="25">
        <v>0.05</v>
      </c>
      <c r="I1013" s="24">
        <f t="shared" si="1823"/>
        <v>90.07806857</v>
      </c>
      <c r="J1013" s="25">
        <v>0.02</v>
      </c>
      <c r="K1013" s="25">
        <v>0.0</v>
      </c>
      <c r="L1013" s="24" t="str">
        <f t="shared" ref="L1013:M1013" si="2151">IF(L1012="", "", 1 + IFERROR(MINIFS(OFFSET(L1013, -1, 0, -MIN(ROW()-2, $B1013), 1), OFFSET(L1013, -1, 0, -MIN(ROW()-2, $B1013), 1), "&gt;0"), L1012) + ROUND((L$2 * (LN(1 + $Z1013) ^ U$2) * (U$3 / 100)), 0))</f>
        <v/>
      </c>
      <c r="M1013" s="24">
        <f t="shared" si="2151"/>
        <v>56679</v>
      </c>
      <c r="N1013" s="24" t="str">
        <f t="shared" ref="N1013:O1013" si="2152">IF(N1012="", "", 1 + IFERROR(MINIFS(OFFSET(N1013, -1, 0, -MIN(ROW()-2, $B1013), 1), OFFSET(N1013, -1, 0, -MIN(ROW()-2, $B1013), 1), "&gt;0"), N1012) + ROUND(IFERROR(MINIFS(OFFSET(N1013, -1, 0, -MIN(ROW()-2, $B1013), 1), OFFSET(N1013, -1, 0, -MIN(ROW()-2, $B1013), 1), "&gt;0"), N1012) * ((LN(1 + $Z1013) ^ W$2) * (W$3 / 1000)), 0))</f>
        <v/>
      </c>
      <c r="O1013" s="24" t="str">
        <f t="shared" si="2152"/>
        <v/>
      </c>
      <c r="P1013" s="24">
        <f t="shared" ref="P1013:S1013" si="2153">L1013*$Y$2</f>
        <v>0</v>
      </c>
      <c r="Q1013" s="24">
        <f t="shared" si="2153"/>
        <v>14169.75</v>
      </c>
      <c r="R1013" s="24">
        <f t="shared" si="2153"/>
        <v>0</v>
      </c>
      <c r="S1013" s="24">
        <f t="shared" si="2153"/>
        <v>0</v>
      </c>
      <c r="T1013" s="24">
        <f t="shared" si="4"/>
        <v>12</v>
      </c>
      <c r="Z1013" s="25">
        <f t="shared" si="12"/>
        <v>44.53851109</v>
      </c>
    </row>
    <row r="1014">
      <c r="A1014" s="16" t="s">
        <v>3</v>
      </c>
      <c r="B1014" s="17">
        <v>113.0</v>
      </c>
      <c r="C1014" s="24">
        <f t="shared" si="1820"/>
        <v>66124.06242</v>
      </c>
      <c r="D1014" s="25">
        <v>0.05</v>
      </c>
      <c r="E1014" s="24">
        <f t="shared" si="1821"/>
        <v>110.2555559</v>
      </c>
      <c r="F1014" s="25">
        <v>0.02</v>
      </c>
      <c r="G1014" s="24">
        <f t="shared" si="1822"/>
        <v>9446.294631</v>
      </c>
      <c r="H1014" s="25">
        <v>0.05</v>
      </c>
      <c r="I1014" s="24">
        <f t="shared" si="1823"/>
        <v>91.87962994</v>
      </c>
      <c r="J1014" s="25">
        <v>0.02</v>
      </c>
      <c r="K1014" s="25">
        <v>0.0</v>
      </c>
      <c r="L1014" s="24" t="str">
        <f t="shared" ref="L1014:M1014" si="2154">IF(L1013="", "", 1 + IFERROR(MINIFS(OFFSET(L1014, -1, 0, -MIN(ROW()-2, $B1014), 1), OFFSET(L1014, -1, 0, -MIN(ROW()-2, $B1014), 1), "&gt;0"), L1013) + ROUND((L$2 * (LN(1 + $Z1014) ^ U$2) * (U$3 / 100)), 0))</f>
        <v/>
      </c>
      <c r="M1014" s="24">
        <f t="shared" si="2154"/>
        <v>56685</v>
      </c>
      <c r="N1014" s="24" t="str">
        <f t="shared" ref="N1014:O1014" si="2155">IF(N1013="", "", 1 + IFERROR(MINIFS(OFFSET(N1014, -1, 0, -MIN(ROW()-2, $B1014), 1), OFFSET(N1014, -1, 0, -MIN(ROW()-2, $B1014), 1), "&gt;0"), N1013) + ROUND(IFERROR(MINIFS(OFFSET(N1014, -1, 0, -MIN(ROW()-2, $B1014), 1), OFFSET(N1014, -1, 0, -MIN(ROW()-2, $B1014), 1), "&gt;0"), N1013) * ((LN(1 + $Z1014) ^ W$2) * (W$3 / 1000)), 0))</f>
        <v/>
      </c>
      <c r="O1014" s="24" t="str">
        <f t="shared" si="2155"/>
        <v/>
      </c>
      <c r="P1014" s="24">
        <f t="shared" ref="P1014:S1014" si="2156">L1014*$Y$2</f>
        <v>0</v>
      </c>
      <c r="Q1014" s="24">
        <f t="shared" si="2156"/>
        <v>14171.25</v>
      </c>
      <c r="R1014" s="24">
        <f t="shared" si="2156"/>
        <v>0</v>
      </c>
      <c r="S1014" s="24">
        <f t="shared" si="2156"/>
        <v>0</v>
      </c>
      <c r="T1014" s="24">
        <f t="shared" si="4"/>
        <v>12</v>
      </c>
      <c r="Z1014" s="25">
        <f t="shared" si="12"/>
        <v>46.13235898</v>
      </c>
    </row>
    <row r="1015">
      <c r="A1015" s="16" t="s">
        <v>3</v>
      </c>
      <c r="B1015" s="17">
        <v>114.0</v>
      </c>
      <c r="C1015" s="24">
        <f t="shared" si="1820"/>
        <v>69430.26554</v>
      </c>
      <c r="D1015" s="25">
        <v>0.05</v>
      </c>
      <c r="E1015" s="24">
        <f t="shared" si="1821"/>
        <v>112.460667</v>
      </c>
      <c r="F1015" s="25">
        <v>0.02</v>
      </c>
      <c r="G1015" s="24">
        <f t="shared" si="1822"/>
        <v>9918.609363</v>
      </c>
      <c r="H1015" s="25">
        <v>0.05</v>
      </c>
      <c r="I1015" s="24">
        <f t="shared" si="1823"/>
        <v>93.71722254</v>
      </c>
      <c r="J1015" s="25">
        <v>0.02</v>
      </c>
      <c r="K1015" s="25">
        <v>0.0</v>
      </c>
      <c r="L1015" s="24" t="str">
        <f t="shared" ref="L1015:M1015" si="2157">IF(L1014="", "", 1 + IFERROR(MINIFS(OFFSET(L1015, -1, 0, -MIN(ROW()-2, $B1015), 1), OFFSET(L1015, -1, 0, -MIN(ROW()-2, $B1015), 1), "&gt;0"), L1014) + ROUND((L$2 * (LN(1 + $Z1015) ^ U$2) * (U$3 / 100)), 0))</f>
        <v/>
      </c>
      <c r="M1015" s="24">
        <f t="shared" si="2157"/>
        <v>56691</v>
      </c>
      <c r="N1015" s="24" t="str">
        <f t="shared" ref="N1015:O1015" si="2158">IF(N1014="", "", 1 + IFERROR(MINIFS(OFFSET(N1015, -1, 0, -MIN(ROW()-2, $B1015), 1), OFFSET(N1015, -1, 0, -MIN(ROW()-2, $B1015), 1), "&gt;0"), N1014) + ROUND(IFERROR(MINIFS(OFFSET(N1015, -1, 0, -MIN(ROW()-2, $B1015), 1), OFFSET(N1015, -1, 0, -MIN(ROW()-2, $B1015), 1), "&gt;0"), N1014) * ((LN(1 + $Z1015) ^ W$2) * (W$3 / 1000)), 0))</f>
        <v/>
      </c>
      <c r="O1015" s="24" t="str">
        <f t="shared" si="2158"/>
        <v/>
      </c>
      <c r="P1015" s="24">
        <f t="shared" ref="P1015:S1015" si="2159">L1015*$Y$2</f>
        <v>0</v>
      </c>
      <c r="Q1015" s="24">
        <f t="shared" si="2159"/>
        <v>14172.75</v>
      </c>
      <c r="R1015" s="24">
        <f t="shared" si="2159"/>
        <v>0</v>
      </c>
      <c r="S1015" s="24">
        <f t="shared" si="2159"/>
        <v>0</v>
      </c>
      <c r="T1015" s="24">
        <f t="shared" si="4"/>
        <v>12</v>
      </c>
      <c r="Z1015" s="25">
        <f t="shared" si="12"/>
        <v>47.78199155</v>
      </c>
    </row>
    <row r="1016">
      <c r="A1016" s="16" t="s">
        <v>3</v>
      </c>
      <c r="B1016" s="17">
        <v>115.0</v>
      </c>
      <c r="C1016" s="24">
        <f t="shared" si="1820"/>
        <v>72901.77882</v>
      </c>
      <c r="D1016" s="25">
        <v>0.05</v>
      </c>
      <c r="E1016" s="24">
        <f t="shared" si="1821"/>
        <v>114.7098804</v>
      </c>
      <c r="F1016" s="25">
        <v>0.02</v>
      </c>
      <c r="G1016" s="24">
        <f t="shared" si="1822"/>
        <v>10414.53983</v>
      </c>
      <c r="H1016" s="25">
        <v>0.05</v>
      </c>
      <c r="I1016" s="24">
        <f t="shared" si="1823"/>
        <v>95.59156699</v>
      </c>
      <c r="J1016" s="25">
        <v>0.02</v>
      </c>
      <c r="K1016" s="25">
        <v>0.0</v>
      </c>
      <c r="L1016" s="24" t="str">
        <f t="shared" ref="L1016:M1016" si="2160">IF(L1015="", "", 1 + IFERROR(MINIFS(OFFSET(L1016, -1, 0, -MIN(ROW()-2, $B1016), 1), OFFSET(L1016, -1, 0, -MIN(ROW()-2, $B1016), 1), "&gt;0"), L1015) + ROUND((L$2 * (LN(1 + $Z1016) ^ U$2) * (U$3 / 100)), 0))</f>
        <v/>
      </c>
      <c r="M1016" s="24">
        <f t="shared" si="2160"/>
        <v>56697</v>
      </c>
      <c r="N1016" s="24" t="str">
        <f t="shared" ref="N1016:O1016" si="2161">IF(N1015="", "", 1 + IFERROR(MINIFS(OFFSET(N1016, -1, 0, -MIN(ROW()-2, $B1016), 1), OFFSET(N1016, -1, 0, -MIN(ROW()-2, $B1016), 1), "&gt;0"), N1015) + ROUND(IFERROR(MINIFS(OFFSET(N1016, -1, 0, -MIN(ROW()-2, $B1016), 1), OFFSET(N1016, -1, 0, -MIN(ROW()-2, $B1016), 1), "&gt;0"), N1015) * ((LN(1 + $Z1016) ^ W$2) * (W$3 / 1000)), 0))</f>
        <v/>
      </c>
      <c r="O1016" s="24" t="str">
        <f t="shared" si="2161"/>
        <v/>
      </c>
      <c r="P1016" s="24">
        <f t="shared" ref="P1016:S1016" si="2162">L1016*$Y$2</f>
        <v>0</v>
      </c>
      <c r="Q1016" s="24">
        <f t="shared" si="2162"/>
        <v>14174.25</v>
      </c>
      <c r="R1016" s="24">
        <f t="shared" si="2162"/>
        <v>0</v>
      </c>
      <c r="S1016" s="24">
        <f t="shared" si="2162"/>
        <v>0</v>
      </c>
      <c r="T1016" s="24">
        <f t="shared" si="4"/>
        <v>13</v>
      </c>
      <c r="Z1016" s="25">
        <f t="shared" si="12"/>
        <v>49.48936125</v>
      </c>
    </row>
    <row r="1017">
      <c r="A1017" s="16" t="s">
        <v>3</v>
      </c>
      <c r="B1017" s="17">
        <v>116.0</v>
      </c>
      <c r="C1017" s="24">
        <f t="shared" si="1820"/>
        <v>76546.86776</v>
      </c>
      <c r="D1017" s="25">
        <v>0.05</v>
      </c>
      <c r="E1017" s="24">
        <f t="shared" si="1821"/>
        <v>117.004078</v>
      </c>
      <c r="F1017" s="25">
        <v>0.02</v>
      </c>
      <c r="G1017" s="24">
        <f t="shared" si="1822"/>
        <v>10935.26682</v>
      </c>
      <c r="H1017" s="25">
        <v>0.05</v>
      </c>
      <c r="I1017" s="24">
        <f t="shared" si="1823"/>
        <v>97.50339833</v>
      </c>
      <c r="J1017" s="25">
        <v>0.02</v>
      </c>
      <c r="K1017" s="25">
        <v>0.0</v>
      </c>
      <c r="L1017" s="24" t="str">
        <f t="shared" ref="L1017:M1017" si="2163">IF(L1016="", "", 1 + IFERROR(MINIFS(OFFSET(L1017, -1, 0, -MIN(ROW()-2, $B1017), 1), OFFSET(L1017, -1, 0, -MIN(ROW()-2, $B1017), 1), "&gt;0"), L1016) + ROUND((L$2 * (LN(1 + $Z1017) ^ U$2) * (U$3 / 100)), 0))</f>
        <v/>
      </c>
      <c r="M1017" s="24">
        <f t="shared" si="2163"/>
        <v>56703</v>
      </c>
      <c r="N1017" s="24" t="str">
        <f t="shared" ref="N1017:O1017" si="2164">IF(N1016="", "", 1 + IFERROR(MINIFS(OFFSET(N1017, -1, 0, -MIN(ROW()-2, $B1017), 1), OFFSET(N1017, -1, 0, -MIN(ROW()-2, $B1017), 1), "&gt;0"), N1016) + ROUND(IFERROR(MINIFS(OFFSET(N1017, -1, 0, -MIN(ROW()-2, $B1017), 1), OFFSET(N1017, -1, 0, -MIN(ROW()-2, $B1017), 1), "&gt;0"), N1016) * ((LN(1 + $Z1017) ^ W$2) * (W$3 / 1000)), 0))</f>
        <v/>
      </c>
      <c r="O1017" s="24" t="str">
        <f t="shared" si="2164"/>
        <v/>
      </c>
      <c r="P1017" s="24">
        <f t="shared" ref="P1017:S1017" si="2165">L1017*$Y$2</f>
        <v>0</v>
      </c>
      <c r="Q1017" s="24">
        <f t="shared" si="2165"/>
        <v>14175.75</v>
      </c>
      <c r="R1017" s="24">
        <f t="shared" si="2165"/>
        <v>0</v>
      </c>
      <c r="S1017" s="24">
        <f t="shared" si="2165"/>
        <v>0</v>
      </c>
      <c r="T1017" s="24">
        <f t="shared" si="4"/>
        <v>13</v>
      </c>
      <c r="Z1017" s="25">
        <f t="shared" si="12"/>
        <v>51.25648889</v>
      </c>
    </row>
    <row r="1018">
      <c r="A1018" s="16" t="s">
        <v>3</v>
      </c>
      <c r="B1018" s="17">
        <v>117.0</v>
      </c>
      <c r="C1018" s="24">
        <f t="shared" si="1820"/>
        <v>80374.21115</v>
      </c>
      <c r="D1018" s="25">
        <v>0.05</v>
      </c>
      <c r="E1018" s="24">
        <f t="shared" si="1821"/>
        <v>119.3441596</v>
      </c>
      <c r="F1018" s="25">
        <v>0.02</v>
      </c>
      <c r="G1018" s="24">
        <f t="shared" si="1822"/>
        <v>11482.03016</v>
      </c>
      <c r="H1018" s="25">
        <v>0.05</v>
      </c>
      <c r="I1018" s="24">
        <f t="shared" si="1823"/>
        <v>99.4534663</v>
      </c>
      <c r="J1018" s="25">
        <v>0.02</v>
      </c>
      <c r="K1018" s="25">
        <v>0.0</v>
      </c>
      <c r="L1018" s="24" t="str">
        <f t="shared" ref="L1018:M1018" si="2166">IF(L1017="", "", 1 + IFERROR(MINIFS(OFFSET(L1018, -1, 0, -MIN(ROW()-2, $B1018), 1), OFFSET(L1018, -1, 0, -MIN(ROW()-2, $B1018), 1), "&gt;0"), L1017) + ROUND((L$2 * (LN(1 + $Z1018) ^ U$2) * (U$3 / 100)), 0))</f>
        <v/>
      </c>
      <c r="M1018" s="24">
        <f t="shared" si="2166"/>
        <v>56709</v>
      </c>
      <c r="N1018" s="24" t="str">
        <f t="shared" ref="N1018:O1018" si="2167">IF(N1017="", "", 1 + IFERROR(MINIFS(OFFSET(N1018, -1, 0, -MIN(ROW()-2, $B1018), 1), OFFSET(N1018, -1, 0, -MIN(ROW()-2, $B1018), 1), "&gt;0"), N1017) + ROUND(IFERROR(MINIFS(OFFSET(N1018, -1, 0, -MIN(ROW()-2, $B1018), 1), OFFSET(N1018, -1, 0, -MIN(ROW()-2, $B1018), 1), "&gt;0"), N1017) * ((LN(1 + $Z1018) ^ W$2) * (W$3 / 1000)), 0))</f>
        <v/>
      </c>
      <c r="O1018" s="24" t="str">
        <f t="shared" si="2167"/>
        <v/>
      </c>
      <c r="P1018" s="24">
        <f t="shared" ref="P1018:S1018" si="2168">L1018*$Y$2</f>
        <v>0</v>
      </c>
      <c r="Q1018" s="24">
        <f t="shared" si="2168"/>
        <v>14177.25</v>
      </c>
      <c r="R1018" s="24">
        <f t="shared" si="2168"/>
        <v>0</v>
      </c>
      <c r="S1018" s="24">
        <f t="shared" si="2168"/>
        <v>0</v>
      </c>
      <c r="T1018" s="24">
        <f t="shared" si="4"/>
        <v>13</v>
      </c>
      <c r="Z1018" s="25">
        <f t="shared" si="12"/>
        <v>53.08546601</v>
      </c>
    </row>
    <row r="1019">
      <c r="A1019" s="16" t="s">
        <v>3</v>
      </c>
      <c r="B1019" s="17">
        <v>118.0</v>
      </c>
      <c r="C1019" s="24">
        <f t="shared" si="1820"/>
        <v>84392.9217</v>
      </c>
      <c r="D1019" s="25">
        <v>0.05</v>
      </c>
      <c r="E1019" s="24">
        <f t="shared" si="1821"/>
        <v>121.7310427</v>
      </c>
      <c r="F1019" s="25">
        <v>0.02</v>
      </c>
      <c r="G1019" s="24">
        <f t="shared" si="1822"/>
        <v>12056.13167</v>
      </c>
      <c r="H1019" s="25">
        <v>0.05</v>
      </c>
      <c r="I1019" s="24">
        <f t="shared" si="1823"/>
        <v>101.4425356</v>
      </c>
      <c r="J1019" s="25">
        <v>0.02</v>
      </c>
      <c r="K1019" s="25">
        <v>0.0</v>
      </c>
      <c r="L1019" s="24" t="str">
        <f t="shared" ref="L1019:M1019" si="2169">IF(L1018="", "", 1 + IFERROR(MINIFS(OFFSET(L1019, -1, 0, -MIN(ROW()-2, $B1019), 1), OFFSET(L1019, -1, 0, -MIN(ROW()-2, $B1019), 1), "&gt;0"), L1018) + ROUND((L$2 * (LN(1 + $Z1019) ^ U$2) * (U$3 / 100)), 0))</f>
        <v/>
      </c>
      <c r="M1019" s="24">
        <f t="shared" si="2169"/>
        <v>56715</v>
      </c>
      <c r="N1019" s="24" t="str">
        <f t="shared" ref="N1019:O1019" si="2170">IF(N1018="", "", 1 + IFERROR(MINIFS(OFFSET(N1019, -1, 0, -MIN(ROW()-2, $B1019), 1), OFFSET(N1019, -1, 0, -MIN(ROW()-2, $B1019), 1), "&gt;0"), N1018) + ROUND(IFERROR(MINIFS(OFFSET(N1019, -1, 0, -MIN(ROW()-2, $B1019), 1), OFFSET(N1019, -1, 0, -MIN(ROW()-2, $B1019), 1), "&gt;0"), N1018) * ((LN(1 + $Z1019) ^ W$2) * (W$3 / 1000)), 0))</f>
        <v/>
      </c>
      <c r="O1019" s="24" t="str">
        <f t="shared" si="2170"/>
        <v/>
      </c>
      <c r="P1019" s="24">
        <f t="shared" ref="P1019:S1019" si="2171">L1019*$Y$2</f>
        <v>0</v>
      </c>
      <c r="Q1019" s="24">
        <f t="shared" si="2171"/>
        <v>14178.75</v>
      </c>
      <c r="R1019" s="24">
        <f t="shared" si="2171"/>
        <v>0</v>
      </c>
      <c r="S1019" s="24">
        <f t="shared" si="2171"/>
        <v>0</v>
      </c>
      <c r="T1019" s="24">
        <f t="shared" si="4"/>
        <v>13</v>
      </c>
      <c r="Z1019" s="25">
        <f t="shared" si="12"/>
        <v>54.97845732</v>
      </c>
    </row>
    <row r="1020">
      <c r="A1020" s="16" t="s">
        <v>3</v>
      </c>
      <c r="B1020" s="17">
        <v>119.0</v>
      </c>
      <c r="C1020" s="24">
        <f t="shared" si="1820"/>
        <v>88612.56779</v>
      </c>
      <c r="D1020" s="25">
        <v>0.05</v>
      </c>
      <c r="E1020" s="24">
        <f t="shared" si="1821"/>
        <v>124.1656636</v>
      </c>
      <c r="F1020" s="25">
        <v>0.02</v>
      </c>
      <c r="G1020" s="24">
        <f t="shared" si="1822"/>
        <v>12658.93826</v>
      </c>
      <c r="H1020" s="25">
        <v>0.05</v>
      </c>
      <c r="I1020" s="24">
        <f t="shared" si="1823"/>
        <v>103.4713863</v>
      </c>
      <c r="J1020" s="25">
        <v>0.02</v>
      </c>
      <c r="K1020" s="25">
        <v>0.0</v>
      </c>
      <c r="L1020" s="24" t="str">
        <f t="shared" ref="L1020:M1020" si="2172">IF(L1019="", "", 1 + IFERROR(MINIFS(OFFSET(L1020, -1, 0, -MIN(ROW()-2, $B1020), 1), OFFSET(L1020, -1, 0, -MIN(ROW()-2, $B1020), 1), "&gt;0"), L1019) + ROUND((L$2 * (LN(1 + $Z1020) ^ U$2) * (U$3 / 100)), 0))</f>
        <v/>
      </c>
      <c r="M1020" s="24">
        <f t="shared" si="2172"/>
        <v>56721</v>
      </c>
      <c r="N1020" s="24" t="str">
        <f t="shared" ref="N1020:O1020" si="2173">IF(N1019="", "", 1 + IFERROR(MINIFS(OFFSET(N1020, -1, 0, -MIN(ROW()-2, $B1020), 1), OFFSET(N1020, -1, 0, -MIN(ROW()-2, $B1020), 1), "&gt;0"), N1019) + ROUND(IFERROR(MINIFS(OFFSET(N1020, -1, 0, -MIN(ROW()-2, $B1020), 1), OFFSET(N1020, -1, 0, -MIN(ROW()-2, $B1020), 1), "&gt;0"), N1019) * ((LN(1 + $Z1020) ^ W$2) * (W$3 / 1000)), 0))</f>
        <v/>
      </c>
      <c r="O1020" s="24" t="str">
        <f t="shared" si="2173"/>
        <v/>
      </c>
      <c r="P1020" s="24">
        <f t="shared" ref="P1020:S1020" si="2174">L1020*$Y$2</f>
        <v>0</v>
      </c>
      <c r="Q1020" s="24">
        <f t="shared" si="2174"/>
        <v>14180.25</v>
      </c>
      <c r="R1020" s="24">
        <f t="shared" si="2174"/>
        <v>0</v>
      </c>
      <c r="S1020" s="24">
        <f t="shared" si="2174"/>
        <v>0</v>
      </c>
      <c r="T1020" s="24">
        <f t="shared" si="4"/>
        <v>13</v>
      </c>
      <c r="Z1020" s="25">
        <f t="shared" si="12"/>
        <v>56.93770332</v>
      </c>
    </row>
    <row r="1021">
      <c r="A1021" s="16" t="s">
        <v>3</v>
      </c>
      <c r="B1021" s="17">
        <v>120.0</v>
      </c>
      <c r="C1021" s="24">
        <f t="shared" si="1820"/>
        <v>93043.19618</v>
      </c>
      <c r="D1021" s="25">
        <v>0.05</v>
      </c>
      <c r="E1021" s="24">
        <f t="shared" si="1821"/>
        <v>126.6489769</v>
      </c>
      <c r="F1021" s="25">
        <v>0.02</v>
      </c>
      <c r="G1021" s="24">
        <f t="shared" si="1822"/>
        <v>13291.88517</v>
      </c>
      <c r="H1021" s="25">
        <v>0.05</v>
      </c>
      <c r="I1021" s="24">
        <f t="shared" si="1823"/>
        <v>105.5408141</v>
      </c>
      <c r="J1021" s="25">
        <v>0.02</v>
      </c>
      <c r="K1021" s="25">
        <v>0.0</v>
      </c>
      <c r="L1021" s="24" t="str">
        <f t="shared" ref="L1021:M1021" si="2175">IF(L1020="", "", 1 + IFERROR(MINIFS(OFFSET(L1021, -1, 0, -MIN(ROW()-2, $B1021), 1), OFFSET(L1021, -1, 0, -MIN(ROW()-2, $B1021), 1), "&gt;0"), L1020) + ROUND((L$2 * (LN(1 + $Z1021) ^ U$2) * (U$3 / 100)), 0))</f>
        <v/>
      </c>
      <c r="M1021" s="24">
        <f t="shared" si="2175"/>
        <v>56727</v>
      </c>
      <c r="N1021" s="24" t="str">
        <f t="shared" ref="N1021:O1021" si="2176">IF(N1020="", "", 1 + IFERROR(MINIFS(OFFSET(N1021, -1, 0, -MIN(ROW()-2, $B1021), 1), OFFSET(N1021, -1, 0, -MIN(ROW()-2, $B1021), 1), "&gt;0"), N1020) + ROUND(IFERROR(MINIFS(OFFSET(N1021, -1, 0, -MIN(ROW()-2, $B1021), 1), OFFSET(N1021, -1, 0, -MIN(ROW()-2, $B1021), 1), "&gt;0"), N1020) * ((LN(1 + $Z1021) ^ W$2) * (W$3 / 1000)), 0))</f>
        <v/>
      </c>
      <c r="O1021" s="24" t="str">
        <f t="shared" si="2176"/>
        <v/>
      </c>
      <c r="P1021" s="24">
        <f t="shared" ref="P1021:S1021" si="2177">L1021*$Y$2</f>
        <v>0</v>
      </c>
      <c r="Q1021" s="24">
        <f t="shared" si="2177"/>
        <v>14181.75</v>
      </c>
      <c r="R1021" s="24">
        <f t="shared" si="2177"/>
        <v>0</v>
      </c>
      <c r="S1021" s="24">
        <f t="shared" si="2177"/>
        <v>0</v>
      </c>
      <c r="T1021" s="24">
        <f t="shared" si="4"/>
        <v>13</v>
      </c>
      <c r="Z1021" s="25">
        <f t="shared" si="12"/>
        <v>58.96552294</v>
      </c>
    </row>
    <row r="1022">
      <c r="A1022" s="16" t="s">
        <v>3</v>
      </c>
      <c r="B1022" s="17">
        <v>121.0</v>
      </c>
      <c r="C1022" s="24">
        <f t="shared" si="1820"/>
        <v>97695.35599</v>
      </c>
      <c r="D1022" s="25">
        <v>0.05</v>
      </c>
      <c r="E1022" s="24">
        <f t="shared" si="1821"/>
        <v>129.1819564</v>
      </c>
      <c r="F1022" s="25">
        <v>0.02</v>
      </c>
      <c r="G1022" s="24">
        <f t="shared" si="1822"/>
        <v>13956.47943</v>
      </c>
      <c r="H1022" s="25">
        <v>0.05</v>
      </c>
      <c r="I1022" s="24">
        <f t="shared" si="1823"/>
        <v>107.6516303</v>
      </c>
      <c r="J1022" s="25">
        <v>0.02</v>
      </c>
      <c r="K1022" s="25">
        <v>0.0</v>
      </c>
      <c r="L1022" s="24" t="str">
        <f t="shared" ref="L1022:M1022" si="2178">IF(L1021="", "", 1 + IFERROR(MINIFS(OFFSET(L1022, -1, 0, -MIN(ROW()-2, $B1022), 1), OFFSET(L1022, -1, 0, -MIN(ROW()-2, $B1022), 1), "&gt;0"), L1021) + ROUND((L$2 * (LN(1 + $Z1022) ^ U$2) * (U$3 / 100)), 0))</f>
        <v/>
      </c>
      <c r="M1022" s="24">
        <f t="shared" si="2178"/>
        <v>56733</v>
      </c>
      <c r="N1022" s="24" t="str">
        <f t="shared" ref="N1022:O1022" si="2179">IF(N1021="", "", 1 + IFERROR(MINIFS(OFFSET(N1022, -1, 0, -MIN(ROW()-2, $B1022), 1), OFFSET(N1022, -1, 0, -MIN(ROW()-2, $B1022), 1), "&gt;0"), N1021) + ROUND(IFERROR(MINIFS(OFFSET(N1022, -1, 0, -MIN(ROW()-2, $B1022), 1), OFFSET(N1022, -1, 0, -MIN(ROW()-2, $B1022), 1), "&gt;0"), N1021) * ((LN(1 + $Z1022) ^ W$2) * (W$3 / 1000)), 0))</f>
        <v/>
      </c>
      <c r="O1022" s="24" t="str">
        <f t="shared" si="2179"/>
        <v/>
      </c>
      <c r="P1022" s="24">
        <f t="shared" ref="P1022:S1022" si="2180">L1022*$Y$2</f>
        <v>0</v>
      </c>
      <c r="Q1022" s="24">
        <f t="shared" si="2180"/>
        <v>14183.25</v>
      </c>
      <c r="R1022" s="24">
        <f t="shared" si="2180"/>
        <v>0</v>
      </c>
      <c r="S1022" s="24">
        <f t="shared" si="2180"/>
        <v>0</v>
      </c>
      <c r="T1022" s="24">
        <f t="shared" si="4"/>
        <v>13</v>
      </c>
      <c r="Z1022" s="25">
        <f t="shared" si="12"/>
        <v>61.06431624</v>
      </c>
    </row>
    <row r="1023">
      <c r="A1023" s="16" t="s">
        <v>3</v>
      </c>
      <c r="B1023" s="17">
        <v>122.0</v>
      </c>
      <c r="C1023" s="24">
        <f t="shared" si="1820"/>
        <v>102580.1238</v>
      </c>
      <c r="D1023" s="25">
        <v>0.05</v>
      </c>
      <c r="E1023" s="24">
        <f t="shared" si="1821"/>
        <v>131.7655955</v>
      </c>
      <c r="F1023" s="25">
        <v>0.02</v>
      </c>
      <c r="G1023" s="24">
        <f t="shared" si="1822"/>
        <v>14654.3034</v>
      </c>
      <c r="H1023" s="25">
        <v>0.05</v>
      </c>
      <c r="I1023" s="24">
        <f t="shared" si="1823"/>
        <v>109.8046629</v>
      </c>
      <c r="J1023" s="25">
        <v>0.02</v>
      </c>
      <c r="K1023" s="25">
        <v>0.0</v>
      </c>
      <c r="L1023" s="24" t="str">
        <f t="shared" ref="L1023:M1023" si="2181">IF(L1022="", "", 1 + IFERROR(MINIFS(OFFSET(L1023, -1, 0, -MIN(ROW()-2, $B1023), 1), OFFSET(L1023, -1, 0, -MIN(ROW()-2, $B1023), 1), "&gt;0"), L1022) + ROUND((L$2 * (LN(1 + $Z1023) ^ U$2) * (U$3 / 100)), 0))</f>
        <v/>
      </c>
      <c r="M1023" s="24">
        <f t="shared" si="2181"/>
        <v>56739</v>
      </c>
      <c r="N1023" s="24" t="str">
        <f t="shared" ref="N1023:O1023" si="2182">IF(N1022="", "", 1 + IFERROR(MINIFS(OFFSET(N1023, -1, 0, -MIN(ROW()-2, $B1023), 1), OFFSET(N1023, -1, 0, -MIN(ROW()-2, $B1023), 1), "&gt;0"), N1022) + ROUND(IFERROR(MINIFS(OFFSET(N1023, -1, 0, -MIN(ROW()-2, $B1023), 1), OFFSET(N1023, -1, 0, -MIN(ROW()-2, $B1023), 1), "&gt;0"), N1022) * ((LN(1 + $Z1023) ^ W$2) * (W$3 / 1000)), 0))</f>
        <v/>
      </c>
      <c r="O1023" s="24" t="str">
        <f t="shared" si="2182"/>
        <v/>
      </c>
      <c r="P1023" s="24">
        <f t="shared" ref="P1023:S1023" si="2183">L1023*$Y$2</f>
        <v>0</v>
      </c>
      <c r="Q1023" s="24">
        <f t="shared" si="2183"/>
        <v>14184.75</v>
      </c>
      <c r="R1023" s="24">
        <f t="shared" si="2183"/>
        <v>0</v>
      </c>
      <c r="S1023" s="24">
        <f t="shared" si="2183"/>
        <v>0</v>
      </c>
      <c r="T1023" s="24">
        <f t="shared" si="4"/>
        <v>13</v>
      </c>
      <c r="Z1023" s="25">
        <f t="shared" si="12"/>
        <v>63.23656731</v>
      </c>
    </row>
    <row r="1024">
      <c r="A1024" s="16" t="s">
        <v>3</v>
      </c>
      <c r="B1024" s="17">
        <v>123.0</v>
      </c>
      <c r="C1024" s="24">
        <f t="shared" si="1820"/>
        <v>107709.13</v>
      </c>
      <c r="D1024" s="25">
        <v>0.05</v>
      </c>
      <c r="E1024" s="24">
        <f t="shared" si="1821"/>
        <v>134.4009074</v>
      </c>
      <c r="F1024" s="25">
        <v>0.02</v>
      </c>
      <c r="G1024" s="24">
        <f t="shared" si="1822"/>
        <v>15387.01857</v>
      </c>
      <c r="H1024" s="25">
        <v>0.05</v>
      </c>
      <c r="I1024" s="24">
        <f t="shared" si="1823"/>
        <v>112.0007562</v>
      </c>
      <c r="J1024" s="25">
        <v>0.02</v>
      </c>
      <c r="K1024" s="25">
        <v>0.0</v>
      </c>
      <c r="L1024" s="24" t="str">
        <f t="shared" ref="L1024:M1024" si="2184">IF(L1023="", "", 1 + IFERROR(MINIFS(OFFSET(L1024, -1, 0, -MIN(ROW()-2, $B1024), 1), OFFSET(L1024, -1, 0, -MIN(ROW()-2, $B1024), 1), "&gt;0"), L1023) + ROUND((L$2 * (LN(1 + $Z1024) ^ U$2) * (U$3 / 100)), 0))</f>
        <v/>
      </c>
      <c r="M1024" s="24">
        <f t="shared" si="2184"/>
        <v>56745</v>
      </c>
      <c r="N1024" s="24" t="str">
        <f t="shared" ref="N1024:O1024" si="2185">IF(N1023="", "", 1 + IFERROR(MINIFS(OFFSET(N1024, -1, 0, -MIN(ROW()-2, $B1024), 1), OFFSET(N1024, -1, 0, -MIN(ROW()-2, $B1024), 1), "&gt;0"), N1023) + ROUND(IFERROR(MINIFS(OFFSET(N1024, -1, 0, -MIN(ROW()-2, $B1024), 1), OFFSET(N1024, -1, 0, -MIN(ROW()-2, $B1024), 1), "&gt;0"), N1023) * ((LN(1 + $Z1024) ^ W$2) * (W$3 / 1000)), 0))</f>
        <v/>
      </c>
      <c r="O1024" s="24" t="str">
        <f t="shared" si="2185"/>
        <v/>
      </c>
      <c r="P1024" s="24">
        <f t="shared" ref="P1024:S1024" si="2186">L1024*$Y$2</f>
        <v>0</v>
      </c>
      <c r="Q1024" s="24">
        <f t="shared" si="2186"/>
        <v>14186.25</v>
      </c>
      <c r="R1024" s="24">
        <f t="shared" si="2186"/>
        <v>0</v>
      </c>
      <c r="S1024" s="24">
        <f t="shared" si="2186"/>
        <v>0</v>
      </c>
      <c r="T1024" s="24">
        <f t="shared" si="4"/>
        <v>13</v>
      </c>
      <c r="Z1024" s="25">
        <f t="shared" si="12"/>
        <v>65.48484716</v>
      </c>
    </row>
    <row r="1025">
      <c r="A1025" s="16" t="s">
        <v>3</v>
      </c>
      <c r="B1025" s="17">
        <v>124.0</v>
      </c>
      <c r="C1025" s="24">
        <f t="shared" si="1820"/>
        <v>113094.5865</v>
      </c>
      <c r="D1025" s="25">
        <v>0.05</v>
      </c>
      <c r="E1025" s="24">
        <f t="shared" si="1821"/>
        <v>137.0889256</v>
      </c>
      <c r="F1025" s="25">
        <v>0.02</v>
      </c>
      <c r="G1025" s="24">
        <f t="shared" si="1822"/>
        <v>16156.3695</v>
      </c>
      <c r="H1025" s="25">
        <v>0.05</v>
      </c>
      <c r="I1025" s="24">
        <f t="shared" si="1823"/>
        <v>114.2407713</v>
      </c>
      <c r="J1025" s="25">
        <v>0.02</v>
      </c>
      <c r="K1025" s="25">
        <v>0.0</v>
      </c>
      <c r="L1025" s="24" t="str">
        <f t="shared" ref="L1025:M1025" si="2187">IF(L1024="", "", 1 + IFERROR(MINIFS(OFFSET(L1025, -1, 0, -MIN(ROW()-2, $B1025), 1), OFFSET(L1025, -1, 0, -MIN(ROW()-2, $B1025), 1), "&gt;0"), L1024) + ROUND((L$2 * (LN(1 + $Z1025) ^ U$2) * (U$3 / 100)), 0))</f>
        <v/>
      </c>
      <c r="M1025" s="24">
        <f t="shared" si="2187"/>
        <v>56751</v>
      </c>
      <c r="N1025" s="24" t="str">
        <f t="shared" ref="N1025:O1025" si="2188">IF(N1024="", "", 1 + IFERROR(MINIFS(OFFSET(N1025, -1, 0, -MIN(ROW()-2, $B1025), 1), OFFSET(N1025, -1, 0, -MIN(ROW()-2, $B1025), 1), "&gt;0"), N1024) + ROUND(IFERROR(MINIFS(OFFSET(N1025, -1, 0, -MIN(ROW()-2, $B1025), 1), OFFSET(N1025, -1, 0, -MIN(ROW()-2, $B1025), 1), "&gt;0"), N1024) * ((LN(1 + $Z1025) ^ W$2) * (W$3 / 1000)), 0))</f>
        <v/>
      </c>
      <c r="O1025" s="24" t="str">
        <f t="shared" si="2188"/>
        <v/>
      </c>
      <c r="P1025" s="24">
        <f t="shared" ref="P1025:S1025" si="2189">L1025*$Y$2</f>
        <v>0</v>
      </c>
      <c r="Q1025" s="24">
        <f t="shared" si="2189"/>
        <v>14187.75</v>
      </c>
      <c r="R1025" s="24">
        <f t="shared" si="2189"/>
        <v>0</v>
      </c>
      <c r="S1025" s="24">
        <f t="shared" si="2189"/>
        <v>0</v>
      </c>
      <c r="T1025" s="24">
        <f t="shared" si="4"/>
        <v>13</v>
      </c>
      <c r="Z1025" s="25">
        <f t="shared" si="12"/>
        <v>67.81181682</v>
      </c>
    </row>
    <row r="1026">
      <c r="A1026" s="16" t="s">
        <v>3</v>
      </c>
      <c r="B1026" s="17">
        <v>125.0</v>
      </c>
      <c r="C1026" s="24">
        <f t="shared" si="1820"/>
        <v>118749.3158</v>
      </c>
      <c r="D1026" s="25">
        <v>0.05</v>
      </c>
      <c r="E1026" s="24">
        <f t="shared" si="1821"/>
        <v>139.8307041</v>
      </c>
      <c r="F1026" s="25">
        <v>0.02</v>
      </c>
      <c r="G1026" s="24">
        <f t="shared" si="1822"/>
        <v>16964.18797</v>
      </c>
      <c r="H1026" s="25">
        <v>0.05</v>
      </c>
      <c r="I1026" s="24">
        <f t="shared" si="1823"/>
        <v>116.5255868</v>
      </c>
      <c r="J1026" s="25">
        <v>0.02</v>
      </c>
      <c r="K1026" s="25">
        <v>0.0</v>
      </c>
      <c r="L1026" s="24" t="str">
        <f t="shared" ref="L1026:M1026" si="2190">IF(L1025="", "", 1 + IFERROR(MINIFS(OFFSET(L1026, -1, 0, -MIN(ROW()-2, $B1026), 1), OFFSET(L1026, -1, 0, -MIN(ROW()-2, $B1026), 1), "&gt;0"), L1025) + ROUND((L$2 * (LN(1 + $Z1026) ^ U$2) * (U$3 / 100)), 0))</f>
        <v/>
      </c>
      <c r="M1026" s="24">
        <f t="shared" si="2190"/>
        <v>56758</v>
      </c>
      <c r="N1026" s="24" t="str">
        <f t="shared" ref="N1026:O1026" si="2191">IF(N1025="", "", 1 + IFERROR(MINIFS(OFFSET(N1026, -1, 0, -MIN(ROW()-2, $B1026), 1), OFFSET(N1026, -1, 0, -MIN(ROW()-2, $B1026), 1), "&gt;0"), N1025) + ROUND(IFERROR(MINIFS(OFFSET(N1026, -1, 0, -MIN(ROW()-2, $B1026), 1), OFFSET(N1026, -1, 0, -MIN(ROW()-2, $B1026), 1), "&gt;0"), N1025) * ((LN(1 + $Z1026) ^ W$2) * (W$3 / 1000)), 0))</f>
        <v/>
      </c>
      <c r="O1026" s="24" t="str">
        <f t="shared" si="2191"/>
        <v/>
      </c>
      <c r="P1026" s="24">
        <f t="shared" ref="P1026:S1026" si="2192">L1026*$Y$2</f>
        <v>0</v>
      </c>
      <c r="Q1026" s="24">
        <f t="shared" si="2192"/>
        <v>14189.5</v>
      </c>
      <c r="R1026" s="24">
        <f t="shared" si="2192"/>
        <v>0</v>
      </c>
      <c r="S1026" s="24">
        <f t="shared" si="2192"/>
        <v>0</v>
      </c>
      <c r="T1026" s="24">
        <f t="shared" si="4"/>
        <v>14</v>
      </c>
      <c r="Z1026" s="25">
        <f t="shared" si="12"/>
        <v>70.2202304</v>
      </c>
    </row>
    <row r="1027">
      <c r="A1027" s="16" t="s">
        <v>3</v>
      </c>
      <c r="B1027" s="17">
        <v>126.0</v>
      </c>
      <c r="C1027" s="24">
        <f t="shared" si="1820"/>
        <v>124686.7816</v>
      </c>
      <c r="D1027" s="25">
        <v>0.05</v>
      </c>
      <c r="E1027" s="24">
        <f t="shared" si="1821"/>
        <v>142.6273182</v>
      </c>
      <c r="F1027" s="25">
        <v>0.02</v>
      </c>
      <c r="G1027" s="24">
        <f t="shared" si="1822"/>
        <v>17812.39737</v>
      </c>
      <c r="H1027" s="25">
        <v>0.05</v>
      </c>
      <c r="I1027" s="24">
        <f t="shared" si="1823"/>
        <v>118.8560985</v>
      </c>
      <c r="J1027" s="25">
        <v>0.02</v>
      </c>
      <c r="K1027" s="25">
        <v>0.0</v>
      </c>
      <c r="L1027" s="24" t="str">
        <f t="shared" ref="L1027:M1027" si="2193">IF(L1026="", "", 1 + IFERROR(MINIFS(OFFSET(L1027, -1, 0, -MIN(ROW()-2, $B1027), 1), OFFSET(L1027, -1, 0, -MIN(ROW()-2, $B1027), 1), "&gt;0"), L1026) + ROUND((L$2 * (LN(1 + $Z1027) ^ U$2) * (U$3 / 100)), 0))</f>
        <v/>
      </c>
      <c r="M1027" s="24">
        <f t="shared" si="2193"/>
        <v>56765</v>
      </c>
      <c r="N1027" s="24" t="str">
        <f t="shared" ref="N1027:O1027" si="2194">IF(N1026="", "", 1 + IFERROR(MINIFS(OFFSET(N1027, -1, 0, -MIN(ROW()-2, $B1027), 1), OFFSET(N1027, -1, 0, -MIN(ROW()-2, $B1027), 1), "&gt;0"), N1026) + ROUND(IFERROR(MINIFS(OFFSET(N1027, -1, 0, -MIN(ROW()-2, $B1027), 1), OFFSET(N1027, -1, 0, -MIN(ROW()-2, $B1027), 1), "&gt;0"), N1026) * ((LN(1 + $Z1027) ^ W$2) * (W$3 / 1000)), 0))</f>
        <v/>
      </c>
      <c r="O1027" s="24" t="str">
        <f t="shared" si="2194"/>
        <v/>
      </c>
      <c r="P1027" s="24">
        <f t="shared" ref="P1027:S1027" si="2195">L1027*$Y$2</f>
        <v>0</v>
      </c>
      <c r="Q1027" s="24">
        <f t="shared" si="2195"/>
        <v>14191.25</v>
      </c>
      <c r="R1027" s="24">
        <f t="shared" si="2195"/>
        <v>0</v>
      </c>
      <c r="S1027" s="24">
        <f t="shared" si="2195"/>
        <v>0</v>
      </c>
      <c r="T1027" s="24">
        <f t="shared" si="4"/>
        <v>14</v>
      </c>
      <c r="Z1027" s="25">
        <f t="shared" si="12"/>
        <v>72.71293847</v>
      </c>
    </row>
    <row r="1028">
      <c r="A1028" s="16" t="s">
        <v>3</v>
      </c>
      <c r="B1028" s="17">
        <v>127.0</v>
      </c>
      <c r="C1028" s="24">
        <f t="shared" si="1820"/>
        <v>130921.1207</v>
      </c>
      <c r="D1028" s="25">
        <v>0.05</v>
      </c>
      <c r="E1028" s="24">
        <f t="shared" si="1821"/>
        <v>145.4798646</v>
      </c>
      <c r="F1028" s="25">
        <v>0.02</v>
      </c>
      <c r="G1028" s="24">
        <f t="shared" si="1822"/>
        <v>18703.01724</v>
      </c>
      <c r="H1028" s="25">
        <v>0.05</v>
      </c>
      <c r="I1028" s="24">
        <f t="shared" si="1823"/>
        <v>121.2332205</v>
      </c>
      <c r="J1028" s="25">
        <v>0.02</v>
      </c>
      <c r="K1028" s="25">
        <v>0.0</v>
      </c>
      <c r="L1028" s="24" t="str">
        <f t="shared" ref="L1028:M1028" si="2196">IF(L1027="", "", 1 + IFERROR(MINIFS(OFFSET(L1028, -1, 0, -MIN(ROW()-2, $B1028), 1), OFFSET(L1028, -1, 0, -MIN(ROW()-2, $B1028), 1), "&gt;0"), L1027) + ROUND((L$2 * (LN(1 + $Z1028) ^ U$2) * (U$3 / 100)), 0))</f>
        <v/>
      </c>
      <c r="M1028" s="24">
        <f t="shared" si="2196"/>
        <v>56772</v>
      </c>
      <c r="N1028" s="24" t="str">
        <f t="shared" ref="N1028:O1028" si="2197">IF(N1027="", "", 1 + IFERROR(MINIFS(OFFSET(N1028, -1, 0, -MIN(ROW()-2, $B1028), 1), OFFSET(N1028, -1, 0, -MIN(ROW()-2, $B1028), 1), "&gt;0"), N1027) + ROUND(IFERROR(MINIFS(OFFSET(N1028, -1, 0, -MIN(ROW()-2, $B1028), 1), OFFSET(N1028, -1, 0, -MIN(ROW()-2, $B1028), 1), "&gt;0"), N1027) * ((LN(1 + $Z1028) ^ W$2) * (W$3 / 1000)), 0))</f>
        <v/>
      </c>
      <c r="O1028" s="24" t="str">
        <f t="shared" si="2197"/>
        <v/>
      </c>
      <c r="P1028" s="24">
        <f t="shared" ref="P1028:S1028" si="2198">L1028*$Y$2</f>
        <v>0</v>
      </c>
      <c r="Q1028" s="24">
        <f t="shared" si="2198"/>
        <v>14193</v>
      </c>
      <c r="R1028" s="24">
        <f t="shared" si="2198"/>
        <v>0</v>
      </c>
      <c r="S1028" s="24">
        <f t="shared" si="2198"/>
        <v>0</v>
      </c>
      <c r="T1028" s="24">
        <f t="shared" si="4"/>
        <v>14</v>
      </c>
      <c r="Z1028" s="25">
        <f t="shared" si="12"/>
        <v>75.29289131</v>
      </c>
    </row>
    <row r="1029">
      <c r="A1029" s="16" t="s">
        <v>3</v>
      </c>
      <c r="B1029" s="17">
        <v>128.0</v>
      </c>
      <c r="C1029" s="24">
        <f t="shared" si="1820"/>
        <v>137467.1767</v>
      </c>
      <c r="D1029" s="25">
        <v>0.05</v>
      </c>
      <c r="E1029" s="24">
        <f t="shared" si="1821"/>
        <v>148.3894618</v>
      </c>
      <c r="F1029" s="25">
        <v>0.02</v>
      </c>
      <c r="G1029" s="24">
        <f t="shared" si="1822"/>
        <v>19638.1681</v>
      </c>
      <c r="H1029" s="25">
        <v>0.05</v>
      </c>
      <c r="I1029" s="24">
        <f t="shared" si="1823"/>
        <v>123.6578849</v>
      </c>
      <c r="J1029" s="25">
        <v>0.02</v>
      </c>
      <c r="K1029" s="25">
        <v>0.0</v>
      </c>
      <c r="L1029" s="24" t="str">
        <f t="shared" ref="L1029:M1029" si="2199">IF(L1028="", "", 1 + IFERROR(MINIFS(OFFSET(L1029, -1, 0, -MIN(ROW()-2, $B1029), 1), OFFSET(L1029, -1, 0, -MIN(ROW()-2, $B1029), 1), "&gt;0"), L1028) + ROUND((L$2 * (LN(1 + $Z1029) ^ U$2) * (U$3 / 100)), 0))</f>
        <v/>
      </c>
      <c r="M1029" s="24">
        <f t="shared" si="2199"/>
        <v>56779</v>
      </c>
      <c r="N1029" s="24" t="str">
        <f t="shared" ref="N1029:O1029" si="2200">IF(N1028="", "", 1 + IFERROR(MINIFS(OFFSET(N1029, -1, 0, -MIN(ROW()-2, $B1029), 1), OFFSET(N1029, -1, 0, -MIN(ROW()-2, $B1029), 1), "&gt;0"), N1028) + ROUND(IFERROR(MINIFS(OFFSET(N1029, -1, 0, -MIN(ROW()-2, $B1029), 1), OFFSET(N1029, -1, 0, -MIN(ROW()-2, $B1029), 1), "&gt;0"), N1028) * ((LN(1 + $Z1029) ^ W$2) * (W$3 / 1000)), 0))</f>
        <v/>
      </c>
      <c r="O1029" s="24" t="str">
        <f t="shared" si="2200"/>
        <v/>
      </c>
      <c r="P1029" s="24">
        <f t="shared" ref="P1029:S1029" si="2201">L1029*$Y$2</f>
        <v>0</v>
      </c>
      <c r="Q1029" s="24">
        <f t="shared" si="2201"/>
        <v>14194.75</v>
      </c>
      <c r="R1029" s="24">
        <f t="shared" si="2201"/>
        <v>0</v>
      </c>
      <c r="S1029" s="24">
        <f t="shared" si="2201"/>
        <v>0</v>
      </c>
      <c r="T1029" s="24">
        <f t="shared" si="4"/>
        <v>14</v>
      </c>
      <c r="Z1029" s="25">
        <f t="shared" si="12"/>
        <v>77.96314251</v>
      </c>
    </row>
    <row r="1030">
      <c r="A1030" s="16" t="s">
        <v>3</v>
      </c>
      <c r="B1030" s="17">
        <v>129.0</v>
      </c>
      <c r="C1030" s="24">
        <f t="shared" si="1820"/>
        <v>144340.5355</v>
      </c>
      <c r="D1030" s="25">
        <v>0.05</v>
      </c>
      <c r="E1030" s="24">
        <f t="shared" si="1821"/>
        <v>151.3572511</v>
      </c>
      <c r="F1030" s="25">
        <v>0.02</v>
      </c>
      <c r="G1030" s="24">
        <f t="shared" si="1822"/>
        <v>20620.07651</v>
      </c>
      <c r="H1030" s="25">
        <v>0.05</v>
      </c>
      <c r="I1030" s="24">
        <f t="shared" si="1823"/>
        <v>126.1310426</v>
      </c>
      <c r="J1030" s="25">
        <v>0.02</v>
      </c>
      <c r="K1030" s="25">
        <v>0.0</v>
      </c>
      <c r="L1030" s="24" t="str">
        <f t="shared" ref="L1030:M1030" si="2202">IF(L1029="", "", 1 + IFERROR(MINIFS(OFFSET(L1030, -1, 0, -MIN(ROW()-2, $B1030), 1), OFFSET(L1030, -1, 0, -MIN(ROW()-2, $B1030), 1), "&gt;0"), L1029) + ROUND((L$2 * (LN(1 + $Z1030) ^ U$2) * (U$3 / 100)), 0))</f>
        <v/>
      </c>
      <c r="M1030" s="24">
        <f t="shared" si="2202"/>
        <v>56786</v>
      </c>
      <c r="N1030" s="24" t="str">
        <f t="shared" ref="N1030:O1030" si="2203">IF(N1029="", "", 1 + IFERROR(MINIFS(OFFSET(N1030, -1, 0, -MIN(ROW()-2, $B1030), 1), OFFSET(N1030, -1, 0, -MIN(ROW()-2, $B1030), 1), "&gt;0"), N1029) + ROUND(IFERROR(MINIFS(OFFSET(N1030, -1, 0, -MIN(ROW()-2, $B1030), 1), OFFSET(N1030, -1, 0, -MIN(ROW()-2, $B1030), 1), "&gt;0"), N1029) * ((LN(1 + $Z1030) ^ W$2) * (W$3 / 1000)), 0))</f>
        <v/>
      </c>
      <c r="O1030" s="24" t="str">
        <f t="shared" si="2203"/>
        <v/>
      </c>
      <c r="P1030" s="24">
        <f t="shared" ref="P1030:S1030" si="2204">L1030*$Y$2</f>
        <v>0</v>
      </c>
      <c r="Q1030" s="24">
        <f t="shared" si="2204"/>
        <v>14196.5</v>
      </c>
      <c r="R1030" s="24">
        <f t="shared" si="2204"/>
        <v>0</v>
      </c>
      <c r="S1030" s="24">
        <f t="shared" si="2204"/>
        <v>0</v>
      </c>
      <c r="T1030" s="24">
        <f t="shared" si="4"/>
        <v>14</v>
      </c>
      <c r="Z1030" s="25">
        <f t="shared" si="12"/>
        <v>80.7268525</v>
      </c>
    </row>
    <row r="1031">
      <c r="A1031" s="16" t="s">
        <v>3</v>
      </c>
      <c r="B1031" s="17">
        <v>130.0</v>
      </c>
      <c r="C1031" s="24">
        <f t="shared" si="1820"/>
        <v>151557.5623</v>
      </c>
      <c r="D1031" s="25">
        <v>0.05</v>
      </c>
      <c r="E1031" s="24">
        <f t="shared" si="1821"/>
        <v>154.3843961</v>
      </c>
      <c r="F1031" s="25">
        <v>0.02</v>
      </c>
      <c r="G1031" s="24">
        <f t="shared" si="1822"/>
        <v>21651.08033</v>
      </c>
      <c r="H1031" s="25">
        <v>0.05</v>
      </c>
      <c r="I1031" s="24">
        <f t="shared" si="1823"/>
        <v>128.6536634</v>
      </c>
      <c r="J1031" s="25">
        <v>0.02</v>
      </c>
      <c r="K1031" s="25">
        <v>0.0</v>
      </c>
      <c r="L1031" s="24" t="str">
        <f t="shared" ref="L1031:M1031" si="2205">IF(L1030="", "", 1 + IFERROR(MINIFS(OFFSET(L1031, -1, 0, -MIN(ROW()-2, $B1031), 1), OFFSET(L1031, -1, 0, -MIN(ROW()-2, $B1031), 1), "&gt;0"), L1030) + ROUND((L$2 * (LN(1 + $Z1031) ^ U$2) * (U$3 / 100)), 0))</f>
        <v/>
      </c>
      <c r="M1031" s="24">
        <f t="shared" si="2205"/>
        <v>56793</v>
      </c>
      <c r="N1031" s="24" t="str">
        <f t="shared" ref="N1031:O1031" si="2206">IF(N1030="", "", 1 + IFERROR(MINIFS(OFFSET(N1031, -1, 0, -MIN(ROW()-2, $B1031), 1), OFFSET(N1031, -1, 0, -MIN(ROW()-2, $B1031), 1), "&gt;0"), N1030) + ROUND(IFERROR(MINIFS(OFFSET(N1031, -1, 0, -MIN(ROW()-2, $B1031), 1), OFFSET(N1031, -1, 0, -MIN(ROW()-2, $B1031), 1), "&gt;0"), N1030) * ((LN(1 + $Z1031) ^ W$2) * (W$3 / 1000)), 0))</f>
        <v/>
      </c>
      <c r="O1031" s="24" t="str">
        <f t="shared" si="2206"/>
        <v/>
      </c>
      <c r="P1031" s="24">
        <f t="shared" ref="P1031:S1031" si="2207">L1031*$Y$2</f>
        <v>0</v>
      </c>
      <c r="Q1031" s="24">
        <f t="shared" si="2207"/>
        <v>14198.25</v>
      </c>
      <c r="R1031" s="24">
        <f t="shared" si="2207"/>
        <v>0</v>
      </c>
      <c r="S1031" s="24">
        <f t="shared" si="2207"/>
        <v>0</v>
      </c>
      <c r="T1031" s="24">
        <f t="shared" si="4"/>
        <v>14</v>
      </c>
      <c r="Z1031" s="25">
        <f t="shared" si="12"/>
        <v>83.58729234</v>
      </c>
    </row>
    <row r="1032">
      <c r="A1032" s="16" t="s">
        <v>3</v>
      </c>
      <c r="B1032" s="17">
        <v>131.0</v>
      </c>
      <c r="C1032" s="24">
        <f t="shared" si="1820"/>
        <v>159135.4404</v>
      </c>
      <c r="D1032" s="25">
        <v>0.05</v>
      </c>
      <c r="E1032" s="24">
        <f t="shared" si="1821"/>
        <v>157.472084</v>
      </c>
      <c r="F1032" s="25">
        <v>0.02</v>
      </c>
      <c r="G1032" s="24">
        <f t="shared" si="1822"/>
        <v>22733.63435</v>
      </c>
      <c r="H1032" s="25">
        <v>0.05</v>
      </c>
      <c r="I1032" s="24">
        <f t="shared" si="1823"/>
        <v>131.2267367</v>
      </c>
      <c r="J1032" s="25">
        <v>0.02</v>
      </c>
      <c r="K1032" s="25">
        <v>0.0</v>
      </c>
      <c r="L1032" s="24" t="str">
        <f t="shared" ref="L1032:M1032" si="2208">IF(L1031="", "", 1 + IFERROR(MINIFS(OFFSET(L1032, -1, 0, -MIN(ROW()-2, $B1032), 1), OFFSET(L1032, -1, 0, -MIN(ROW()-2, $B1032), 1), "&gt;0"), L1031) + ROUND((L$2 * (LN(1 + $Z1032) ^ U$2) * (U$3 / 100)), 0))</f>
        <v/>
      </c>
      <c r="M1032" s="24">
        <f t="shared" si="2208"/>
        <v>56800</v>
      </c>
      <c r="N1032" s="24" t="str">
        <f t="shared" ref="N1032:O1032" si="2209">IF(N1031="", "", 1 + IFERROR(MINIFS(OFFSET(N1032, -1, 0, -MIN(ROW()-2, $B1032), 1), OFFSET(N1032, -1, 0, -MIN(ROW()-2, $B1032), 1), "&gt;0"), N1031) + ROUND(IFERROR(MINIFS(OFFSET(N1032, -1, 0, -MIN(ROW()-2, $B1032), 1), OFFSET(N1032, -1, 0, -MIN(ROW()-2, $B1032), 1), "&gt;0"), N1031) * ((LN(1 + $Z1032) ^ W$2) * (W$3 / 1000)), 0))</f>
        <v/>
      </c>
      <c r="O1032" s="24" t="str">
        <f t="shared" si="2209"/>
        <v/>
      </c>
      <c r="P1032" s="24">
        <f t="shared" ref="P1032:S1032" si="2210">L1032*$Y$2</f>
        <v>0</v>
      </c>
      <c r="Q1032" s="24">
        <f t="shared" si="2210"/>
        <v>14200</v>
      </c>
      <c r="R1032" s="24">
        <f t="shared" si="2210"/>
        <v>0</v>
      </c>
      <c r="S1032" s="24">
        <f t="shared" si="2210"/>
        <v>0</v>
      </c>
      <c r="T1032" s="24">
        <f t="shared" si="4"/>
        <v>14</v>
      </c>
      <c r="Z1032" s="25">
        <f t="shared" si="12"/>
        <v>86.54784757</v>
      </c>
    </row>
    <row r="1033">
      <c r="A1033" s="16" t="s">
        <v>3</v>
      </c>
      <c r="B1033" s="17">
        <v>132.0</v>
      </c>
      <c r="C1033" s="24">
        <f t="shared" si="1820"/>
        <v>167092.2124</v>
      </c>
      <c r="D1033" s="25">
        <v>0.05</v>
      </c>
      <c r="E1033" s="24">
        <f t="shared" si="1821"/>
        <v>160.6215257</v>
      </c>
      <c r="F1033" s="25">
        <v>0.02</v>
      </c>
      <c r="G1033" s="24">
        <f t="shared" si="1822"/>
        <v>23870.31606</v>
      </c>
      <c r="H1033" s="25">
        <v>0.05</v>
      </c>
      <c r="I1033" s="24">
        <f t="shared" si="1823"/>
        <v>133.8512714</v>
      </c>
      <c r="J1033" s="25">
        <v>0.02</v>
      </c>
      <c r="K1033" s="25">
        <v>0.0</v>
      </c>
      <c r="L1033" s="24" t="str">
        <f t="shared" ref="L1033:M1033" si="2211">IF(L1032="", "", 1 + IFERROR(MINIFS(OFFSET(L1033, -1, 0, -MIN(ROW()-2, $B1033), 1), OFFSET(L1033, -1, 0, -MIN(ROW()-2, $B1033), 1), "&gt;0"), L1032) + ROUND((L$2 * (LN(1 + $Z1033) ^ U$2) * (U$3 / 100)), 0))</f>
        <v/>
      </c>
      <c r="M1033" s="24">
        <f t="shared" si="2211"/>
        <v>56807</v>
      </c>
      <c r="N1033" s="24" t="str">
        <f t="shared" ref="N1033:O1033" si="2212">IF(N1032="", "", 1 + IFERROR(MINIFS(OFFSET(N1033, -1, 0, -MIN(ROW()-2, $B1033), 1), OFFSET(N1033, -1, 0, -MIN(ROW()-2, $B1033), 1), "&gt;0"), N1032) + ROUND(IFERROR(MINIFS(OFFSET(N1033, -1, 0, -MIN(ROW()-2, $B1033), 1), OFFSET(N1033, -1, 0, -MIN(ROW()-2, $B1033), 1), "&gt;0"), N1032) * ((LN(1 + $Z1033) ^ W$2) * (W$3 / 1000)), 0))</f>
        <v/>
      </c>
      <c r="O1033" s="24" t="str">
        <f t="shared" si="2212"/>
        <v/>
      </c>
      <c r="P1033" s="24">
        <f t="shared" ref="P1033:S1033" si="2213">L1033*$Y$2</f>
        <v>0</v>
      </c>
      <c r="Q1033" s="24">
        <f t="shared" si="2213"/>
        <v>14201.75</v>
      </c>
      <c r="R1033" s="24">
        <f t="shared" si="2213"/>
        <v>0</v>
      </c>
      <c r="S1033" s="24">
        <f t="shared" si="2213"/>
        <v>0</v>
      </c>
      <c r="T1033" s="24">
        <f t="shared" si="4"/>
        <v>14</v>
      </c>
      <c r="Z1033" s="25">
        <f t="shared" si="12"/>
        <v>89.61202223</v>
      </c>
    </row>
    <row r="1034">
      <c r="A1034" s="16" t="s">
        <v>3</v>
      </c>
      <c r="B1034" s="17">
        <v>133.0</v>
      </c>
      <c r="C1034" s="24">
        <f t="shared" si="1820"/>
        <v>175446.8231</v>
      </c>
      <c r="D1034" s="25">
        <v>0.05</v>
      </c>
      <c r="E1034" s="24">
        <f t="shared" si="1821"/>
        <v>163.8339562</v>
      </c>
      <c r="F1034" s="25">
        <v>0.02</v>
      </c>
      <c r="G1034" s="24">
        <f t="shared" si="1822"/>
        <v>25063.83187</v>
      </c>
      <c r="H1034" s="25">
        <v>0.05</v>
      </c>
      <c r="I1034" s="24">
        <f t="shared" si="1823"/>
        <v>136.5282969</v>
      </c>
      <c r="J1034" s="25">
        <v>0.02</v>
      </c>
      <c r="K1034" s="25">
        <v>0.0</v>
      </c>
      <c r="L1034" s="24" t="str">
        <f t="shared" ref="L1034:M1034" si="2214">IF(L1033="", "", 1 + IFERROR(MINIFS(OFFSET(L1034, -1, 0, -MIN(ROW()-2, $B1034), 1), OFFSET(L1034, -1, 0, -MIN(ROW()-2, $B1034), 1), "&gt;0"), L1033) + ROUND((L$2 * (LN(1 + $Z1034) ^ U$2) * (U$3 / 100)), 0))</f>
        <v/>
      </c>
      <c r="M1034" s="24">
        <f t="shared" si="2214"/>
        <v>56814</v>
      </c>
      <c r="N1034" s="24" t="str">
        <f t="shared" ref="N1034:O1034" si="2215">IF(N1033="", "", 1 + IFERROR(MINIFS(OFFSET(N1034, -1, 0, -MIN(ROW()-2, $B1034), 1), OFFSET(N1034, -1, 0, -MIN(ROW()-2, $B1034), 1), "&gt;0"), N1033) + ROUND(IFERROR(MINIFS(OFFSET(N1034, -1, 0, -MIN(ROW()-2, $B1034), 1), OFFSET(N1034, -1, 0, -MIN(ROW()-2, $B1034), 1), "&gt;0"), N1033) * ((LN(1 + $Z1034) ^ W$2) * (W$3 / 1000)), 0))</f>
        <v/>
      </c>
      <c r="O1034" s="24" t="str">
        <f t="shared" si="2215"/>
        <v/>
      </c>
      <c r="P1034" s="24">
        <f t="shared" ref="P1034:S1034" si="2216">L1034*$Y$2</f>
        <v>0</v>
      </c>
      <c r="Q1034" s="24">
        <f t="shared" si="2216"/>
        <v>14203.5</v>
      </c>
      <c r="R1034" s="24">
        <f t="shared" si="2216"/>
        <v>0</v>
      </c>
      <c r="S1034" s="24">
        <f t="shared" si="2216"/>
        <v>0</v>
      </c>
      <c r="T1034" s="24">
        <f t="shared" si="4"/>
        <v>14</v>
      </c>
      <c r="Z1034" s="25">
        <f t="shared" si="12"/>
        <v>92.78344301</v>
      </c>
    </row>
    <row r="1035">
      <c r="A1035" s="16" t="s">
        <v>3</v>
      </c>
      <c r="B1035" s="17">
        <v>134.0</v>
      </c>
      <c r="C1035" s="24">
        <f t="shared" si="1820"/>
        <v>184219.1642</v>
      </c>
      <c r="D1035" s="25">
        <v>0.05</v>
      </c>
      <c r="E1035" s="24">
        <f t="shared" si="1821"/>
        <v>167.1106353</v>
      </c>
      <c r="F1035" s="25">
        <v>0.02</v>
      </c>
      <c r="G1035" s="24">
        <f t="shared" si="1822"/>
        <v>26317.02346</v>
      </c>
      <c r="H1035" s="25">
        <v>0.05</v>
      </c>
      <c r="I1035" s="24">
        <f t="shared" si="1823"/>
        <v>139.2588628</v>
      </c>
      <c r="J1035" s="25">
        <v>0.02</v>
      </c>
      <c r="K1035" s="25">
        <v>0.0</v>
      </c>
      <c r="L1035" s="24" t="str">
        <f t="shared" ref="L1035:M1035" si="2217">IF(L1034="", "", 1 + IFERROR(MINIFS(OFFSET(L1035, -1, 0, -MIN(ROW()-2, $B1035), 1), OFFSET(L1035, -1, 0, -MIN(ROW()-2, $B1035), 1), "&gt;0"), L1034) + ROUND((L$2 * (LN(1 + $Z1035) ^ U$2) * (U$3 / 100)), 0))</f>
        <v/>
      </c>
      <c r="M1035" s="24">
        <f t="shared" si="2217"/>
        <v>56821</v>
      </c>
      <c r="N1035" s="24" t="str">
        <f t="shared" ref="N1035:O1035" si="2218">IF(N1034="", "", 1 + IFERROR(MINIFS(OFFSET(N1035, -1, 0, -MIN(ROW()-2, $B1035), 1), OFFSET(N1035, -1, 0, -MIN(ROW()-2, $B1035), 1), "&gt;0"), N1034) + ROUND(IFERROR(MINIFS(OFFSET(N1035, -1, 0, -MIN(ROW()-2, $B1035), 1), OFFSET(N1035, -1, 0, -MIN(ROW()-2, $B1035), 1), "&gt;0"), N1034) * ((LN(1 + $Z1035) ^ W$2) * (W$3 / 1000)), 0))</f>
        <v/>
      </c>
      <c r="O1035" s="24" t="str">
        <f t="shared" si="2218"/>
        <v/>
      </c>
      <c r="P1035" s="24">
        <f t="shared" ref="P1035:S1035" si="2219">L1035*$Y$2</f>
        <v>0</v>
      </c>
      <c r="Q1035" s="24">
        <f t="shared" si="2219"/>
        <v>14205.25</v>
      </c>
      <c r="R1035" s="24">
        <f t="shared" si="2219"/>
        <v>0</v>
      </c>
      <c r="S1035" s="24">
        <f t="shared" si="2219"/>
        <v>0</v>
      </c>
      <c r="T1035" s="24">
        <f t="shared" si="4"/>
        <v>14</v>
      </c>
      <c r="Z1035" s="25">
        <f t="shared" si="12"/>
        <v>96.06586352</v>
      </c>
    </row>
    <row r="1036">
      <c r="A1036" s="16" t="s">
        <v>3</v>
      </c>
      <c r="B1036" s="17">
        <v>135.0</v>
      </c>
      <c r="C1036" s="24">
        <f t="shared" si="1820"/>
        <v>193430.1224</v>
      </c>
      <c r="D1036" s="25">
        <v>0.05</v>
      </c>
      <c r="E1036" s="24">
        <f t="shared" si="1821"/>
        <v>170.4528481</v>
      </c>
      <c r="F1036" s="25">
        <v>0.02</v>
      </c>
      <c r="G1036" s="24">
        <f t="shared" si="1822"/>
        <v>27632.87463</v>
      </c>
      <c r="H1036" s="25">
        <v>0.05</v>
      </c>
      <c r="I1036" s="24">
        <f t="shared" si="1823"/>
        <v>142.04404</v>
      </c>
      <c r="J1036" s="25">
        <v>0.02</v>
      </c>
      <c r="K1036" s="25">
        <v>0.0</v>
      </c>
      <c r="L1036" s="24" t="str">
        <f t="shared" ref="L1036:M1036" si="2220">IF(L1035="", "", 1 + IFERROR(MINIFS(OFFSET(L1036, -1, 0, -MIN(ROW()-2, $B1036), 1), OFFSET(L1036, -1, 0, -MIN(ROW()-2, $B1036), 1), "&gt;0"), L1035) + ROUND((L$2 * (LN(1 + $Z1036) ^ U$2) * (U$3 / 100)), 0))</f>
        <v/>
      </c>
      <c r="M1036" s="24">
        <f t="shared" si="2220"/>
        <v>56828</v>
      </c>
      <c r="N1036" s="24" t="str">
        <f t="shared" ref="N1036:O1036" si="2221">IF(N1035="", "", 1 + IFERROR(MINIFS(OFFSET(N1036, -1, 0, -MIN(ROW()-2, $B1036), 1), OFFSET(N1036, -1, 0, -MIN(ROW()-2, $B1036), 1), "&gt;0"), N1035) + ROUND(IFERROR(MINIFS(OFFSET(N1036, -1, 0, -MIN(ROW()-2, $B1036), 1), OFFSET(N1036, -1, 0, -MIN(ROW()-2, $B1036), 1), "&gt;0"), N1035) * ((LN(1 + $Z1036) ^ W$2) * (W$3 / 1000)), 0))</f>
        <v/>
      </c>
      <c r="O1036" s="24" t="str">
        <f t="shared" si="2221"/>
        <v/>
      </c>
      <c r="P1036" s="24">
        <f t="shared" ref="P1036:S1036" si="2222">L1036*$Y$2</f>
        <v>0</v>
      </c>
      <c r="Q1036" s="24">
        <f t="shared" si="2222"/>
        <v>14207</v>
      </c>
      <c r="R1036" s="24">
        <f t="shared" si="2222"/>
        <v>0</v>
      </c>
      <c r="S1036" s="24">
        <f t="shared" si="2222"/>
        <v>0</v>
      </c>
      <c r="T1036" s="24">
        <f t="shared" si="4"/>
        <v>15</v>
      </c>
      <c r="Z1036" s="25">
        <f t="shared" si="12"/>
        <v>99.46316874</v>
      </c>
    </row>
    <row r="1037">
      <c r="A1037" s="16" t="s">
        <v>3</v>
      </c>
      <c r="B1037" s="17">
        <v>136.0</v>
      </c>
      <c r="C1037" s="24">
        <f t="shared" si="1820"/>
        <v>203101.6286</v>
      </c>
      <c r="D1037" s="25">
        <v>0.05</v>
      </c>
      <c r="E1037" s="24">
        <f t="shared" si="1821"/>
        <v>173.861905</v>
      </c>
      <c r="F1037" s="25">
        <v>0.02</v>
      </c>
      <c r="G1037" s="24">
        <f t="shared" si="1822"/>
        <v>29014.51837</v>
      </c>
      <c r="H1037" s="25">
        <v>0.05</v>
      </c>
      <c r="I1037" s="24">
        <f t="shared" si="1823"/>
        <v>144.8849208</v>
      </c>
      <c r="J1037" s="25">
        <v>0.02</v>
      </c>
      <c r="K1037" s="25">
        <v>0.0</v>
      </c>
      <c r="L1037" s="24" t="str">
        <f t="shared" ref="L1037:M1037" si="2223">IF(L1036="", "", 1 + IFERROR(MINIFS(OFFSET(L1037, -1, 0, -MIN(ROW()-2, $B1037), 1), OFFSET(L1037, -1, 0, -MIN(ROW()-2, $B1037), 1), "&gt;0"), L1036) + ROUND((L$2 * (LN(1 + $Z1037) ^ U$2) * (U$3 / 100)), 0))</f>
        <v/>
      </c>
      <c r="M1037" s="24">
        <f t="shared" si="2223"/>
        <v>56835</v>
      </c>
      <c r="N1037" s="24" t="str">
        <f t="shared" ref="N1037:O1037" si="2224">IF(N1036="", "", 1 + IFERROR(MINIFS(OFFSET(N1037, -1, 0, -MIN(ROW()-2, $B1037), 1), OFFSET(N1037, -1, 0, -MIN(ROW()-2, $B1037), 1), "&gt;0"), N1036) + ROUND(IFERROR(MINIFS(OFFSET(N1037, -1, 0, -MIN(ROW()-2, $B1037), 1), OFFSET(N1037, -1, 0, -MIN(ROW()-2, $B1037), 1), "&gt;0"), N1036) * ((LN(1 + $Z1037) ^ W$2) * (W$3 / 1000)), 0))</f>
        <v/>
      </c>
      <c r="O1037" s="24" t="str">
        <f t="shared" si="2224"/>
        <v/>
      </c>
      <c r="P1037" s="24">
        <f t="shared" ref="P1037:S1037" si="2225">L1037*$Y$2</f>
        <v>0</v>
      </c>
      <c r="Q1037" s="24">
        <f t="shared" si="2225"/>
        <v>14208.75</v>
      </c>
      <c r="R1037" s="24">
        <f t="shared" si="2225"/>
        <v>0</v>
      </c>
      <c r="S1037" s="24">
        <f t="shared" si="2225"/>
        <v>0</v>
      </c>
      <c r="T1037" s="24">
        <f t="shared" si="4"/>
        <v>15</v>
      </c>
      <c r="Z1037" s="25">
        <f t="shared" si="12"/>
        <v>102.9793796</v>
      </c>
    </row>
    <row r="1038">
      <c r="A1038" s="16" t="s">
        <v>3</v>
      </c>
      <c r="B1038" s="17">
        <v>137.0</v>
      </c>
      <c r="C1038" s="24">
        <f t="shared" si="1820"/>
        <v>213256.71</v>
      </c>
      <c r="D1038" s="25">
        <v>0.05</v>
      </c>
      <c r="E1038" s="24">
        <f t="shared" si="1821"/>
        <v>177.3391431</v>
      </c>
      <c r="F1038" s="25">
        <v>0.02</v>
      </c>
      <c r="G1038" s="24">
        <f t="shared" si="1822"/>
        <v>30465.24428</v>
      </c>
      <c r="H1038" s="25">
        <v>0.05</v>
      </c>
      <c r="I1038" s="24">
        <f t="shared" si="1823"/>
        <v>147.7826193</v>
      </c>
      <c r="J1038" s="25">
        <v>0.02</v>
      </c>
      <c r="K1038" s="25">
        <v>0.0</v>
      </c>
      <c r="L1038" s="24" t="str">
        <f t="shared" ref="L1038:M1038" si="2226">IF(L1037="", "", 1 + IFERROR(MINIFS(OFFSET(L1038, -1, 0, -MIN(ROW()-2, $B1038), 1), OFFSET(L1038, -1, 0, -MIN(ROW()-2, $B1038), 1), "&gt;0"), L1037) + ROUND((L$2 * (LN(1 + $Z1038) ^ U$2) * (U$3 / 100)), 0))</f>
        <v/>
      </c>
      <c r="M1038" s="24">
        <f t="shared" si="2226"/>
        <v>56842</v>
      </c>
      <c r="N1038" s="24" t="str">
        <f t="shared" ref="N1038:O1038" si="2227">IF(N1037="", "", 1 + IFERROR(MINIFS(OFFSET(N1038, -1, 0, -MIN(ROW()-2, $B1038), 1), OFFSET(N1038, -1, 0, -MIN(ROW()-2, $B1038), 1), "&gt;0"), N1037) + ROUND(IFERROR(MINIFS(OFFSET(N1038, -1, 0, -MIN(ROW()-2, $B1038), 1), OFFSET(N1038, -1, 0, -MIN(ROW()-2, $B1038), 1), "&gt;0"), N1037) * ((LN(1 + $Z1038) ^ W$2) * (W$3 / 1000)), 0))</f>
        <v/>
      </c>
      <c r="O1038" s="24" t="str">
        <f t="shared" si="2227"/>
        <v/>
      </c>
      <c r="P1038" s="24">
        <f t="shared" ref="P1038:S1038" si="2228">L1038*$Y$2</f>
        <v>0</v>
      </c>
      <c r="Q1038" s="24">
        <f t="shared" si="2228"/>
        <v>14210.5</v>
      </c>
      <c r="R1038" s="24">
        <f t="shared" si="2228"/>
        <v>0</v>
      </c>
      <c r="S1038" s="24">
        <f t="shared" si="2228"/>
        <v>0</v>
      </c>
      <c r="T1038" s="24">
        <f t="shared" si="4"/>
        <v>15</v>
      </c>
      <c r="Z1038" s="25">
        <f t="shared" si="12"/>
        <v>106.6186579</v>
      </c>
    </row>
    <row r="1039">
      <c r="A1039" s="16" t="s">
        <v>3</v>
      </c>
      <c r="B1039" s="17">
        <v>138.0</v>
      </c>
      <c r="C1039" s="24">
        <f t="shared" si="1820"/>
        <v>223919.5455</v>
      </c>
      <c r="D1039" s="25">
        <v>0.05</v>
      </c>
      <c r="E1039" s="24">
        <f t="shared" si="1821"/>
        <v>180.885926</v>
      </c>
      <c r="F1039" s="25">
        <v>0.02</v>
      </c>
      <c r="G1039" s="24">
        <f t="shared" si="1822"/>
        <v>31988.5065</v>
      </c>
      <c r="H1039" s="25">
        <v>0.05</v>
      </c>
      <c r="I1039" s="24">
        <f t="shared" si="1823"/>
        <v>150.7382716</v>
      </c>
      <c r="J1039" s="25">
        <v>0.02</v>
      </c>
      <c r="K1039" s="25">
        <v>0.0</v>
      </c>
      <c r="L1039" s="24" t="str">
        <f t="shared" ref="L1039:M1039" si="2229">IF(L1038="", "", 1 + IFERROR(MINIFS(OFFSET(L1039, -1, 0, -MIN(ROW()-2, $B1039), 1), OFFSET(L1039, -1, 0, -MIN(ROW()-2, $B1039), 1), "&gt;0"), L1038) + ROUND((L$2 * (LN(1 + $Z1039) ^ U$2) * (U$3 / 100)), 0))</f>
        <v/>
      </c>
      <c r="M1039" s="24">
        <f t="shared" si="2229"/>
        <v>56849</v>
      </c>
      <c r="N1039" s="24" t="str">
        <f t="shared" ref="N1039:O1039" si="2230">IF(N1038="", "", 1 + IFERROR(MINIFS(OFFSET(N1039, -1, 0, -MIN(ROW()-2, $B1039), 1), OFFSET(N1039, -1, 0, -MIN(ROW()-2, $B1039), 1), "&gt;0"), N1038) + ROUND(IFERROR(MINIFS(OFFSET(N1039, -1, 0, -MIN(ROW()-2, $B1039), 1), OFFSET(N1039, -1, 0, -MIN(ROW()-2, $B1039), 1), "&gt;0"), N1038) * ((LN(1 + $Z1039) ^ W$2) * (W$3 / 1000)), 0))</f>
        <v/>
      </c>
      <c r="O1039" s="24" t="str">
        <f t="shared" si="2230"/>
        <v/>
      </c>
      <c r="P1039" s="24">
        <f t="shared" ref="P1039:S1039" si="2231">L1039*$Y$2</f>
        <v>0</v>
      </c>
      <c r="Q1039" s="24">
        <f t="shared" si="2231"/>
        <v>14212.25</v>
      </c>
      <c r="R1039" s="24">
        <f t="shared" si="2231"/>
        <v>0</v>
      </c>
      <c r="S1039" s="24">
        <f t="shared" si="2231"/>
        <v>0</v>
      </c>
      <c r="T1039" s="24">
        <f t="shared" si="4"/>
        <v>15</v>
      </c>
      <c r="Z1039" s="25">
        <f t="shared" si="12"/>
        <v>110.385311</v>
      </c>
    </row>
    <row r="1040">
      <c r="A1040" s="16" t="s">
        <v>3</v>
      </c>
      <c r="B1040" s="17">
        <v>139.0</v>
      </c>
      <c r="C1040" s="24">
        <f t="shared" si="1820"/>
        <v>235115.5228</v>
      </c>
      <c r="D1040" s="25">
        <v>0.05</v>
      </c>
      <c r="E1040" s="24">
        <f t="shared" si="1821"/>
        <v>184.5036445</v>
      </c>
      <c r="F1040" s="25">
        <v>0.02</v>
      </c>
      <c r="G1040" s="24">
        <f t="shared" si="1822"/>
        <v>33587.93182</v>
      </c>
      <c r="H1040" s="25">
        <v>0.05</v>
      </c>
      <c r="I1040" s="24">
        <f t="shared" si="1823"/>
        <v>153.7530371</v>
      </c>
      <c r="J1040" s="25">
        <v>0.02</v>
      </c>
      <c r="K1040" s="25">
        <v>0.0</v>
      </c>
      <c r="L1040" s="24" t="str">
        <f t="shared" ref="L1040:M1040" si="2232">IF(L1039="", "", 1 + IFERROR(MINIFS(OFFSET(L1040, -1, 0, -MIN(ROW()-2, $B1040), 1), OFFSET(L1040, -1, 0, -MIN(ROW()-2, $B1040), 1), "&gt;0"), L1039) + ROUND((L$2 * (LN(1 + $Z1040) ^ U$2) * (U$3 / 100)), 0))</f>
        <v/>
      </c>
      <c r="M1040" s="24">
        <f t="shared" si="2232"/>
        <v>56856</v>
      </c>
      <c r="N1040" s="24" t="str">
        <f t="shared" ref="N1040:O1040" si="2233">IF(N1039="", "", 1 + IFERROR(MINIFS(OFFSET(N1040, -1, 0, -MIN(ROW()-2, $B1040), 1), OFFSET(N1040, -1, 0, -MIN(ROW()-2, $B1040), 1), "&gt;0"), N1039) + ROUND(IFERROR(MINIFS(OFFSET(N1040, -1, 0, -MIN(ROW()-2, $B1040), 1), OFFSET(N1040, -1, 0, -MIN(ROW()-2, $B1040), 1), "&gt;0"), N1039) * ((LN(1 + $Z1040) ^ W$2) * (W$3 / 1000)), 0))</f>
        <v/>
      </c>
      <c r="O1040" s="24" t="str">
        <f t="shared" si="2233"/>
        <v/>
      </c>
      <c r="P1040" s="24">
        <f t="shared" ref="P1040:S1040" si="2234">L1040*$Y$2</f>
        <v>0</v>
      </c>
      <c r="Q1040" s="24">
        <f t="shared" si="2234"/>
        <v>14214</v>
      </c>
      <c r="R1040" s="24">
        <f t="shared" si="2234"/>
        <v>0</v>
      </c>
      <c r="S1040" s="24">
        <f t="shared" si="2234"/>
        <v>0</v>
      </c>
      <c r="T1040" s="24">
        <f t="shared" si="4"/>
        <v>15</v>
      </c>
      <c r="Z1040" s="25">
        <f t="shared" si="12"/>
        <v>114.2837968</v>
      </c>
    </row>
    <row r="1041">
      <c r="A1041" s="16" t="s">
        <v>3</v>
      </c>
      <c r="B1041" s="17">
        <v>140.0</v>
      </c>
      <c r="C1041" s="24">
        <f t="shared" si="1820"/>
        <v>246871.2989</v>
      </c>
      <c r="D1041" s="25">
        <v>0.05</v>
      </c>
      <c r="E1041" s="24">
        <f t="shared" si="1821"/>
        <v>188.1937174</v>
      </c>
      <c r="F1041" s="25">
        <v>0.02</v>
      </c>
      <c r="G1041" s="24">
        <f t="shared" si="1822"/>
        <v>35267.32841</v>
      </c>
      <c r="H1041" s="25">
        <v>0.05</v>
      </c>
      <c r="I1041" s="24">
        <f t="shared" si="1823"/>
        <v>156.8280978</v>
      </c>
      <c r="J1041" s="25">
        <v>0.02</v>
      </c>
      <c r="K1041" s="25">
        <v>0.0</v>
      </c>
      <c r="L1041" s="24" t="str">
        <f t="shared" ref="L1041:M1041" si="2235">IF(L1040="", "", 1 + IFERROR(MINIFS(OFFSET(L1041, -1, 0, -MIN(ROW()-2, $B1041), 1), OFFSET(L1041, -1, 0, -MIN(ROW()-2, $B1041), 1), "&gt;0"), L1040) + ROUND((L$2 * (LN(1 + $Z1041) ^ U$2) * (U$3 / 100)), 0))</f>
        <v/>
      </c>
      <c r="M1041" s="24">
        <f t="shared" si="2235"/>
        <v>56863</v>
      </c>
      <c r="N1041" s="24" t="str">
        <f t="shared" ref="N1041:O1041" si="2236">IF(N1040="", "", 1 + IFERROR(MINIFS(OFFSET(N1041, -1, 0, -MIN(ROW()-2, $B1041), 1), OFFSET(N1041, -1, 0, -MIN(ROW()-2, $B1041), 1), "&gt;0"), N1040) + ROUND(IFERROR(MINIFS(OFFSET(N1041, -1, 0, -MIN(ROW()-2, $B1041), 1), OFFSET(N1041, -1, 0, -MIN(ROW()-2, $B1041), 1), "&gt;0"), N1040) * ((LN(1 + $Z1041) ^ W$2) * (W$3 / 1000)), 0))</f>
        <v/>
      </c>
      <c r="O1041" s="24" t="str">
        <f t="shared" si="2236"/>
        <v/>
      </c>
      <c r="P1041" s="24">
        <f t="shared" ref="P1041:S1041" si="2237">L1041*$Y$2</f>
        <v>0</v>
      </c>
      <c r="Q1041" s="24">
        <f t="shared" si="2237"/>
        <v>14215.75</v>
      </c>
      <c r="R1041" s="24">
        <f t="shared" si="2237"/>
        <v>0</v>
      </c>
      <c r="S1041" s="24">
        <f t="shared" si="2237"/>
        <v>0</v>
      </c>
      <c r="T1041" s="24">
        <f t="shared" si="4"/>
        <v>15</v>
      </c>
      <c r="Z1041" s="25">
        <f t="shared" si="12"/>
        <v>118.3187297</v>
      </c>
    </row>
    <row r="1042">
      <c r="A1042" s="16" t="s">
        <v>3</v>
      </c>
      <c r="B1042" s="17">
        <v>141.0</v>
      </c>
      <c r="C1042" s="24">
        <f t="shared" si="1820"/>
        <v>259214.8638</v>
      </c>
      <c r="D1042" s="25">
        <v>0.05</v>
      </c>
      <c r="E1042" s="24">
        <f t="shared" si="1821"/>
        <v>191.9575917</v>
      </c>
      <c r="F1042" s="25">
        <v>0.02</v>
      </c>
      <c r="G1042" s="24">
        <f t="shared" si="1822"/>
        <v>37030.69483</v>
      </c>
      <c r="H1042" s="25">
        <v>0.05</v>
      </c>
      <c r="I1042" s="24">
        <f t="shared" si="1823"/>
        <v>159.9646598</v>
      </c>
      <c r="J1042" s="25">
        <v>0.02</v>
      </c>
      <c r="K1042" s="25">
        <v>0.0</v>
      </c>
      <c r="L1042" s="24" t="str">
        <f t="shared" ref="L1042:M1042" si="2238">IF(L1041="", "", 1 + IFERROR(MINIFS(OFFSET(L1042, -1, 0, -MIN(ROW()-2, $B1042), 1), OFFSET(L1042, -1, 0, -MIN(ROW()-2, $B1042), 1), "&gt;0"), L1041) + ROUND((L$2 * (LN(1 + $Z1042) ^ U$2) * (U$3 / 100)), 0))</f>
        <v/>
      </c>
      <c r="M1042" s="24">
        <f t="shared" si="2238"/>
        <v>56870</v>
      </c>
      <c r="N1042" s="24" t="str">
        <f t="shared" ref="N1042:O1042" si="2239">IF(N1041="", "", 1 + IFERROR(MINIFS(OFFSET(N1042, -1, 0, -MIN(ROW()-2, $B1042), 1), OFFSET(N1042, -1, 0, -MIN(ROW()-2, $B1042), 1), "&gt;0"), N1041) + ROUND(IFERROR(MINIFS(OFFSET(N1042, -1, 0, -MIN(ROW()-2, $B1042), 1), OFFSET(N1042, -1, 0, -MIN(ROW()-2, $B1042), 1), "&gt;0"), N1041) * ((LN(1 + $Z1042) ^ W$2) * (W$3 / 1000)), 0))</f>
        <v/>
      </c>
      <c r="O1042" s="24" t="str">
        <f t="shared" si="2239"/>
        <v/>
      </c>
      <c r="P1042" s="24">
        <f t="shared" ref="P1042:S1042" si="2240">L1042*$Y$2</f>
        <v>0</v>
      </c>
      <c r="Q1042" s="24">
        <f t="shared" si="2240"/>
        <v>14217.5</v>
      </c>
      <c r="R1042" s="24">
        <f t="shared" si="2240"/>
        <v>0</v>
      </c>
      <c r="S1042" s="24">
        <f t="shared" si="2240"/>
        <v>0</v>
      </c>
      <c r="T1042" s="24">
        <f t="shared" si="4"/>
        <v>15</v>
      </c>
      <c r="Z1042" s="25">
        <f t="shared" si="12"/>
        <v>122.4948853</v>
      </c>
    </row>
    <row r="1043">
      <c r="A1043" s="16" t="s">
        <v>3</v>
      </c>
      <c r="B1043" s="17">
        <v>142.0</v>
      </c>
      <c r="C1043" s="24">
        <f t="shared" si="1820"/>
        <v>272175.607</v>
      </c>
      <c r="D1043" s="25">
        <v>0.05</v>
      </c>
      <c r="E1043" s="24">
        <f t="shared" si="1821"/>
        <v>195.7967436</v>
      </c>
      <c r="F1043" s="25">
        <v>0.02</v>
      </c>
      <c r="G1043" s="24">
        <f t="shared" si="1822"/>
        <v>38882.22958</v>
      </c>
      <c r="H1043" s="25">
        <v>0.05</v>
      </c>
      <c r="I1043" s="24">
        <f t="shared" si="1823"/>
        <v>163.163953</v>
      </c>
      <c r="J1043" s="25">
        <v>0.02</v>
      </c>
      <c r="K1043" s="25">
        <v>0.0</v>
      </c>
      <c r="L1043" s="24" t="str">
        <f t="shared" ref="L1043:M1043" si="2241">IF(L1042="", "", 1 + IFERROR(MINIFS(OFFSET(L1043, -1, 0, -MIN(ROW()-2, $B1043), 1), OFFSET(L1043, -1, 0, -MIN(ROW()-2, $B1043), 1), "&gt;0"), L1042) + ROUND((L$2 * (LN(1 + $Z1043) ^ U$2) * (U$3 / 100)), 0))</f>
        <v/>
      </c>
      <c r="M1043" s="24">
        <f t="shared" si="2241"/>
        <v>56877</v>
      </c>
      <c r="N1043" s="24" t="str">
        <f t="shared" ref="N1043:O1043" si="2242">IF(N1042="", "", 1 + IFERROR(MINIFS(OFFSET(N1043, -1, 0, -MIN(ROW()-2, $B1043), 1), OFFSET(N1043, -1, 0, -MIN(ROW()-2, $B1043), 1), "&gt;0"), N1042) + ROUND(IFERROR(MINIFS(OFFSET(N1043, -1, 0, -MIN(ROW()-2, $B1043), 1), OFFSET(N1043, -1, 0, -MIN(ROW()-2, $B1043), 1), "&gt;0"), N1042) * ((LN(1 + $Z1043) ^ W$2) * (W$3 / 1000)), 0))</f>
        <v/>
      </c>
      <c r="O1043" s="24" t="str">
        <f t="shared" si="2242"/>
        <v/>
      </c>
      <c r="P1043" s="24">
        <f t="shared" ref="P1043:S1043" si="2243">L1043*$Y$2</f>
        <v>0</v>
      </c>
      <c r="Q1043" s="24">
        <f t="shared" si="2243"/>
        <v>14219.25</v>
      </c>
      <c r="R1043" s="24">
        <f t="shared" si="2243"/>
        <v>0</v>
      </c>
      <c r="S1043" s="24">
        <f t="shared" si="2243"/>
        <v>0</v>
      </c>
      <c r="T1043" s="24">
        <f t="shared" si="4"/>
        <v>15</v>
      </c>
      <c r="Z1043" s="25">
        <f t="shared" si="12"/>
        <v>126.8172063</v>
      </c>
    </row>
    <row r="1044">
      <c r="A1044" s="16" t="s">
        <v>3</v>
      </c>
      <c r="B1044" s="17">
        <v>143.0</v>
      </c>
      <c r="C1044" s="24">
        <f t="shared" si="1820"/>
        <v>285784.3874</v>
      </c>
      <c r="D1044" s="25">
        <v>0.05</v>
      </c>
      <c r="E1044" s="24">
        <f t="shared" si="1821"/>
        <v>199.7126784</v>
      </c>
      <c r="F1044" s="25">
        <v>0.02</v>
      </c>
      <c r="G1044" s="24">
        <f t="shared" si="1822"/>
        <v>40826.34106</v>
      </c>
      <c r="H1044" s="25">
        <v>0.05</v>
      </c>
      <c r="I1044" s="24">
        <f t="shared" si="1823"/>
        <v>166.427232</v>
      </c>
      <c r="J1044" s="25">
        <v>0.02</v>
      </c>
      <c r="K1044" s="25">
        <v>0.0</v>
      </c>
      <c r="L1044" s="24" t="str">
        <f t="shared" ref="L1044:M1044" si="2244">IF(L1043="", "", 1 + IFERROR(MINIFS(OFFSET(L1044, -1, 0, -MIN(ROW()-2, $B1044), 1), OFFSET(L1044, -1, 0, -MIN(ROW()-2, $B1044), 1), "&gt;0"), L1043) + ROUND((L$2 * (LN(1 + $Z1044) ^ U$2) * (U$3 / 100)), 0))</f>
        <v/>
      </c>
      <c r="M1044" s="24">
        <f t="shared" si="2244"/>
        <v>56884</v>
      </c>
      <c r="N1044" s="24" t="str">
        <f t="shared" ref="N1044:O1044" si="2245">IF(N1043="", "", 1 + IFERROR(MINIFS(OFFSET(N1044, -1, 0, -MIN(ROW()-2, $B1044), 1), OFFSET(N1044, -1, 0, -MIN(ROW()-2, $B1044), 1), "&gt;0"), N1043) + ROUND(IFERROR(MINIFS(OFFSET(N1044, -1, 0, -MIN(ROW()-2, $B1044), 1), OFFSET(N1044, -1, 0, -MIN(ROW()-2, $B1044), 1), "&gt;0"), N1043) * ((LN(1 + $Z1044) ^ W$2) * (W$3 / 1000)), 0))</f>
        <v/>
      </c>
      <c r="O1044" s="24" t="str">
        <f t="shared" si="2245"/>
        <v/>
      </c>
      <c r="P1044" s="24">
        <f t="shared" ref="P1044:S1044" si="2246">L1044*$Y$2</f>
        <v>0</v>
      </c>
      <c r="Q1044" s="24">
        <f t="shared" si="2246"/>
        <v>14221</v>
      </c>
      <c r="R1044" s="24">
        <f t="shared" si="2246"/>
        <v>0</v>
      </c>
      <c r="S1044" s="24">
        <f t="shared" si="2246"/>
        <v>0</v>
      </c>
      <c r="T1044" s="24">
        <f t="shared" si="4"/>
        <v>15</v>
      </c>
      <c r="Z1044" s="25">
        <f t="shared" si="12"/>
        <v>131.2908085</v>
      </c>
    </row>
    <row r="1045">
      <c r="A1045" s="16" t="s">
        <v>3</v>
      </c>
      <c r="B1045" s="17">
        <v>144.0</v>
      </c>
      <c r="C1045" s="24">
        <f t="shared" si="1820"/>
        <v>300073.6068</v>
      </c>
      <c r="D1045" s="25">
        <v>0.05</v>
      </c>
      <c r="E1045" s="24">
        <f t="shared" si="1821"/>
        <v>203.706932</v>
      </c>
      <c r="F1045" s="25">
        <v>0.02</v>
      </c>
      <c r="G1045" s="24">
        <f t="shared" si="1822"/>
        <v>42867.65811</v>
      </c>
      <c r="H1045" s="25">
        <v>0.05</v>
      </c>
      <c r="I1045" s="24">
        <f t="shared" si="1823"/>
        <v>169.7557767</v>
      </c>
      <c r="J1045" s="25">
        <v>0.02</v>
      </c>
      <c r="K1045" s="25">
        <v>0.0</v>
      </c>
      <c r="L1045" s="24" t="str">
        <f t="shared" ref="L1045:M1045" si="2247">IF(L1044="", "", 1 + IFERROR(MINIFS(OFFSET(L1045, -1, 0, -MIN(ROW()-2, $B1045), 1), OFFSET(L1045, -1, 0, -MIN(ROW()-2, $B1045), 1), "&gt;0"), L1044) + ROUND((L$2 * (LN(1 + $Z1045) ^ U$2) * (U$3 / 100)), 0))</f>
        <v/>
      </c>
      <c r="M1045" s="24">
        <f t="shared" si="2247"/>
        <v>56891</v>
      </c>
      <c r="N1045" s="24" t="str">
        <f t="shared" ref="N1045:O1045" si="2248">IF(N1044="", "", 1 + IFERROR(MINIFS(OFFSET(N1045, -1, 0, -MIN(ROW()-2, $B1045), 1), OFFSET(N1045, -1, 0, -MIN(ROW()-2, $B1045), 1), "&gt;0"), N1044) + ROUND(IFERROR(MINIFS(OFFSET(N1045, -1, 0, -MIN(ROW()-2, $B1045), 1), OFFSET(N1045, -1, 0, -MIN(ROW()-2, $B1045), 1), "&gt;0"), N1044) * ((LN(1 + $Z1045) ^ W$2) * (W$3 / 1000)), 0))</f>
        <v/>
      </c>
      <c r="O1045" s="24" t="str">
        <f t="shared" si="2248"/>
        <v/>
      </c>
      <c r="P1045" s="24">
        <f t="shared" ref="P1045:S1045" si="2249">L1045*$Y$2</f>
        <v>0</v>
      </c>
      <c r="Q1045" s="24">
        <f t="shared" si="2249"/>
        <v>14222.75</v>
      </c>
      <c r="R1045" s="24">
        <f t="shared" si="2249"/>
        <v>0</v>
      </c>
      <c r="S1045" s="24">
        <f t="shared" si="2249"/>
        <v>0</v>
      </c>
      <c r="T1045" s="24">
        <f t="shared" si="4"/>
        <v>15</v>
      </c>
      <c r="Z1045" s="25">
        <f t="shared" si="12"/>
        <v>135.9209868</v>
      </c>
    </row>
    <row r="1046">
      <c r="A1046" s="16" t="s">
        <v>3</v>
      </c>
      <c r="B1046" s="17">
        <v>145.0</v>
      </c>
      <c r="C1046" s="24">
        <f t="shared" si="1820"/>
        <v>315077.2871</v>
      </c>
      <c r="D1046" s="25">
        <v>0.05</v>
      </c>
      <c r="E1046" s="24">
        <f t="shared" si="1821"/>
        <v>207.7810707</v>
      </c>
      <c r="F1046" s="25">
        <v>0.02</v>
      </c>
      <c r="G1046" s="24">
        <f t="shared" si="1822"/>
        <v>45011.04101</v>
      </c>
      <c r="H1046" s="25">
        <v>0.05</v>
      </c>
      <c r="I1046" s="24">
        <f t="shared" si="1823"/>
        <v>173.1508922</v>
      </c>
      <c r="J1046" s="25">
        <v>0.02</v>
      </c>
      <c r="K1046" s="25">
        <v>0.0</v>
      </c>
      <c r="L1046" s="24" t="str">
        <f t="shared" ref="L1046:M1046" si="2250">IF(L1045="", "", 1 + IFERROR(MINIFS(OFFSET(L1046, -1, 0, -MIN(ROW()-2, $B1046), 1), OFFSET(L1046, -1, 0, -MIN(ROW()-2, $B1046), 1), "&gt;0"), L1045) + ROUND((L$2 * (LN(1 + $Z1046) ^ U$2) * (U$3 / 100)), 0))</f>
        <v/>
      </c>
      <c r="M1046" s="24">
        <f t="shared" si="2250"/>
        <v>56898</v>
      </c>
      <c r="N1046" s="24" t="str">
        <f t="shared" ref="N1046:O1046" si="2251">IF(N1045="", "", 1 + IFERROR(MINIFS(OFFSET(N1046, -1, 0, -MIN(ROW()-2, $B1046), 1), OFFSET(N1046, -1, 0, -MIN(ROW()-2, $B1046), 1), "&gt;0"), N1045) + ROUND(IFERROR(MINIFS(OFFSET(N1046, -1, 0, -MIN(ROW()-2, $B1046), 1), OFFSET(N1046, -1, 0, -MIN(ROW()-2, $B1046), 1), "&gt;0"), N1045) * ((LN(1 + $Z1046) ^ W$2) * (W$3 / 1000)), 0))</f>
        <v/>
      </c>
      <c r="O1046" s="24" t="str">
        <f t="shared" si="2251"/>
        <v/>
      </c>
      <c r="P1046" s="24">
        <f t="shared" ref="P1046:S1046" si="2252">L1046*$Y$2</f>
        <v>0</v>
      </c>
      <c r="Q1046" s="24">
        <f t="shared" si="2252"/>
        <v>14224.5</v>
      </c>
      <c r="R1046" s="24">
        <f t="shared" si="2252"/>
        <v>0</v>
      </c>
      <c r="S1046" s="24">
        <f t="shared" si="2252"/>
        <v>0</v>
      </c>
      <c r="T1046" s="24">
        <f t="shared" si="4"/>
        <v>16</v>
      </c>
      <c r="Z1046" s="25">
        <f t="shared" si="12"/>
        <v>140.7132213</v>
      </c>
    </row>
    <row r="1047">
      <c r="A1047" s="16" t="s">
        <v>3</v>
      </c>
      <c r="B1047" s="17">
        <v>146.0</v>
      </c>
      <c r="C1047" s="24">
        <f t="shared" si="1820"/>
        <v>330831.1514</v>
      </c>
      <c r="D1047" s="25">
        <v>0.05</v>
      </c>
      <c r="E1047" s="24">
        <f t="shared" si="1821"/>
        <v>211.9366921</v>
      </c>
      <c r="F1047" s="25">
        <v>0.02</v>
      </c>
      <c r="G1047" s="24">
        <f t="shared" si="1822"/>
        <v>47261.59306</v>
      </c>
      <c r="H1047" s="25">
        <v>0.05</v>
      </c>
      <c r="I1047" s="24">
        <f t="shared" si="1823"/>
        <v>176.6139101</v>
      </c>
      <c r="J1047" s="25">
        <v>0.02</v>
      </c>
      <c r="K1047" s="25">
        <v>0.0</v>
      </c>
      <c r="L1047" s="24" t="str">
        <f t="shared" ref="L1047:M1047" si="2253">IF(L1046="", "", 1 + IFERROR(MINIFS(OFFSET(L1047, -1, 0, -MIN(ROW()-2, $B1047), 1), OFFSET(L1047, -1, 0, -MIN(ROW()-2, $B1047), 1), "&gt;0"), L1046) + ROUND((L$2 * (LN(1 + $Z1047) ^ U$2) * (U$3 / 100)), 0))</f>
        <v/>
      </c>
      <c r="M1047" s="24">
        <f t="shared" si="2253"/>
        <v>56905</v>
      </c>
      <c r="N1047" s="24" t="str">
        <f t="shared" ref="N1047:O1047" si="2254">IF(N1046="", "", 1 + IFERROR(MINIFS(OFFSET(N1047, -1, 0, -MIN(ROW()-2, $B1047), 1), OFFSET(N1047, -1, 0, -MIN(ROW()-2, $B1047), 1), "&gt;0"), N1046) + ROUND(IFERROR(MINIFS(OFFSET(N1047, -1, 0, -MIN(ROW()-2, $B1047), 1), OFFSET(N1047, -1, 0, -MIN(ROW()-2, $B1047), 1), "&gt;0"), N1046) * ((LN(1 + $Z1047) ^ W$2) * (W$3 / 1000)), 0))</f>
        <v/>
      </c>
      <c r="O1047" s="24" t="str">
        <f t="shared" si="2254"/>
        <v/>
      </c>
      <c r="P1047" s="24">
        <f t="shared" ref="P1047:S1047" si="2255">L1047*$Y$2</f>
        <v>0</v>
      </c>
      <c r="Q1047" s="24">
        <f t="shared" si="2255"/>
        <v>14226.25</v>
      </c>
      <c r="R1047" s="24">
        <f t="shared" si="2255"/>
        <v>0</v>
      </c>
      <c r="S1047" s="24">
        <f t="shared" si="2255"/>
        <v>0</v>
      </c>
      <c r="T1047" s="24">
        <f t="shared" si="4"/>
        <v>16</v>
      </c>
      <c r="Z1047" s="25">
        <f t="shared" si="12"/>
        <v>145.6731841</v>
      </c>
    </row>
    <row r="1048">
      <c r="A1048" s="16" t="s">
        <v>3</v>
      </c>
      <c r="B1048" s="17">
        <v>147.0</v>
      </c>
      <c r="C1048" s="24">
        <f t="shared" si="1820"/>
        <v>347372.709</v>
      </c>
      <c r="D1048" s="25">
        <v>0.05</v>
      </c>
      <c r="E1048" s="24">
        <f t="shared" si="1821"/>
        <v>216.1754259</v>
      </c>
      <c r="F1048" s="25">
        <v>0.02</v>
      </c>
      <c r="G1048" s="24">
        <f t="shared" si="1822"/>
        <v>49624.67272</v>
      </c>
      <c r="H1048" s="25">
        <v>0.05</v>
      </c>
      <c r="I1048" s="24">
        <f t="shared" si="1823"/>
        <v>180.1461883</v>
      </c>
      <c r="J1048" s="25">
        <v>0.02</v>
      </c>
      <c r="K1048" s="25">
        <v>0.0</v>
      </c>
      <c r="L1048" s="24" t="str">
        <f t="shared" ref="L1048:M1048" si="2256">IF(L1047="", "", 1 + IFERROR(MINIFS(OFFSET(L1048, -1, 0, -MIN(ROW()-2, $B1048), 1), OFFSET(L1048, -1, 0, -MIN(ROW()-2, $B1048), 1), "&gt;0"), L1047) + ROUND((L$2 * (LN(1 + $Z1048) ^ U$2) * (U$3 / 100)), 0))</f>
        <v/>
      </c>
      <c r="M1048" s="24">
        <f t="shared" si="2256"/>
        <v>56912</v>
      </c>
      <c r="N1048" s="24" t="str">
        <f t="shared" ref="N1048:O1048" si="2257">IF(N1047="", "", 1 + IFERROR(MINIFS(OFFSET(N1048, -1, 0, -MIN(ROW()-2, $B1048), 1), OFFSET(N1048, -1, 0, -MIN(ROW()-2, $B1048), 1), "&gt;0"), N1047) + ROUND(IFERROR(MINIFS(OFFSET(N1048, -1, 0, -MIN(ROW()-2, $B1048), 1), OFFSET(N1048, -1, 0, -MIN(ROW()-2, $B1048), 1), "&gt;0"), N1047) * ((LN(1 + $Z1048) ^ W$2) * (W$3 / 1000)), 0))</f>
        <v/>
      </c>
      <c r="O1048" s="24" t="str">
        <f t="shared" si="2257"/>
        <v/>
      </c>
      <c r="P1048" s="24">
        <f t="shared" ref="P1048:S1048" si="2258">L1048*$Y$2</f>
        <v>0</v>
      </c>
      <c r="Q1048" s="24">
        <f t="shared" si="2258"/>
        <v>14228</v>
      </c>
      <c r="R1048" s="24">
        <f t="shared" si="2258"/>
        <v>0</v>
      </c>
      <c r="S1048" s="24">
        <f t="shared" si="2258"/>
        <v>0</v>
      </c>
      <c r="T1048" s="24">
        <f t="shared" si="4"/>
        <v>16</v>
      </c>
      <c r="Z1048" s="25">
        <f t="shared" si="12"/>
        <v>150.8067455</v>
      </c>
    </row>
    <row r="1049">
      <c r="A1049" s="16" t="s">
        <v>3</v>
      </c>
      <c r="B1049" s="17">
        <v>148.0</v>
      </c>
      <c r="C1049" s="24">
        <f t="shared" si="1820"/>
        <v>364741.3445</v>
      </c>
      <c r="D1049" s="25">
        <v>0.05</v>
      </c>
      <c r="E1049" s="24">
        <f t="shared" si="1821"/>
        <v>220.4989344</v>
      </c>
      <c r="F1049" s="25">
        <v>0.02</v>
      </c>
      <c r="G1049" s="24">
        <f t="shared" si="1822"/>
        <v>52105.90635</v>
      </c>
      <c r="H1049" s="25">
        <v>0.05</v>
      </c>
      <c r="I1049" s="24">
        <f t="shared" si="1823"/>
        <v>183.749112</v>
      </c>
      <c r="J1049" s="25">
        <v>0.02</v>
      </c>
      <c r="K1049" s="25">
        <v>0.0</v>
      </c>
      <c r="L1049" s="24" t="str">
        <f t="shared" ref="L1049:M1049" si="2259">IF(L1048="", "", 1 + IFERROR(MINIFS(OFFSET(L1049, -1, 0, -MIN(ROW()-2, $B1049), 1), OFFSET(L1049, -1, 0, -MIN(ROW()-2, $B1049), 1), "&gt;0"), L1048) + ROUND((L$2 * (LN(1 + $Z1049) ^ U$2) * (U$3 / 100)), 0))</f>
        <v/>
      </c>
      <c r="M1049" s="24">
        <f t="shared" si="2259"/>
        <v>56919</v>
      </c>
      <c r="N1049" s="24" t="str">
        <f t="shared" ref="N1049:O1049" si="2260">IF(N1048="", "", 1 + IFERROR(MINIFS(OFFSET(N1049, -1, 0, -MIN(ROW()-2, $B1049), 1), OFFSET(N1049, -1, 0, -MIN(ROW()-2, $B1049), 1), "&gt;0"), N1048) + ROUND(IFERROR(MINIFS(OFFSET(N1049, -1, 0, -MIN(ROW()-2, $B1049), 1), OFFSET(N1049, -1, 0, -MIN(ROW()-2, $B1049), 1), "&gt;0"), N1048) * ((LN(1 + $Z1049) ^ W$2) * (W$3 / 1000)), 0))</f>
        <v/>
      </c>
      <c r="O1049" s="24" t="str">
        <f t="shared" si="2260"/>
        <v/>
      </c>
      <c r="P1049" s="24">
        <f t="shared" ref="P1049:S1049" si="2261">L1049*$Y$2</f>
        <v>0</v>
      </c>
      <c r="Q1049" s="24">
        <f t="shared" si="2261"/>
        <v>14229.75</v>
      </c>
      <c r="R1049" s="24">
        <f t="shared" si="2261"/>
        <v>0</v>
      </c>
      <c r="S1049" s="24">
        <f t="shared" si="2261"/>
        <v>0</v>
      </c>
      <c r="T1049" s="24">
        <f t="shared" si="4"/>
        <v>16</v>
      </c>
      <c r="Z1049" s="25">
        <f t="shared" si="12"/>
        <v>156.1199816</v>
      </c>
    </row>
    <row r="1050">
      <c r="A1050" s="16" t="s">
        <v>3</v>
      </c>
      <c r="B1050" s="17">
        <v>149.0</v>
      </c>
      <c r="C1050" s="24">
        <f t="shared" si="1820"/>
        <v>382978.4117</v>
      </c>
      <c r="D1050" s="25">
        <v>0.05</v>
      </c>
      <c r="E1050" s="24">
        <f t="shared" si="1821"/>
        <v>224.9089131</v>
      </c>
      <c r="F1050" s="25">
        <v>0.02</v>
      </c>
      <c r="G1050" s="24">
        <f t="shared" si="1822"/>
        <v>54711.20167</v>
      </c>
      <c r="H1050" s="25">
        <v>0.05</v>
      </c>
      <c r="I1050" s="24">
        <f t="shared" si="1823"/>
        <v>187.4240943</v>
      </c>
      <c r="J1050" s="25">
        <v>0.02</v>
      </c>
      <c r="K1050" s="25">
        <v>0.0</v>
      </c>
      <c r="L1050" s="24" t="str">
        <f t="shared" ref="L1050:M1050" si="2262">IF(L1049="", "", 1 + IFERROR(MINIFS(OFFSET(L1050, -1, 0, -MIN(ROW()-2, $B1050), 1), OFFSET(L1050, -1, 0, -MIN(ROW()-2, $B1050), 1), "&gt;0"), L1049) + ROUND((L$2 * (LN(1 + $Z1050) ^ U$2) * (U$3 / 100)), 0))</f>
        <v/>
      </c>
      <c r="M1050" s="24">
        <f t="shared" si="2262"/>
        <v>56926</v>
      </c>
      <c r="N1050" s="24" t="str">
        <f t="shared" ref="N1050:O1050" si="2263">IF(N1049="", "", 1 + IFERROR(MINIFS(OFFSET(N1050, -1, 0, -MIN(ROW()-2, $B1050), 1), OFFSET(N1050, -1, 0, -MIN(ROW()-2, $B1050), 1), "&gt;0"), N1049) + ROUND(IFERROR(MINIFS(OFFSET(N1050, -1, 0, -MIN(ROW()-2, $B1050), 1), OFFSET(N1050, -1, 0, -MIN(ROW()-2, $B1050), 1), "&gt;0"), N1049) * ((LN(1 + $Z1050) ^ W$2) * (W$3 / 1000)), 0))</f>
        <v/>
      </c>
      <c r="O1050" s="24" t="str">
        <f t="shared" si="2263"/>
        <v/>
      </c>
      <c r="P1050" s="24">
        <f t="shared" ref="P1050:S1050" si="2264">L1050*$Y$2</f>
        <v>0</v>
      </c>
      <c r="Q1050" s="24">
        <f t="shared" si="2264"/>
        <v>14231.5</v>
      </c>
      <c r="R1050" s="24">
        <f t="shared" si="2264"/>
        <v>0</v>
      </c>
      <c r="S1050" s="24">
        <f t="shared" si="2264"/>
        <v>0</v>
      </c>
      <c r="T1050" s="24">
        <f t="shared" si="4"/>
        <v>16</v>
      </c>
      <c r="Z1050" s="25">
        <f t="shared" si="12"/>
        <v>161.6191809</v>
      </c>
    </row>
    <row r="1051">
      <c r="A1051" s="16" t="s">
        <v>3</v>
      </c>
      <c r="B1051" s="17">
        <v>150.0</v>
      </c>
      <c r="C1051" s="24">
        <f t="shared" si="1820"/>
        <v>402127.3323</v>
      </c>
      <c r="D1051" s="25">
        <v>0.05</v>
      </c>
      <c r="E1051" s="24">
        <f t="shared" si="1821"/>
        <v>229.4070914</v>
      </c>
      <c r="F1051" s="25">
        <v>0.02</v>
      </c>
      <c r="G1051" s="24">
        <f t="shared" si="1822"/>
        <v>57446.76175</v>
      </c>
      <c r="H1051" s="25">
        <v>0.05</v>
      </c>
      <c r="I1051" s="24">
        <f t="shared" si="1823"/>
        <v>191.1725761</v>
      </c>
      <c r="J1051" s="25">
        <v>0.02</v>
      </c>
      <c r="K1051" s="25">
        <v>0.0</v>
      </c>
      <c r="L1051" s="24" t="str">
        <f t="shared" ref="L1051:M1051" si="2265">IF(L1050="", "", 1 + IFERROR(MINIFS(OFFSET(L1051, -1, 0, -MIN(ROW()-2, $B1051), 1), OFFSET(L1051, -1, 0, -MIN(ROW()-2, $B1051), 1), "&gt;0"), L1050) + ROUND((L$2 * (LN(1 + $Z1051) ^ U$2) * (U$3 / 100)), 0))</f>
        <v/>
      </c>
      <c r="M1051" s="24">
        <f t="shared" si="2265"/>
        <v>56933</v>
      </c>
      <c r="N1051" s="24" t="str">
        <f t="shared" ref="N1051:O1051" si="2266">IF(N1050="", "", 1 + IFERROR(MINIFS(OFFSET(N1051, -1, 0, -MIN(ROW()-2, $B1051), 1), OFFSET(N1051, -1, 0, -MIN(ROW()-2, $B1051), 1), "&gt;0"), N1050) + ROUND(IFERROR(MINIFS(OFFSET(N1051, -1, 0, -MIN(ROW()-2, $B1051), 1), OFFSET(N1051, -1, 0, -MIN(ROW()-2, $B1051), 1), "&gt;0"), N1050) * ((LN(1 + $Z1051) ^ W$2) * (W$3 / 1000)), 0))</f>
        <v/>
      </c>
      <c r="O1051" s="24" t="str">
        <f t="shared" si="2266"/>
        <v/>
      </c>
      <c r="P1051" s="24">
        <f t="shared" ref="P1051:S1051" si="2267">L1051*$Y$2</f>
        <v>0</v>
      </c>
      <c r="Q1051" s="24">
        <f t="shared" si="2267"/>
        <v>14233.25</v>
      </c>
      <c r="R1051" s="24">
        <f t="shared" si="2267"/>
        <v>0</v>
      </c>
      <c r="S1051" s="24">
        <f t="shared" si="2267"/>
        <v>0</v>
      </c>
      <c r="T1051" s="24">
        <f t="shared" si="4"/>
        <v>16</v>
      </c>
      <c r="Z1051" s="25">
        <f t="shared" si="12"/>
        <v>167.3108523</v>
      </c>
    </row>
    <row r="1052">
      <c r="A1052" s="16" t="s">
        <v>3</v>
      </c>
      <c r="B1052" s="17">
        <v>151.0</v>
      </c>
      <c r="C1052" s="24">
        <f t="shared" si="1820"/>
        <v>422233.6989</v>
      </c>
      <c r="D1052" s="25">
        <v>0.05</v>
      </c>
      <c r="E1052" s="24">
        <f t="shared" si="1821"/>
        <v>233.9952332</v>
      </c>
      <c r="F1052" s="25">
        <v>0.02</v>
      </c>
      <c r="G1052" s="24">
        <f t="shared" si="1822"/>
        <v>60319.09984</v>
      </c>
      <c r="H1052" s="25">
        <v>0.05</v>
      </c>
      <c r="I1052" s="24">
        <f t="shared" si="1823"/>
        <v>194.9960277</v>
      </c>
      <c r="J1052" s="25">
        <v>0.02</v>
      </c>
      <c r="K1052" s="25">
        <v>0.0</v>
      </c>
      <c r="L1052" s="24" t="str">
        <f t="shared" ref="L1052:M1052" si="2268">IF(L1051="", "", 1 + IFERROR(MINIFS(OFFSET(L1052, -1, 0, -MIN(ROW()-2, $B1052), 1), OFFSET(L1052, -1, 0, -MIN(ROW()-2, $B1052), 1), "&gt;0"), L1051) + ROUND((L$2 * (LN(1 + $Z1052) ^ U$2) * (U$3 / 100)), 0))</f>
        <v/>
      </c>
      <c r="M1052" s="24">
        <f t="shared" si="2268"/>
        <v>56940</v>
      </c>
      <c r="N1052" s="24" t="str">
        <f t="shared" ref="N1052:O1052" si="2269">IF(N1051="", "", 1 + IFERROR(MINIFS(OFFSET(N1052, -1, 0, -MIN(ROW()-2, $B1052), 1), OFFSET(N1052, -1, 0, -MIN(ROW()-2, $B1052), 1), "&gt;0"), N1051) + ROUND(IFERROR(MINIFS(OFFSET(N1052, -1, 0, -MIN(ROW()-2, $B1052), 1), OFFSET(N1052, -1, 0, -MIN(ROW()-2, $B1052), 1), "&gt;0"), N1051) * ((LN(1 + $Z1052) ^ W$2) * (W$3 / 1000)), 0))</f>
        <v/>
      </c>
      <c r="O1052" s="24" t="str">
        <f t="shared" si="2269"/>
        <v/>
      </c>
      <c r="P1052" s="24">
        <f t="shared" ref="P1052:S1052" si="2270">L1052*$Y$2</f>
        <v>0</v>
      </c>
      <c r="Q1052" s="24">
        <f t="shared" si="2270"/>
        <v>14235</v>
      </c>
      <c r="R1052" s="24">
        <f t="shared" si="2270"/>
        <v>0</v>
      </c>
      <c r="S1052" s="24">
        <f t="shared" si="2270"/>
        <v>0</v>
      </c>
      <c r="T1052" s="24">
        <f t="shared" si="4"/>
        <v>16</v>
      </c>
      <c r="Z1052" s="25">
        <f t="shared" si="12"/>
        <v>173.2017321</v>
      </c>
    </row>
    <row r="1053">
      <c r="A1053" s="16" t="s">
        <v>3</v>
      </c>
      <c r="B1053" s="17">
        <v>152.0</v>
      </c>
      <c r="C1053" s="24">
        <f t="shared" si="1820"/>
        <v>443345.3838</v>
      </c>
      <c r="D1053" s="25">
        <v>0.05</v>
      </c>
      <c r="E1053" s="24">
        <f t="shared" si="1821"/>
        <v>238.6751379</v>
      </c>
      <c r="F1053" s="25">
        <v>0.02</v>
      </c>
      <c r="G1053" s="24">
        <f t="shared" si="1822"/>
        <v>63335.05483</v>
      </c>
      <c r="H1053" s="25">
        <v>0.05</v>
      </c>
      <c r="I1053" s="24">
        <f t="shared" si="1823"/>
        <v>198.8959482</v>
      </c>
      <c r="J1053" s="25">
        <v>0.02</v>
      </c>
      <c r="K1053" s="25">
        <v>0.0</v>
      </c>
      <c r="L1053" s="24" t="str">
        <f t="shared" ref="L1053:M1053" si="2271">IF(L1052="", "", 1 + IFERROR(MINIFS(OFFSET(L1053, -1, 0, -MIN(ROW()-2, $B1053), 1), OFFSET(L1053, -1, 0, -MIN(ROW()-2, $B1053), 1), "&gt;0"), L1052) + ROUND((L$2 * (LN(1 + $Z1053) ^ U$2) * (U$3 / 100)), 0))</f>
        <v/>
      </c>
      <c r="M1053" s="24">
        <f t="shared" si="2271"/>
        <v>56947</v>
      </c>
      <c r="N1053" s="24" t="str">
        <f t="shared" ref="N1053:O1053" si="2272">IF(N1052="", "", 1 + IFERROR(MINIFS(OFFSET(N1053, -1, 0, -MIN(ROW()-2, $B1053), 1), OFFSET(N1053, -1, 0, -MIN(ROW()-2, $B1053), 1), "&gt;0"), N1052) + ROUND(IFERROR(MINIFS(OFFSET(N1053, -1, 0, -MIN(ROW()-2, $B1053), 1), OFFSET(N1053, -1, 0, -MIN(ROW()-2, $B1053), 1), "&gt;0"), N1052) * ((LN(1 + $Z1053) ^ W$2) * (W$3 / 1000)), 0))</f>
        <v/>
      </c>
      <c r="O1053" s="24" t="str">
        <f t="shared" si="2272"/>
        <v/>
      </c>
      <c r="P1053" s="24">
        <f t="shared" ref="P1053:S1053" si="2273">L1053*$Y$2</f>
        <v>0</v>
      </c>
      <c r="Q1053" s="24">
        <f t="shared" si="2273"/>
        <v>14236.75</v>
      </c>
      <c r="R1053" s="24">
        <f t="shared" si="2273"/>
        <v>0</v>
      </c>
      <c r="S1053" s="24">
        <f t="shared" si="2273"/>
        <v>0</v>
      </c>
      <c r="T1053" s="24">
        <f t="shared" si="4"/>
        <v>16</v>
      </c>
      <c r="Z1053" s="25">
        <f t="shared" si="12"/>
        <v>179.2987927</v>
      </c>
    </row>
    <row r="1054">
      <c r="A1054" s="16" t="s">
        <v>3</v>
      </c>
      <c r="B1054" s="17">
        <v>153.0</v>
      </c>
      <c r="C1054" s="24">
        <f t="shared" si="1820"/>
        <v>465512.653</v>
      </c>
      <c r="D1054" s="25">
        <v>0.05</v>
      </c>
      <c r="E1054" s="24">
        <f t="shared" si="1821"/>
        <v>243.4486406</v>
      </c>
      <c r="F1054" s="25">
        <v>0.02</v>
      </c>
      <c r="G1054" s="24">
        <f t="shared" si="1822"/>
        <v>66501.80758</v>
      </c>
      <c r="H1054" s="25">
        <v>0.05</v>
      </c>
      <c r="I1054" s="24">
        <f t="shared" si="1823"/>
        <v>202.8738672</v>
      </c>
      <c r="J1054" s="25">
        <v>0.02</v>
      </c>
      <c r="K1054" s="25">
        <v>0.0</v>
      </c>
      <c r="L1054" s="24" t="str">
        <f t="shared" ref="L1054:M1054" si="2274">IF(L1053="", "", 1 + IFERROR(MINIFS(OFFSET(L1054, -1, 0, -MIN(ROW()-2, $B1054), 1), OFFSET(L1054, -1, 0, -MIN(ROW()-2, $B1054), 1), "&gt;0"), L1053) + ROUND((L$2 * (LN(1 + $Z1054) ^ U$2) * (U$3 / 100)), 0))</f>
        <v/>
      </c>
      <c r="M1054" s="24">
        <f t="shared" si="2274"/>
        <v>56954</v>
      </c>
      <c r="N1054" s="24" t="str">
        <f t="shared" ref="N1054:O1054" si="2275">IF(N1053="", "", 1 + IFERROR(MINIFS(OFFSET(N1054, -1, 0, -MIN(ROW()-2, $B1054), 1), OFFSET(N1054, -1, 0, -MIN(ROW()-2, $B1054), 1), "&gt;0"), N1053) + ROUND(IFERROR(MINIFS(OFFSET(N1054, -1, 0, -MIN(ROW()-2, $B1054), 1), OFFSET(N1054, -1, 0, -MIN(ROW()-2, $B1054), 1), "&gt;0"), N1053) * ((LN(1 + $Z1054) ^ W$2) * (W$3 / 1000)), 0))</f>
        <v/>
      </c>
      <c r="O1054" s="24" t="str">
        <f t="shared" si="2275"/>
        <v/>
      </c>
      <c r="P1054" s="24">
        <f t="shared" ref="P1054:S1054" si="2276">L1054*$Y$2</f>
        <v>0</v>
      </c>
      <c r="Q1054" s="24">
        <f t="shared" si="2276"/>
        <v>14238.5</v>
      </c>
      <c r="R1054" s="24">
        <f t="shared" si="2276"/>
        <v>0</v>
      </c>
      <c r="S1054" s="24">
        <f t="shared" si="2276"/>
        <v>0</v>
      </c>
      <c r="T1054" s="24">
        <f t="shared" si="4"/>
        <v>16</v>
      </c>
      <c r="Z1054" s="25">
        <f t="shared" si="12"/>
        <v>185.6092505</v>
      </c>
    </row>
    <row r="1055">
      <c r="A1055" s="16" t="s">
        <v>3</v>
      </c>
      <c r="B1055" s="17">
        <v>154.0</v>
      </c>
      <c r="C1055" s="24">
        <f t="shared" si="1820"/>
        <v>488788.2857</v>
      </c>
      <c r="D1055" s="25">
        <v>0.05</v>
      </c>
      <c r="E1055" s="24">
        <f t="shared" si="1821"/>
        <v>248.3176134</v>
      </c>
      <c r="F1055" s="25">
        <v>0.02</v>
      </c>
      <c r="G1055" s="24">
        <f t="shared" si="1822"/>
        <v>69826.89795</v>
      </c>
      <c r="H1055" s="25">
        <v>0.05</v>
      </c>
      <c r="I1055" s="24">
        <f t="shared" si="1823"/>
        <v>206.9313445</v>
      </c>
      <c r="J1055" s="25">
        <v>0.02</v>
      </c>
      <c r="K1055" s="25">
        <v>0.0</v>
      </c>
      <c r="L1055" s="24" t="str">
        <f t="shared" ref="L1055:M1055" si="2277">IF(L1054="", "", 1 + IFERROR(MINIFS(OFFSET(L1055, -1, 0, -MIN(ROW()-2, $B1055), 1), OFFSET(L1055, -1, 0, -MIN(ROW()-2, $B1055), 1), "&gt;0"), L1054) + ROUND((L$2 * (LN(1 + $Z1055) ^ U$2) * (U$3 / 100)), 0))</f>
        <v/>
      </c>
      <c r="M1055" s="24">
        <f t="shared" si="2277"/>
        <v>56961</v>
      </c>
      <c r="N1055" s="24" t="str">
        <f t="shared" ref="N1055:O1055" si="2278">IF(N1054="", "", 1 + IFERROR(MINIFS(OFFSET(N1055, -1, 0, -MIN(ROW()-2, $B1055), 1), OFFSET(N1055, -1, 0, -MIN(ROW()-2, $B1055), 1), "&gt;0"), N1054) + ROUND(IFERROR(MINIFS(OFFSET(N1055, -1, 0, -MIN(ROW()-2, $B1055), 1), OFFSET(N1055, -1, 0, -MIN(ROW()-2, $B1055), 1), "&gt;0"), N1054) * ((LN(1 + $Z1055) ^ W$2) * (W$3 / 1000)), 0))</f>
        <v/>
      </c>
      <c r="O1055" s="24" t="str">
        <f t="shared" si="2278"/>
        <v/>
      </c>
      <c r="P1055" s="24">
        <f t="shared" ref="P1055:S1055" si="2279">L1055*$Y$2</f>
        <v>0</v>
      </c>
      <c r="Q1055" s="24">
        <f t="shared" si="2279"/>
        <v>14240.25</v>
      </c>
      <c r="R1055" s="24">
        <f t="shared" si="2279"/>
        <v>0</v>
      </c>
      <c r="S1055" s="24">
        <f t="shared" si="2279"/>
        <v>0</v>
      </c>
      <c r="T1055" s="24">
        <f t="shared" si="4"/>
        <v>16</v>
      </c>
      <c r="Z1055" s="25">
        <f t="shared" si="12"/>
        <v>192.1405742</v>
      </c>
    </row>
    <row r="1056">
      <c r="A1056" s="16" t="s">
        <v>3</v>
      </c>
      <c r="B1056" s="17">
        <v>155.0</v>
      </c>
      <c r="C1056" s="24">
        <f t="shared" si="1820"/>
        <v>513227.7</v>
      </c>
      <c r="D1056" s="25">
        <v>0.05</v>
      </c>
      <c r="E1056" s="24">
        <f t="shared" si="1821"/>
        <v>253.2839657</v>
      </c>
      <c r="F1056" s="25">
        <v>0.02</v>
      </c>
      <c r="G1056" s="24">
        <f t="shared" si="1822"/>
        <v>73318.24285</v>
      </c>
      <c r="H1056" s="25">
        <v>0.05</v>
      </c>
      <c r="I1056" s="24">
        <f t="shared" si="1823"/>
        <v>211.0699714</v>
      </c>
      <c r="J1056" s="25">
        <v>0.02</v>
      </c>
      <c r="K1056" s="25">
        <v>0.0</v>
      </c>
      <c r="L1056" s="24" t="str">
        <f t="shared" ref="L1056:M1056" si="2280">IF(L1055="", "", 1 + IFERROR(MINIFS(OFFSET(L1056, -1, 0, -MIN(ROW()-2, $B1056), 1), OFFSET(L1056, -1, 0, -MIN(ROW()-2, $B1056), 1), "&gt;0"), L1055) + ROUND((L$2 * (LN(1 + $Z1056) ^ U$2) * (U$3 / 100)), 0))</f>
        <v/>
      </c>
      <c r="M1056" s="24">
        <f t="shared" si="2280"/>
        <v>56968</v>
      </c>
      <c r="N1056" s="24" t="str">
        <f t="shared" ref="N1056:O1056" si="2281">IF(N1055="", "", 1 + IFERROR(MINIFS(OFFSET(N1056, -1, 0, -MIN(ROW()-2, $B1056), 1), OFFSET(N1056, -1, 0, -MIN(ROW()-2, $B1056), 1), "&gt;0"), N1055) + ROUND(IFERROR(MINIFS(OFFSET(N1056, -1, 0, -MIN(ROW()-2, $B1056), 1), OFFSET(N1056, -1, 0, -MIN(ROW()-2, $B1056), 1), "&gt;0"), N1055) * ((LN(1 + $Z1056) ^ W$2) * (W$3 / 1000)), 0))</f>
        <v/>
      </c>
      <c r="O1056" s="24" t="str">
        <f t="shared" si="2281"/>
        <v/>
      </c>
      <c r="P1056" s="24">
        <f t="shared" ref="P1056:S1056" si="2282">L1056*$Y$2</f>
        <v>0</v>
      </c>
      <c r="Q1056" s="24">
        <f t="shared" si="2282"/>
        <v>14242</v>
      </c>
      <c r="R1056" s="24">
        <f t="shared" si="2282"/>
        <v>0</v>
      </c>
      <c r="S1056" s="24">
        <f t="shared" si="2282"/>
        <v>0</v>
      </c>
      <c r="T1056" s="24">
        <f t="shared" si="4"/>
        <v>17</v>
      </c>
      <c r="Z1056" s="25">
        <f t="shared" si="12"/>
        <v>198.9004943</v>
      </c>
    </row>
    <row r="1057">
      <c r="A1057" s="16" t="s">
        <v>3</v>
      </c>
      <c r="B1057" s="17">
        <v>156.0</v>
      </c>
      <c r="C1057" s="24">
        <f t="shared" si="1820"/>
        <v>538889.085</v>
      </c>
      <c r="D1057" s="25">
        <v>0.05</v>
      </c>
      <c r="E1057" s="24">
        <f t="shared" si="1821"/>
        <v>258.349645</v>
      </c>
      <c r="F1057" s="25">
        <v>0.02</v>
      </c>
      <c r="G1057" s="24">
        <f t="shared" si="1822"/>
        <v>76984.155</v>
      </c>
      <c r="H1057" s="25">
        <v>0.05</v>
      </c>
      <c r="I1057" s="24">
        <f t="shared" si="1823"/>
        <v>215.2913708</v>
      </c>
      <c r="J1057" s="25">
        <v>0.02</v>
      </c>
      <c r="K1057" s="25">
        <v>0.0</v>
      </c>
      <c r="L1057" s="24" t="str">
        <f t="shared" ref="L1057:M1057" si="2283">IF(L1056="", "", 1 + IFERROR(MINIFS(OFFSET(L1057, -1, 0, -MIN(ROW()-2, $B1057), 1), OFFSET(L1057, -1, 0, -MIN(ROW()-2, $B1057), 1), "&gt;0"), L1056) + ROUND((L$2 * (LN(1 + $Z1057) ^ U$2) * (U$3 / 100)), 0))</f>
        <v/>
      </c>
      <c r="M1057" s="24">
        <f t="shared" si="2283"/>
        <v>56975</v>
      </c>
      <c r="N1057" s="24" t="str">
        <f t="shared" ref="N1057:O1057" si="2284">IF(N1056="", "", 1 + IFERROR(MINIFS(OFFSET(N1057, -1, 0, -MIN(ROW()-2, $B1057), 1), OFFSET(N1057, -1, 0, -MIN(ROW()-2, $B1057), 1), "&gt;0"), N1056) + ROUND(IFERROR(MINIFS(OFFSET(N1057, -1, 0, -MIN(ROW()-2, $B1057), 1), OFFSET(N1057, -1, 0, -MIN(ROW()-2, $B1057), 1), "&gt;0"), N1056) * ((LN(1 + $Z1057) ^ W$2) * (W$3 / 1000)), 0))</f>
        <v/>
      </c>
      <c r="O1057" s="24" t="str">
        <f t="shared" si="2284"/>
        <v/>
      </c>
      <c r="P1057" s="24">
        <f t="shared" ref="P1057:S1057" si="2285">L1057*$Y$2</f>
        <v>0</v>
      </c>
      <c r="Q1057" s="24">
        <f t="shared" si="2285"/>
        <v>14243.75</v>
      </c>
      <c r="R1057" s="24">
        <f t="shared" si="2285"/>
        <v>0</v>
      </c>
      <c r="S1057" s="24">
        <f t="shared" si="2285"/>
        <v>0</v>
      </c>
      <c r="T1057" s="24">
        <f t="shared" si="4"/>
        <v>17</v>
      </c>
      <c r="Z1057" s="25">
        <f t="shared" si="12"/>
        <v>205.8970116</v>
      </c>
    </row>
    <row r="1058">
      <c r="A1058" s="16" t="s">
        <v>3</v>
      </c>
      <c r="B1058" s="17">
        <v>157.0</v>
      </c>
      <c r="C1058" s="24">
        <f t="shared" si="1820"/>
        <v>565833.5392</v>
      </c>
      <c r="D1058" s="25">
        <v>0.05</v>
      </c>
      <c r="E1058" s="24">
        <f t="shared" si="1821"/>
        <v>263.5166379</v>
      </c>
      <c r="F1058" s="25">
        <v>0.02</v>
      </c>
      <c r="G1058" s="24">
        <f t="shared" si="1822"/>
        <v>80833.36274</v>
      </c>
      <c r="H1058" s="25">
        <v>0.05</v>
      </c>
      <c r="I1058" s="24">
        <f t="shared" si="1823"/>
        <v>219.5971983</v>
      </c>
      <c r="J1058" s="25">
        <v>0.02</v>
      </c>
      <c r="K1058" s="25">
        <v>0.0</v>
      </c>
      <c r="L1058" s="24" t="str">
        <f t="shared" ref="L1058:M1058" si="2286">IF(L1057="", "", 1 + IFERROR(MINIFS(OFFSET(L1058, -1, 0, -MIN(ROW()-2, $B1058), 1), OFFSET(L1058, -1, 0, -MIN(ROW()-2, $B1058), 1), "&gt;0"), L1057) + ROUND((L$2 * (LN(1 + $Z1058) ^ U$2) * (U$3 / 100)), 0))</f>
        <v/>
      </c>
      <c r="M1058" s="24">
        <f t="shared" si="2286"/>
        <v>56982</v>
      </c>
      <c r="N1058" s="24" t="str">
        <f t="shared" ref="N1058:O1058" si="2287">IF(N1057="", "", 1 + IFERROR(MINIFS(OFFSET(N1058, -1, 0, -MIN(ROW()-2, $B1058), 1), OFFSET(N1058, -1, 0, -MIN(ROW()-2, $B1058), 1), "&gt;0"), N1057) + ROUND(IFERROR(MINIFS(OFFSET(N1058, -1, 0, -MIN(ROW()-2, $B1058), 1), OFFSET(N1058, -1, 0, -MIN(ROW()-2, $B1058), 1), "&gt;0"), N1057) * ((LN(1 + $Z1058) ^ W$2) * (W$3 / 1000)), 0))</f>
        <v/>
      </c>
      <c r="O1058" s="24" t="str">
        <f t="shared" si="2287"/>
        <v/>
      </c>
      <c r="P1058" s="24">
        <f t="shared" ref="P1058:S1058" si="2288">L1058*$Y$2</f>
        <v>0</v>
      </c>
      <c r="Q1058" s="24">
        <f t="shared" si="2288"/>
        <v>14245.5</v>
      </c>
      <c r="R1058" s="24">
        <f t="shared" si="2288"/>
        <v>0</v>
      </c>
      <c r="S1058" s="24">
        <f t="shared" si="2288"/>
        <v>0</v>
      </c>
      <c r="T1058" s="24">
        <f t="shared" si="4"/>
        <v>17</v>
      </c>
      <c r="Z1058" s="25">
        <f t="shared" si="12"/>
        <v>213.1384071</v>
      </c>
    </row>
    <row r="1059">
      <c r="A1059" s="16" t="s">
        <v>3</v>
      </c>
      <c r="B1059" s="17">
        <v>158.0</v>
      </c>
      <c r="C1059" s="24">
        <f t="shared" si="1820"/>
        <v>594125.2162</v>
      </c>
      <c r="D1059" s="25">
        <v>0.05</v>
      </c>
      <c r="E1059" s="24">
        <f t="shared" si="1821"/>
        <v>268.7869707</v>
      </c>
      <c r="F1059" s="25">
        <v>0.02</v>
      </c>
      <c r="G1059" s="24">
        <f t="shared" si="1822"/>
        <v>84875.03088</v>
      </c>
      <c r="H1059" s="25">
        <v>0.05</v>
      </c>
      <c r="I1059" s="24">
        <f t="shared" si="1823"/>
        <v>223.9891422</v>
      </c>
      <c r="J1059" s="25">
        <v>0.02</v>
      </c>
      <c r="K1059" s="25">
        <v>0.0</v>
      </c>
      <c r="L1059" s="24" t="str">
        <f t="shared" ref="L1059:M1059" si="2289">IF(L1058="", "", 1 + IFERROR(MINIFS(OFFSET(L1059, -1, 0, -MIN(ROW()-2, $B1059), 1), OFFSET(L1059, -1, 0, -MIN(ROW()-2, $B1059), 1), "&gt;0"), L1058) + ROUND((L$2 * (LN(1 + $Z1059) ^ U$2) * (U$3 / 100)), 0))</f>
        <v/>
      </c>
      <c r="M1059" s="24">
        <f t="shared" si="2289"/>
        <v>56990</v>
      </c>
      <c r="N1059" s="24" t="str">
        <f t="shared" ref="N1059:O1059" si="2290">IF(N1058="", "", 1 + IFERROR(MINIFS(OFFSET(N1059, -1, 0, -MIN(ROW()-2, $B1059), 1), OFFSET(N1059, -1, 0, -MIN(ROW()-2, $B1059), 1), "&gt;0"), N1058) + ROUND(IFERROR(MINIFS(OFFSET(N1059, -1, 0, -MIN(ROW()-2, $B1059), 1), OFFSET(N1059, -1, 0, -MIN(ROW()-2, $B1059), 1), "&gt;0"), N1058) * ((LN(1 + $Z1059) ^ W$2) * (W$3 / 1000)), 0))</f>
        <v/>
      </c>
      <c r="O1059" s="24" t="str">
        <f t="shared" si="2290"/>
        <v/>
      </c>
      <c r="P1059" s="24">
        <f t="shared" ref="P1059:S1059" si="2291">L1059*$Y$2</f>
        <v>0</v>
      </c>
      <c r="Q1059" s="24">
        <f t="shared" si="2291"/>
        <v>14247.5</v>
      </c>
      <c r="R1059" s="24">
        <f t="shared" si="2291"/>
        <v>0</v>
      </c>
      <c r="S1059" s="24">
        <f t="shared" si="2291"/>
        <v>0</v>
      </c>
      <c r="T1059" s="24">
        <f t="shared" si="4"/>
        <v>17</v>
      </c>
      <c r="Z1059" s="25">
        <f t="shared" si="12"/>
        <v>220.6332513</v>
      </c>
    </row>
    <row r="1060">
      <c r="A1060" s="16" t="s">
        <v>3</v>
      </c>
      <c r="B1060" s="17">
        <v>159.0</v>
      </c>
      <c r="C1060" s="24">
        <f t="shared" si="1820"/>
        <v>623831.477</v>
      </c>
      <c r="D1060" s="25">
        <v>0.05</v>
      </c>
      <c r="E1060" s="24">
        <f t="shared" si="1821"/>
        <v>274.1627101</v>
      </c>
      <c r="F1060" s="25">
        <v>0.02</v>
      </c>
      <c r="G1060" s="24">
        <f t="shared" si="1822"/>
        <v>89118.78243</v>
      </c>
      <c r="H1060" s="25">
        <v>0.05</v>
      </c>
      <c r="I1060" s="24">
        <f t="shared" si="1823"/>
        <v>228.4689251</v>
      </c>
      <c r="J1060" s="25">
        <v>0.02</v>
      </c>
      <c r="K1060" s="25">
        <v>0.0</v>
      </c>
      <c r="L1060" s="24" t="str">
        <f t="shared" ref="L1060:M1060" si="2292">IF(L1059="", "", 1 + IFERROR(MINIFS(OFFSET(L1060, -1, 0, -MIN(ROW()-2, $B1060), 1), OFFSET(L1060, -1, 0, -MIN(ROW()-2, $B1060), 1), "&gt;0"), L1059) + ROUND((L$2 * (LN(1 + $Z1060) ^ U$2) * (U$3 / 100)), 0))</f>
        <v/>
      </c>
      <c r="M1060" s="24">
        <f t="shared" si="2292"/>
        <v>56998</v>
      </c>
      <c r="N1060" s="24" t="str">
        <f t="shared" ref="N1060:O1060" si="2293">IF(N1059="", "", 1 + IFERROR(MINIFS(OFFSET(N1060, -1, 0, -MIN(ROW()-2, $B1060), 1), OFFSET(N1060, -1, 0, -MIN(ROW()-2, $B1060), 1), "&gt;0"), N1059) + ROUND(IFERROR(MINIFS(OFFSET(N1060, -1, 0, -MIN(ROW()-2, $B1060), 1), OFFSET(N1060, -1, 0, -MIN(ROW()-2, $B1060), 1), "&gt;0"), N1059) * ((LN(1 + $Z1060) ^ W$2) * (W$3 / 1000)), 0))</f>
        <v/>
      </c>
      <c r="O1060" s="24" t="str">
        <f t="shared" si="2293"/>
        <v/>
      </c>
      <c r="P1060" s="24">
        <f t="shared" ref="P1060:S1060" si="2294">L1060*$Y$2</f>
        <v>0</v>
      </c>
      <c r="Q1060" s="24">
        <f t="shared" si="2294"/>
        <v>14249.5</v>
      </c>
      <c r="R1060" s="24">
        <f t="shared" si="2294"/>
        <v>0</v>
      </c>
      <c r="S1060" s="24">
        <f t="shared" si="2294"/>
        <v>0</v>
      </c>
      <c r="T1060" s="24">
        <f t="shared" si="4"/>
        <v>17</v>
      </c>
      <c r="Z1060" s="25">
        <f t="shared" si="12"/>
        <v>228.3904151</v>
      </c>
    </row>
    <row r="1061">
      <c r="A1061" s="16" t="s">
        <v>3</v>
      </c>
      <c r="B1061" s="17">
        <v>160.0</v>
      </c>
      <c r="C1061" s="24">
        <f t="shared" si="1820"/>
        <v>655023.0508</v>
      </c>
      <c r="D1061" s="25">
        <v>0.05</v>
      </c>
      <c r="E1061" s="24">
        <f t="shared" si="1821"/>
        <v>279.6459643</v>
      </c>
      <c r="F1061" s="25">
        <v>0.02</v>
      </c>
      <c r="G1061" s="24">
        <f t="shared" si="1822"/>
        <v>93574.72155</v>
      </c>
      <c r="H1061" s="25">
        <v>0.05</v>
      </c>
      <c r="I1061" s="24">
        <f t="shared" si="1823"/>
        <v>233.0383036</v>
      </c>
      <c r="J1061" s="25">
        <v>0.02</v>
      </c>
      <c r="K1061" s="25">
        <v>0.0</v>
      </c>
      <c r="L1061" s="24" t="str">
        <f t="shared" ref="L1061:M1061" si="2295">IF(L1060="", "", 1 + IFERROR(MINIFS(OFFSET(L1061, -1, 0, -MIN(ROW()-2, $B1061), 1), OFFSET(L1061, -1, 0, -MIN(ROW()-2, $B1061), 1), "&gt;0"), L1060) + ROUND((L$2 * (LN(1 + $Z1061) ^ U$2) * (U$3 / 100)), 0))</f>
        <v/>
      </c>
      <c r="M1061" s="24">
        <f t="shared" si="2295"/>
        <v>57006</v>
      </c>
      <c r="N1061" s="24" t="str">
        <f t="shared" ref="N1061:O1061" si="2296">IF(N1060="", "", 1 + IFERROR(MINIFS(OFFSET(N1061, -1, 0, -MIN(ROW()-2, $B1061), 1), OFFSET(N1061, -1, 0, -MIN(ROW()-2, $B1061), 1), "&gt;0"), N1060) + ROUND(IFERROR(MINIFS(OFFSET(N1061, -1, 0, -MIN(ROW()-2, $B1061), 1), OFFSET(N1061, -1, 0, -MIN(ROW()-2, $B1061), 1), "&gt;0"), N1060) * ((LN(1 + $Z1061) ^ W$2) * (W$3 / 1000)), 0))</f>
        <v/>
      </c>
      <c r="O1061" s="24" t="str">
        <f t="shared" si="2296"/>
        <v/>
      </c>
      <c r="P1061" s="24">
        <f t="shared" ref="P1061:S1061" si="2297">L1061*$Y$2</f>
        <v>0</v>
      </c>
      <c r="Q1061" s="24">
        <f t="shared" si="2297"/>
        <v>14251.5</v>
      </c>
      <c r="R1061" s="24">
        <f t="shared" si="2297"/>
        <v>0</v>
      </c>
      <c r="S1061" s="24">
        <f t="shared" si="2297"/>
        <v>0</v>
      </c>
      <c r="T1061" s="24">
        <f t="shared" si="4"/>
        <v>17</v>
      </c>
      <c r="Z1061" s="25">
        <f t="shared" si="12"/>
        <v>236.4190796</v>
      </c>
    </row>
    <row r="1062">
      <c r="A1062" s="16" t="s">
        <v>3</v>
      </c>
      <c r="B1062" s="17">
        <v>161.0</v>
      </c>
      <c r="C1062" s="24">
        <f t="shared" si="1820"/>
        <v>687774.2034</v>
      </c>
      <c r="D1062" s="25">
        <v>0.05</v>
      </c>
      <c r="E1062" s="24">
        <f t="shared" si="1821"/>
        <v>285.2388836</v>
      </c>
      <c r="F1062" s="25">
        <v>0.02</v>
      </c>
      <c r="G1062" s="24">
        <f t="shared" si="1822"/>
        <v>98253.45762</v>
      </c>
      <c r="H1062" s="25">
        <v>0.05</v>
      </c>
      <c r="I1062" s="24">
        <f t="shared" si="1823"/>
        <v>237.6990696</v>
      </c>
      <c r="J1062" s="25">
        <v>0.02</v>
      </c>
      <c r="K1062" s="25">
        <v>0.0</v>
      </c>
      <c r="L1062" s="24" t="str">
        <f t="shared" ref="L1062:M1062" si="2298">IF(L1061="", "", 1 + IFERROR(MINIFS(OFFSET(L1062, -1, 0, -MIN(ROW()-2, $B1062), 1), OFFSET(L1062, -1, 0, -MIN(ROW()-2, $B1062), 1), "&gt;0"), L1061) + ROUND((L$2 * (LN(1 + $Z1062) ^ U$2) * (U$3 / 100)), 0))</f>
        <v/>
      </c>
      <c r="M1062" s="24">
        <f t="shared" si="2298"/>
        <v>57014</v>
      </c>
      <c r="N1062" s="24" t="str">
        <f t="shared" ref="N1062:O1062" si="2299">IF(N1061="", "", 1 + IFERROR(MINIFS(OFFSET(N1062, -1, 0, -MIN(ROW()-2, $B1062), 1), OFFSET(N1062, -1, 0, -MIN(ROW()-2, $B1062), 1), "&gt;0"), N1061) + ROUND(IFERROR(MINIFS(OFFSET(N1062, -1, 0, -MIN(ROW()-2, $B1062), 1), OFFSET(N1062, -1, 0, -MIN(ROW()-2, $B1062), 1), "&gt;0"), N1061) * ((LN(1 + $Z1062) ^ W$2) * (W$3 / 1000)), 0))</f>
        <v/>
      </c>
      <c r="O1062" s="24" t="str">
        <f t="shared" si="2299"/>
        <v/>
      </c>
      <c r="P1062" s="24">
        <f t="shared" ref="P1062:S1062" si="2300">L1062*$Y$2</f>
        <v>0</v>
      </c>
      <c r="Q1062" s="24">
        <f t="shared" si="2300"/>
        <v>14253.5</v>
      </c>
      <c r="R1062" s="24">
        <f t="shared" si="2300"/>
        <v>0</v>
      </c>
      <c r="S1062" s="24">
        <f t="shared" si="2300"/>
        <v>0</v>
      </c>
      <c r="T1062" s="24">
        <f t="shared" si="4"/>
        <v>17</v>
      </c>
      <c r="Z1062" s="25">
        <f t="shared" si="12"/>
        <v>244.7287474</v>
      </c>
    </row>
    <row r="1063">
      <c r="A1063" s="16" t="s">
        <v>3</v>
      </c>
      <c r="B1063" s="17">
        <v>162.0</v>
      </c>
      <c r="C1063" s="24">
        <f t="shared" si="1820"/>
        <v>722162.9135</v>
      </c>
      <c r="D1063" s="25">
        <v>0.05</v>
      </c>
      <c r="E1063" s="24">
        <f t="shared" si="1821"/>
        <v>290.9436612</v>
      </c>
      <c r="F1063" s="25">
        <v>0.02</v>
      </c>
      <c r="G1063" s="24">
        <f t="shared" si="1822"/>
        <v>103166.1305</v>
      </c>
      <c r="H1063" s="25">
        <v>0.05</v>
      </c>
      <c r="I1063" s="24">
        <f t="shared" si="1823"/>
        <v>242.453051</v>
      </c>
      <c r="J1063" s="25">
        <v>0.02</v>
      </c>
      <c r="K1063" s="25">
        <v>0.0</v>
      </c>
      <c r="L1063" s="24" t="str">
        <f t="shared" ref="L1063:M1063" si="2301">IF(L1062="", "", 1 + IFERROR(MINIFS(OFFSET(L1063, -1, 0, -MIN(ROW()-2, $B1063), 1), OFFSET(L1063, -1, 0, -MIN(ROW()-2, $B1063), 1), "&gt;0"), L1062) + ROUND((L$2 * (LN(1 + $Z1063) ^ U$2) * (U$3 / 100)), 0))</f>
        <v/>
      </c>
      <c r="M1063" s="24">
        <f t="shared" si="2301"/>
        <v>57022</v>
      </c>
      <c r="N1063" s="24" t="str">
        <f t="shared" ref="N1063:O1063" si="2302">IF(N1062="", "", 1 + IFERROR(MINIFS(OFFSET(N1063, -1, 0, -MIN(ROW()-2, $B1063), 1), OFFSET(N1063, -1, 0, -MIN(ROW()-2, $B1063), 1), "&gt;0"), N1062) + ROUND(IFERROR(MINIFS(OFFSET(N1063, -1, 0, -MIN(ROW()-2, $B1063), 1), OFFSET(N1063, -1, 0, -MIN(ROW()-2, $B1063), 1), "&gt;0"), N1062) * ((LN(1 + $Z1063) ^ W$2) * (W$3 / 1000)), 0))</f>
        <v/>
      </c>
      <c r="O1063" s="24" t="str">
        <f t="shared" si="2302"/>
        <v/>
      </c>
      <c r="P1063" s="24">
        <f t="shared" ref="P1063:S1063" si="2303">L1063*$Y$2</f>
        <v>0</v>
      </c>
      <c r="Q1063" s="24">
        <f t="shared" si="2303"/>
        <v>14255.5</v>
      </c>
      <c r="R1063" s="24">
        <f t="shared" si="2303"/>
        <v>0</v>
      </c>
      <c r="S1063" s="24">
        <f t="shared" si="2303"/>
        <v>0</v>
      </c>
      <c r="T1063" s="24">
        <f t="shared" si="4"/>
        <v>17</v>
      </c>
      <c r="Z1063" s="25">
        <f t="shared" si="12"/>
        <v>253.3292536</v>
      </c>
    </row>
    <row r="1064">
      <c r="A1064" s="16" t="s">
        <v>3</v>
      </c>
      <c r="B1064" s="17">
        <v>163.0</v>
      </c>
      <c r="C1064" s="24">
        <f t="shared" si="1820"/>
        <v>758271.0592</v>
      </c>
      <c r="D1064" s="25">
        <v>0.05</v>
      </c>
      <c r="E1064" s="24">
        <f t="shared" si="1821"/>
        <v>296.7625345</v>
      </c>
      <c r="F1064" s="25">
        <v>0.02</v>
      </c>
      <c r="G1064" s="24">
        <f t="shared" si="1822"/>
        <v>108324.437</v>
      </c>
      <c r="H1064" s="25">
        <v>0.05</v>
      </c>
      <c r="I1064" s="24">
        <f t="shared" si="1823"/>
        <v>247.3021121</v>
      </c>
      <c r="J1064" s="25">
        <v>0.02</v>
      </c>
      <c r="K1064" s="25">
        <v>0.0</v>
      </c>
      <c r="L1064" s="24" t="str">
        <f t="shared" ref="L1064:M1064" si="2304">IF(L1063="", "", 1 + IFERROR(MINIFS(OFFSET(L1064, -1, 0, -MIN(ROW()-2, $B1064), 1), OFFSET(L1064, -1, 0, -MIN(ROW()-2, $B1064), 1), "&gt;0"), L1063) + ROUND((L$2 * (LN(1 + $Z1064) ^ U$2) * (U$3 / 100)), 0))</f>
        <v/>
      </c>
      <c r="M1064" s="24">
        <f t="shared" si="2304"/>
        <v>57030</v>
      </c>
      <c r="N1064" s="24" t="str">
        <f t="shared" ref="N1064:O1064" si="2305">IF(N1063="", "", 1 + IFERROR(MINIFS(OFFSET(N1064, -1, 0, -MIN(ROW()-2, $B1064), 1), OFFSET(N1064, -1, 0, -MIN(ROW()-2, $B1064), 1), "&gt;0"), N1063) + ROUND(IFERROR(MINIFS(OFFSET(N1064, -1, 0, -MIN(ROW()-2, $B1064), 1), OFFSET(N1064, -1, 0, -MIN(ROW()-2, $B1064), 1), "&gt;0"), N1063) * ((LN(1 + $Z1064) ^ W$2) * (W$3 / 1000)), 0))</f>
        <v/>
      </c>
      <c r="O1064" s="24" t="str">
        <f t="shared" si="2305"/>
        <v/>
      </c>
      <c r="P1064" s="24">
        <f t="shared" ref="P1064:S1064" si="2306">L1064*$Y$2</f>
        <v>0</v>
      </c>
      <c r="Q1064" s="24">
        <f t="shared" si="2306"/>
        <v>14257.5</v>
      </c>
      <c r="R1064" s="24">
        <f t="shared" si="2306"/>
        <v>0</v>
      </c>
      <c r="S1064" s="24">
        <f t="shared" si="2306"/>
        <v>0</v>
      </c>
      <c r="T1064" s="24">
        <f t="shared" si="4"/>
        <v>17</v>
      </c>
      <c r="Z1064" s="25">
        <f t="shared" si="12"/>
        <v>262.2307774</v>
      </c>
    </row>
    <row r="1065">
      <c r="A1065" s="16" t="s">
        <v>3</v>
      </c>
      <c r="B1065" s="17">
        <v>164.0</v>
      </c>
      <c r="C1065" s="24">
        <f t="shared" si="1820"/>
        <v>796184.6122</v>
      </c>
      <c r="D1065" s="25">
        <v>0.05</v>
      </c>
      <c r="E1065" s="24">
        <f t="shared" si="1821"/>
        <v>302.6977852</v>
      </c>
      <c r="F1065" s="25">
        <v>0.02</v>
      </c>
      <c r="G1065" s="24">
        <f t="shared" si="1822"/>
        <v>113740.6589</v>
      </c>
      <c r="H1065" s="25">
        <v>0.05</v>
      </c>
      <c r="I1065" s="24">
        <f t="shared" si="1823"/>
        <v>252.2481543</v>
      </c>
      <c r="J1065" s="25">
        <v>0.02</v>
      </c>
      <c r="K1065" s="25">
        <v>0.0</v>
      </c>
      <c r="L1065" s="24" t="str">
        <f t="shared" ref="L1065:M1065" si="2307">IF(L1064="", "", 1 + IFERROR(MINIFS(OFFSET(L1065, -1, 0, -MIN(ROW()-2, $B1065), 1), OFFSET(L1065, -1, 0, -MIN(ROW()-2, $B1065), 1), "&gt;0"), L1064) + ROUND((L$2 * (LN(1 + $Z1065) ^ U$2) * (U$3 / 100)), 0))</f>
        <v/>
      </c>
      <c r="M1065" s="24">
        <f t="shared" si="2307"/>
        <v>57038</v>
      </c>
      <c r="N1065" s="24" t="str">
        <f t="shared" ref="N1065:O1065" si="2308">IF(N1064="", "", 1 + IFERROR(MINIFS(OFFSET(N1065, -1, 0, -MIN(ROW()-2, $B1065), 1), OFFSET(N1065, -1, 0, -MIN(ROW()-2, $B1065), 1), "&gt;0"), N1064) + ROUND(IFERROR(MINIFS(OFFSET(N1065, -1, 0, -MIN(ROW()-2, $B1065), 1), OFFSET(N1065, -1, 0, -MIN(ROW()-2, $B1065), 1), "&gt;0"), N1064) * ((LN(1 + $Z1065) ^ W$2) * (W$3 / 1000)), 0))</f>
        <v/>
      </c>
      <c r="O1065" s="24" t="str">
        <f t="shared" si="2308"/>
        <v/>
      </c>
      <c r="P1065" s="24">
        <f t="shared" ref="P1065:S1065" si="2309">L1065*$Y$2</f>
        <v>0</v>
      </c>
      <c r="Q1065" s="24">
        <f t="shared" si="2309"/>
        <v>14259.5</v>
      </c>
      <c r="R1065" s="24">
        <f t="shared" si="2309"/>
        <v>0</v>
      </c>
      <c r="S1065" s="24">
        <f t="shared" si="2309"/>
        <v>0</v>
      </c>
      <c r="T1065" s="24">
        <f t="shared" si="4"/>
        <v>17</v>
      </c>
      <c r="Z1065" s="25">
        <f t="shared" si="12"/>
        <v>271.4438547</v>
      </c>
    </row>
    <row r="1066">
      <c r="A1066" s="16" t="s">
        <v>3</v>
      </c>
      <c r="B1066" s="17">
        <v>165.0</v>
      </c>
      <c r="C1066" s="24">
        <f t="shared" si="1820"/>
        <v>835993.8428</v>
      </c>
      <c r="D1066" s="25">
        <v>0.05</v>
      </c>
      <c r="E1066" s="24">
        <f t="shared" si="1821"/>
        <v>308.7517409</v>
      </c>
      <c r="F1066" s="25">
        <v>0.02</v>
      </c>
      <c r="G1066" s="24">
        <f t="shared" si="1822"/>
        <v>119427.6918</v>
      </c>
      <c r="H1066" s="25">
        <v>0.05</v>
      </c>
      <c r="I1066" s="24">
        <f t="shared" si="1823"/>
        <v>257.2931174</v>
      </c>
      <c r="J1066" s="25">
        <v>0.02</v>
      </c>
      <c r="K1066" s="25">
        <v>0.0</v>
      </c>
      <c r="L1066" s="24" t="str">
        <f t="shared" ref="L1066:M1066" si="2310">IF(L1065="", "", 1 + IFERROR(MINIFS(OFFSET(L1066, -1, 0, -MIN(ROW()-2, $B1066), 1), OFFSET(L1066, -1, 0, -MIN(ROW()-2, $B1066), 1), "&gt;0"), L1065) + ROUND((L$2 * (LN(1 + $Z1066) ^ U$2) * (U$3 / 100)), 0))</f>
        <v/>
      </c>
      <c r="M1066" s="24">
        <f t="shared" si="2310"/>
        <v>57046</v>
      </c>
      <c r="N1066" s="24" t="str">
        <f t="shared" ref="N1066:O1066" si="2311">IF(N1065="", "", 1 + IFERROR(MINIFS(OFFSET(N1066, -1, 0, -MIN(ROW()-2, $B1066), 1), OFFSET(N1066, -1, 0, -MIN(ROW()-2, $B1066), 1), "&gt;0"), N1065) + ROUND(IFERROR(MINIFS(OFFSET(N1066, -1, 0, -MIN(ROW()-2, $B1066), 1), OFFSET(N1066, -1, 0, -MIN(ROW()-2, $B1066), 1), "&gt;0"), N1065) * ((LN(1 + $Z1066) ^ W$2) * (W$3 / 1000)), 0))</f>
        <v/>
      </c>
      <c r="O1066" s="24" t="str">
        <f t="shared" si="2311"/>
        <v/>
      </c>
      <c r="P1066" s="24">
        <f t="shared" ref="P1066:S1066" si="2312">L1066*$Y$2</f>
        <v>0</v>
      </c>
      <c r="Q1066" s="24">
        <f t="shared" si="2312"/>
        <v>14261.5</v>
      </c>
      <c r="R1066" s="24">
        <f t="shared" si="2312"/>
        <v>0</v>
      </c>
      <c r="S1066" s="24">
        <f t="shared" si="2312"/>
        <v>0</v>
      </c>
      <c r="T1066" s="24">
        <f t="shared" si="4"/>
        <v>18</v>
      </c>
      <c r="Z1066" s="25">
        <f t="shared" si="12"/>
        <v>280.9793896</v>
      </c>
    </row>
    <row r="1067">
      <c r="A1067" s="16" t="s">
        <v>3</v>
      </c>
      <c r="B1067" s="17">
        <v>166.0</v>
      </c>
      <c r="C1067" s="24">
        <f t="shared" si="1820"/>
        <v>877793.5349</v>
      </c>
      <c r="D1067" s="25">
        <v>0.05</v>
      </c>
      <c r="E1067" s="24">
        <f t="shared" si="1821"/>
        <v>314.9267757</v>
      </c>
      <c r="F1067" s="25">
        <v>0.02</v>
      </c>
      <c r="G1067" s="24">
        <f t="shared" si="1822"/>
        <v>125399.0764</v>
      </c>
      <c r="H1067" s="25">
        <v>0.05</v>
      </c>
      <c r="I1067" s="24">
        <f t="shared" si="1823"/>
        <v>262.4389797</v>
      </c>
      <c r="J1067" s="25">
        <v>0.02</v>
      </c>
      <c r="K1067" s="25">
        <v>0.0</v>
      </c>
      <c r="L1067" s="24" t="str">
        <f t="shared" ref="L1067:M1067" si="2313">IF(L1066="", "", 1 + IFERROR(MINIFS(OFFSET(L1067, -1, 0, -MIN(ROW()-2, $B1067), 1), OFFSET(L1067, -1, 0, -MIN(ROW()-2, $B1067), 1), "&gt;0"), L1066) + ROUND((L$2 * (LN(1 + $Z1067) ^ U$2) * (U$3 / 100)), 0))</f>
        <v/>
      </c>
      <c r="M1067" s="24">
        <f t="shared" si="2313"/>
        <v>57054</v>
      </c>
      <c r="N1067" s="24" t="str">
        <f t="shared" ref="N1067:O1067" si="2314">IF(N1066="", "", 1 + IFERROR(MINIFS(OFFSET(N1067, -1, 0, -MIN(ROW()-2, $B1067), 1), OFFSET(N1067, -1, 0, -MIN(ROW()-2, $B1067), 1), "&gt;0"), N1066) + ROUND(IFERROR(MINIFS(OFFSET(N1067, -1, 0, -MIN(ROW()-2, $B1067), 1), OFFSET(N1067, -1, 0, -MIN(ROW()-2, $B1067), 1), "&gt;0"), N1066) * ((LN(1 + $Z1067) ^ W$2) * (W$3 / 1000)), 0))</f>
        <v/>
      </c>
      <c r="O1067" s="24" t="str">
        <f t="shared" si="2314"/>
        <v/>
      </c>
      <c r="P1067" s="24">
        <f t="shared" ref="P1067:S1067" si="2315">L1067*$Y$2</f>
        <v>0</v>
      </c>
      <c r="Q1067" s="24">
        <f t="shared" si="2315"/>
        <v>14263.5</v>
      </c>
      <c r="R1067" s="24">
        <f t="shared" si="2315"/>
        <v>0</v>
      </c>
      <c r="S1067" s="24">
        <f t="shared" si="2315"/>
        <v>0</v>
      </c>
      <c r="T1067" s="24">
        <f t="shared" si="4"/>
        <v>18</v>
      </c>
      <c r="Z1067" s="25">
        <f t="shared" si="12"/>
        <v>290.8486682</v>
      </c>
    </row>
    <row r="1068">
      <c r="A1068" s="16" t="s">
        <v>3</v>
      </c>
      <c r="B1068" s="17">
        <v>167.0</v>
      </c>
      <c r="C1068" s="24">
        <f t="shared" si="1820"/>
        <v>921683.2117</v>
      </c>
      <c r="D1068" s="25">
        <v>0.05</v>
      </c>
      <c r="E1068" s="24">
        <f t="shared" si="1821"/>
        <v>321.2253112</v>
      </c>
      <c r="F1068" s="25">
        <v>0.02</v>
      </c>
      <c r="G1068" s="24">
        <f t="shared" si="1822"/>
        <v>131669.0302</v>
      </c>
      <c r="H1068" s="25">
        <v>0.05</v>
      </c>
      <c r="I1068" s="24">
        <f t="shared" si="1823"/>
        <v>267.6877593</v>
      </c>
      <c r="J1068" s="25">
        <v>0.02</v>
      </c>
      <c r="K1068" s="25">
        <v>0.0</v>
      </c>
      <c r="L1068" s="24" t="str">
        <f t="shared" ref="L1068:M1068" si="2316">IF(L1067="", "", 1 + IFERROR(MINIFS(OFFSET(L1068, -1, 0, -MIN(ROW()-2, $B1068), 1), OFFSET(L1068, -1, 0, -MIN(ROW()-2, $B1068), 1), "&gt;0"), L1067) + ROUND((L$2 * (LN(1 + $Z1068) ^ U$2) * (U$3 / 100)), 0))</f>
        <v/>
      </c>
      <c r="M1068" s="24">
        <f t="shared" si="2316"/>
        <v>57062</v>
      </c>
      <c r="N1068" s="24" t="str">
        <f t="shared" ref="N1068:O1068" si="2317">IF(N1067="", "", 1 + IFERROR(MINIFS(OFFSET(N1068, -1, 0, -MIN(ROW()-2, $B1068), 1), OFFSET(N1068, -1, 0, -MIN(ROW()-2, $B1068), 1), "&gt;0"), N1067) + ROUND(IFERROR(MINIFS(OFFSET(N1068, -1, 0, -MIN(ROW()-2, $B1068), 1), OFFSET(N1068, -1, 0, -MIN(ROW()-2, $B1068), 1), "&gt;0"), N1067) * ((LN(1 + $Z1068) ^ W$2) * (W$3 / 1000)), 0))</f>
        <v/>
      </c>
      <c r="O1068" s="24" t="str">
        <f t="shared" si="2317"/>
        <v/>
      </c>
      <c r="P1068" s="24">
        <f t="shared" ref="P1068:S1068" si="2318">L1068*$Y$2</f>
        <v>0</v>
      </c>
      <c r="Q1068" s="24">
        <f t="shared" si="2318"/>
        <v>14265.5</v>
      </c>
      <c r="R1068" s="24">
        <f t="shared" si="2318"/>
        <v>0</v>
      </c>
      <c r="S1068" s="24">
        <f t="shared" si="2318"/>
        <v>0</v>
      </c>
      <c r="T1068" s="24">
        <f t="shared" si="4"/>
        <v>18</v>
      </c>
      <c r="Z1068" s="25">
        <f t="shared" si="12"/>
        <v>301.0633716</v>
      </c>
    </row>
    <row r="1069">
      <c r="A1069" s="16" t="s">
        <v>3</v>
      </c>
      <c r="B1069" s="17">
        <v>168.0</v>
      </c>
      <c r="C1069" s="24">
        <f t="shared" si="1820"/>
        <v>967767.3723</v>
      </c>
      <c r="D1069" s="25">
        <v>0.05</v>
      </c>
      <c r="E1069" s="24">
        <f t="shared" si="1821"/>
        <v>327.6498174</v>
      </c>
      <c r="F1069" s="25">
        <v>0.02</v>
      </c>
      <c r="G1069" s="24">
        <f t="shared" si="1822"/>
        <v>138252.4818</v>
      </c>
      <c r="H1069" s="25">
        <v>0.05</v>
      </c>
      <c r="I1069" s="24">
        <f t="shared" si="1823"/>
        <v>273.0415145</v>
      </c>
      <c r="J1069" s="25">
        <v>0.02</v>
      </c>
      <c r="K1069" s="25">
        <v>0.0</v>
      </c>
      <c r="L1069" s="24" t="str">
        <f t="shared" ref="L1069:M1069" si="2319">IF(L1068="", "", 1 + IFERROR(MINIFS(OFFSET(L1069, -1, 0, -MIN(ROW()-2, $B1069), 1), OFFSET(L1069, -1, 0, -MIN(ROW()-2, $B1069), 1), "&gt;0"), L1068) + ROUND((L$2 * (LN(1 + $Z1069) ^ U$2) * (U$3 / 100)), 0))</f>
        <v/>
      </c>
      <c r="M1069" s="24">
        <f t="shared" si="2319"/>
        <v>57070</v>
      </c>
      <c r="N1069" s="24" t="str">
        <f t="shared" ref="N1069:O1069" si="2320">IF(N1068="", "", 1 + IFERROR(MINIFS(OFFSET(N1069, -1, 0, -MIN(ROW()-2, $B1069), 1), OFFSET(N1069, -1, 0, -MIN(ROW()-2, $B1069), 1), "&gt;0"), N1068) + ROUND(IFERROR(MINIFS(OFFSET(N1069, -1, 0, -MIN(ROW()-2, $B1069), 1), OFFSET(N1069, -1, 0, -MIN(ROW()-2, $B1069), 1), "&gt;0"), N1068) * ((LN(1 + $Z1069) ^ W$2) * (W$3 / 1000)), 0))</f>
        <v/>
      </c>
      <c r="O1069" s="24" t="str">
        <f t="shared" si="2320"/>
        <v/>
      </c>
      <c r="P1069" s="24">
        <f t="shared" ref="P1069:S1069" si="2321">L1069*$Y$2</f>
        <v>0</v>
      </c>
      <c r="Q1069" s="24">
        <f t="shared" si="2321"/>
        <v>14267.5</v>
      </c>
      <c r="R1069" s="24">
        <f t="shared" si="2321"/>
        <v>0</v>
      </c>
      <c r="S1069" s="24">
        <f t="shared" si="2321"/>
        <v>0</v>
      </c>
      <c r="T1069" s="24">
        <f t="shared" si="4"/>
        <v>18</v>
      </c>
      <c r="Z1069" s="25">
        <f t="shared" si="12"/>
        <v>311.6355896</v>
      </c>
    </row>
    <row r="1070">
      <c r="A1070" s="16" t="s">
        <v>3</v>
      </c>
      <c r="B1070" s="17">
        <v>169.0</v>
      </c>
      <c r="C1070" s="24">
        <f t="shared" si="1820"/>
        <v>1016155.741</v>
      </c>
      <c r="D1070" s="25">
        <v>0.05</v>
      </c>
      <c r="E1070" s="24">
        <f t="shared" si="1821"/>
        <v>334.2028138</v>
      </c>
      <c r="F1070" s="25">
        <v>0.02</v>
      </c>
      <c r="G1070" s="24">
        <f t="shared" si="1822"/>
        <v>145165.1058</v>
      </c>
      <c r="H1070" s="25">
        <v>0.05</v>
      </c>
      <c r="I1070" s="24">
        <f t="shared" si="1823"/>
        <v>278.5023448</v>
      </c>
      <c r="J1070" s="25">
        <v>0.02</v>
      </c>
      <c r="K1070" s="25">
        <v>0.0</v>
      </c>
      <c r="L1070" s="24" t="str">
        <f t="shared" ref="L1070:M1070" si="2322">IF(L1069="", "", 1 + IFERROR(MINIFS(OFFSET(L1070, -1, 0, -MIN(ROW()-2, $B1070), 1), OFFSET(L1070, -1, 0, -MIN(ROW()-2, $B1070), 1), "&gt;0"), L1069) + ROUND((L$2 * (LN(1 + $Z1070) ^ U$2) * (U$3 / 100)), 0))</f>
        <v/>
      </c>
      <c r="M1070" s="24">
        <f t="shared" si="2322"/>
        <v>57078</v>
      </c>
      <c r="N1070" s="24" t="str">
        <f t="shared" ref="N1070:O1070" si="2323">IF(N1069="", "", 1 + IFERROR(MINIFS(OFFSET(N1070, -1, 0, -MIN(ROW()-2, $B1070), 1), OFFSET(N1070, -1, 0, -MIN(ROW()-2, $B1070), 1), "&gt;0"), N1069) + ROUND(IFERROR(MINIFS(OFFSET(N1070, -1, 0, -MIN(ROW()-2, $B1070), 1), OFFSET(N1070, -1, 0, -MIN(ROW()-2, $B1070), 1), "&gt;0"), N1069) * ((LN(1 + $Z1070) ^ W$2) * (W$3 / 1000)), 0))</f>
        <v/>
      </c>
      <c r="O1070" s="24" t="str">
        <f t="shared" si="2323"/>
        <v/>
      </c>
      <c r="P1070" s="24">
        <f t="shared" ref="P1070:S1070" si="2324">L1070*$Y$2</f>
        <v>0</v>
      </c>
      <c r="Q1070" s="24">
        <f t="shared" si="2324"/>
        <v>14269.5</v>
      </c>
      <c r="R1070" s="24">
        <f t="shared" si="2324"/>
        <v>0</v>
      </c>
      <c r="S1070" s="24">
        <f t="shared" si="2324"/>
        <v>0</v>
      </c>
      <c r="T1070" s="24">
        <f t="shared" si="4"/>
        <v>18</v>
      </c>
      <c r="Z1070" s="25">
        <f t="shared" si="12"/>
        <v>322.5778352</v>
      </c>
    </row>
    <row r="1071">
      <c r="A1071" s="16" t="s">
        <v>3</v>
      </c>
      <c r="B1071" s="17">
        <v>170.0</v>
      </c>
      <c r="C1071" s="24">
        <f t="shared" si="1820"/>
        <v>1066963.528</v>
      </c>
      <c r="D1071" s="25">
        <v>0.05</v>
      </c>
      <c r="E1071" s="24">
        <f t="shared" si="1821"/>
        <v>340.88687</v>
      </c>
      <c r="F1071" s="25">
        <v>0.02</v>
      </c>
      <c r="G1071" s="24">
        <f t="shared" si="1822"/>
        <v>152423.3611</v>
      </c>
      <c r="H1071" s="25">
        <v>0.05</v>
      </c>
      <c r="I1071" s="24">
        <f t="shared" si="1823"/>
        <v>284.0723917</v>
      </c>
      <c r="J1071" s="25">
        <v>0.02</v>
      </c>
      <c r="K1071" s="25">
        <v>0.0</v>
      </c>
      <c r="L1071" s="24" t="str">
        <f t="shared" ref="L1071:M1071" si="2325">IF(L1070="", "", 1 + IFERROR(MINIFS(OFFSET(L1071, -1, 0, -MIN(ROW()-2, $B1071), 1), OFFSET(L1071, -1, 0, -MIN(ROW()-2, $B1071), 1), "&gt;0"), L1070) + ROUND((L$2 * (LN(1 + $Z1071) ^ U$2) * (U$3 / 100)), 0))</f>
        <v/>
      </c>
      <c r="M1071" s="24">
        <f t="shared" si="2325"/>
        <v>57086</v>
      </c>
      <c r="N1071" s="24" t="str">
        <f t="shared" ref="N1071:O1071" si="2326">IF(N1070="", "", 1 + IFERROR(MINIFS(OFFSET(N1071, -1, 0, -MIN(ROW()-2, $B1071), 1), OFFSET(N1071, -1, 0, -MIN(ROW()-2, $B1071), 1), "&gt;0"), N1070) + ROUND(IFERROR(MINIFS(OFFSET(N1071, -1, 0, -MIN(ROW()-2, $B1071), 1), OFFSET(N1071, -1, 0, -MIN(ROW()-2, $B1071), 1), "&gt;0"), N1070) * ((LN(1 + $Z1071) ^ W$2) * (W$3 / 1000)), 0))</f>
        <v/>
      </c>
      <c r="O1071" s="24" t="str">
        <f t="shared" si="2326"/>
        <v/>
      </c>
      <c r="P1071" s="24">
        <f t="shared" ref="P1071:S1071" si="2327">L1071*$Y$2</f>
        <v>0</v>
      </c>
      <c r="Q1071" s="24">
        <f t="shared" si="2327"/>
        <v>14271.5</v>
      </c>
      <c r="R1071" s="24">
        <f t="shared" si="2327"/>
        <v>0</v>
      </c>
      <c r="S1071" s="24">
        <f t="shared" si="2327"/>
        <v>0</v>
      </c>
      <c r="T1071" s="24">
        <f t="shared" si="4"/>
        <v>18</v>
      </c>
      <c r="Z1071" s="25">
        <f t="shared" si="12"/>
        <v>333.9030595</v>
      </c>
    </row>
    <row r="1072">
      <c r="A1072" s="16" t="s">
        <v>3</v>
      </c>
      <c r="B1072" s="17">
        <v>171.0</v>
      </c>
      <c r="C1072" s="24">
        <f t="shared" si="1820"/>
        <v>1120311.704</v>
      </c>
      <c r="D1072" s="25">
        <v>0.05</v>
      </c>
      <c r="E1072" s="24">
        <f t="shared" si="1821"/>
        <v>347.7046074</v>
      </c>
      <c r="F1072" s="25">
        <v>0.02</v>
      </c>
      <c r="G1072" s="24">
        <f t="shared" si="1822"/>
        <v>160044.5292</v>
      </c>
      <c r="H1072" s="25">
        <v>0.05</v>
      </c>
      <c r="I1072" s="24">
        <f t="shared" si="1823"/>
        <v>289.7538395</v>
      </c>
      <c r="J1072" s="25">
        <v>0.02</v>
      </c>
      <c r="K1072" s="25">
        <v>0.0</v>
      </c>
      <c r="L1072" s="24" t="str">
        <f t="shared" ref="L1072:M1072" si="2328">IF(L1071="", "", 1 + IFERROR(MINIFS(OFFSET(L1072, -1, 0, -MIN(ROW()-2, $B1072), 1), OFFSET(L1072, -1, 0, -MIN(ROW()-2, $B1072), 1), "&gt;0"), L1071) + ROUND((L$2 * (LN(1 + $Z1072) ^ U$2) * (U$3 / 100)), 0))</f>
        <v/>
      </c>
      <c r="M1072" s="24">
        <f t="shared" si="2328"/>
        <v>57094</v>
      </c>
      <c r="N1072" s="24" t="str">
        <f t="shared" ref="N1072:O1072" si="2329">IF(N1071="", "", 1 + IFERROR(MINIFS(OFFSET(N1072, -1, 0, -MIN(ROW()-2, $B1072), 1), OFFSET(N1072, -1, 0, -MIN(ROW()-2, $B1072), 1), "&gt;0"), N1071) + ROUND(IFERROR(MINIFS(OFFSET(N1072, -1, 0, -MIN(ROW()-2, $B1072), 1), OFFSET(N1072, -1, 0, -MIN(ROW()-2, $B1072), 1), "&gt;0"), N1071) * ((LN(1 + $Z1072) ^ W$2) * (W$3 / 1000)), 0))</f>
        <v/>
      </c>
      <c r="O1072" s="24" t="str">
        <f t="shared" si="2329"/>
        <v/>
      </c>
      <c r="P1072" s="24">
        <f t="shared" ref="P1072:S1072" si="2330">L1072*$Y$2</f>
        <v>0</v>
      </c>
      <c r="Q1072" s="24">
        <f t="shared" si="2330"/>
        <v>14273.5</v>
      </c>
      <c r="R1072" s="24">
        <f t="shared" si="2330"/>
        <v>0</v>
      </c>
      <c r="S1072" s="24">
        <f t="shared" si="2330"/>
        <v>0</v>
      </c>
      <c r="T1072" s="24">
        <f t="shared" si="4"/>
        <v>18</v>
      </c>
      <c r="Z1072" s="25">
        <f t="shared" si="12"/>
        <v>345.6246666</v>
      </c>
    </row>
    <row r="1073">
      <c r="A1073" s="16" t="s">
        <v>3</v>
      </c>
      <c r="B1073" s="17">
        <v>172.0</v>
      </c>
      <c r="C1073" s="24">
        <f t="shared" si="1820"/>
        <v>1176327.29</v>
      </c>
      <c r="D1073" s="25">
        <v>0.05</v>
      </c>
      <c r="E1073" s="24">
        <f t="shared" si="1821"/>
        <v>354.6586996</v>
      </c>
      <c r="F1073" s="25">
        <v>0.02</v>
      </c>
      <c r="G1073" s="24">
        <f t="shared" si="1822"/>
        <v>168046.7556</v>
      </c>
      <c r="H1073" s="25">
        <v>0.05</v>
      </c>
      <c r="I1073" s="24">
        <f t="shared" si="1823"/>
        <v>295.5489163</v>
      </c>
      <c r="J1073" s="25">
        <v>0.02</v>
      </c>
      <c r="K1073" s="25">
        <v>0.0</v>
      </c>
      <c r="L1073" s="24" t="str">
        <f t="shared" ref="L1073:M1073" si="2331">IF(L1072="", "", 1 + IFERROR(MINIFS(OFFSET(L1073, -1, 0, -MIN(ROW()-2, $B1073), 1), OFFSET(L1073, -1, 0, -MIN(ROW()-2, $B1073), 1), "&gt;0"), L1072) + ROUND((L$2 * (LN(1 + $Z1073) ^ U$2) * (U$3 / 100)), 0))</f>
        <v/>
      </c>
      <c r="M1073" s="24">
        <f t="shared" si="2331"/>
        <v>57102</v>
      </c>
      <c r="N1073" s="24" t="str">
        <f t="shared" ref="N1073:O1073" si="2332">IF(N1072="", "", 1 + IFERROR(MINIFS(OFFSET(N1073, -1, 0, -MIN(ROW()-2, $B1073), 1), OFFSET(N1073, -1, 0, -MIN(ROW()-2, $B1073), 1), "&gt;0"), N1072) + ROUND(IFERROR(MINIFS(OFFSET(N1073, -1, 0, -MIN(ROW()-2, $B1073), 1), OFFSET(N1073, -1, 0, -MIN(ROW()-2, $B1073), 1), "&gt;0"), N1072) * ((LN(1 + $Z1073) ^ W$2) * (W$3 / 1000)), 0))</f>
        <v/>
      </c>
      <c r="O1073" s="24" t="str">
        <f t="shared" si="2332"/>
        <v/>
      </c>
      <c r="P1073" s="24">
        <f t="shared" ref="P1073:S1073" si="2333">L1073*$Y$2</f>
        <v>0</v>
      </c>
      <c r="Q1073" s="24">
        <f t="shared" si="2333"/>
        <v>14275.5</v>
      </c>
      <c r="R1073" s="24">
        <f t="shared" si="2333"/>
        <v>0</v>
      </c>
      <c r="S1073" s="24">
        <f t="shared" si="2333"/>
        <v>0</v>
      </c>
      <c r="T1073" s="24">
        <f t="shared" si="4"/>
        <v>18</v>
      </c>
      <c r="Z1073" s="25">
        <f t="shared" si="12"/>
        <v>357.7565299</v>
      </c>
    </row>
    <row r="1074">
      <c r="A1074" s="16" t="s">
        <v>3</v>
      </c>
      <c r="B1074" s="17">
        <v>173.0</v>
      </c>
      <c r="C1074" s="24">
        <f t="shared" si="1820"/>
        <v>1235143.654</v>
      </c>
      <c r="D1074" s="25">
        <v>0.05</v>
      </c>
      <c r="E1074" s="24">
        <f t="shared" si="1821"/>
        <v>361.7518736</v>
      </c>
      <c r="F1074" s="25">
        <v>0.02</v>
      </c>
      <c r="G1074" s="24">
        <f t="shared" si="1822"/>
        <v>176449.0934</v>
      </c>
      <c r="H1074" s="25">
        <v>0.05</v>
      </c>
      <c r="I1074" s="24">
        <f t="shared" si="1823"/>
        <v>301.4598947</v>
      </c>
      <c r="J1074" s="25">
        <v>0.02</v>
      </c>
      <c r="K1074" s="25">
        <v>0.0</v>
      </c>
      <c r="L1074" s="24" t="str">
        <f t="shared" ref="L1074:M1074" si="2334">IF(L1073="", "", 1 + IFERROR(MINIFS(OFFSET(L1074, -1, 0, -MIN(ROW()-2, $B1074), 1), OFFSET(L1074, -1, 0, -MIN(ROW()-2, $B1074), 1), "&gt;0"), L1073) + ROUND((L$2 * (LN(1 + $Z1074) ^ U$2) * (U$3 / 100)), 0))</f>
        <v/>
      </c>
      <c r="M1074" s="24">
        <f t="shared" si="2334"/>
        <v>57110</v>
      </c>
      <c r="N1074" s="24" t="str">
        <f t="shared" ref="N1074:O1074" si="2335">IF(N1073="", "", 1 + IFERROR(MINIFS(OFFSET(N1074, -1, 0, -MIN(ROW()-2, $B1074), 1), OFFSET(N1074, -1, 0, -MIN(ROW()-2, $B1074), 1), "&gt;0"), N1073) + ROUND(IFERROR(MINIFS(OFFSET(N1074, -1, 0, -MIN(ROW()-2, $B1074), 1), OFFSET(N1074, -1, 0, -MIN(ROW()-2, $B1074), 1), "&gt;0"), N1073) * ((LN(1 + $Z1074) ^ W$2) * (W$3 / 1000)), 0))</f>
        <v/>
      </c>
      <c r="O1074" s="24" t="str">
        <f t="shared" si="2335"/>
        <v/>
      </c>
      <c r="P1074" s="24">
        <f t="shared" ref="P1074:S1074" si="2336">L1074*$Y$2</f>
        <v>0</v>
      </c>
      <c r="Q1074" s="24">
        <f t="shared" si="2336"/>
        <v>14277.5</v>
      </c>
      <c r="R1074" s="24">
        <f t="shared" si="2336"/>
        <v>0</v>
      </c>
      <c r="S1074" s="24">
        <f t="shared" si="2336"/>
        <v>0</v>
      </c>
      <c r="T1074" s="24">
        <f t="shared" si="4"/>
        <v>18</v>
      </c>
      <c r="Z1074" s="25">
        <f t="shared" si="12"/>
        <v>370.3130084</v>
      </c>
    </row>
    <row r="1075">
      <c r="A1075" s="16" t="s">
        <v>3</v>
      </c>
      <c r="B1075" s="17">
        <v>174.0</v>
      </c>
      <c r="C1075" s="24">
        <f t="shared" si="1820"/>
        <v>1296900.837</v>
      </c>
      <c r="D1075" s="25">
        <v>0.05</v>
      </c>
      <c r="E1075" s="24">
        <f t="shared" si="1821"/>
        <v>368.9869111</v>
      </c>
      <c r="F1075" s="25">
        <v>0.02</v>
      </c>
      <c r="G1075" s="24">
        <f t="shared" si="1822"/>
        <v>185271.5481</v>
      </c>
      <c r="H1075" s="25">
        <v>0.05</v>
      </c>
      <c r="I1075" s="24">
        <f t="shared" si="1823"/>
        <v>307.4890925</v>
      </c>
      <c r="J1075" s="25">
        <v>0.02</v>
      </c>
      <c r="K1075" s="25">
        <v>0.0</v>
      </c>
      <c r="L1075" s="24" t="str">
        <f t="shared" ref="L1075:M1075" si="2337">IF(L1074="", "", 1 + IFERROR(MINIFS(OFFSET(L1075, -1, 0, -MIN(ROW()-2, $B1075), 1), OFFSET(L1075, -1, 0, -MIN(ROW()-2, $B1075), 1), "&gt;0"), L1074) + ROUND((L$2 * (LN(1 + $Z1075) ^ U$2) * (U$3 / 100)), 0))</f>
        <v/>
      </c>
      <c r="M1075" s="24">
        <f t="shared" si="2337"/>
        <v>57118</v>
      </c>
      <c r="N1075" s="24" t="str">
        <f t="shared" ref="N1075:O1075" si="2338">IF(N1074="", "", 1 + IFERROR(MINIFS(OFFSET(N1075, -1, 0, -MIN(ROW()-2, $B1075), 1), OFFSET(N1075, -1, 0, -MIN(ROW()-2, $B1075), 1), "&gt;0"), N1074) + ROUND(IFERROR(MINIFS(OFFSET(N1075, -1, 0, -MIN(ROW()-2, $B1075), 1), OFFSET(N1075, -1, 0, -MIN(ROW()-2, $B1075), 1), "&gt;0"), N1074) * ((LN(1 + $Z1075) ^ W$2) * (W$3 / 1000)), 0))</f>
        <v/>
      </c>
      <c r="O1075" s="24" t="str">
        <f t="shared" si="2338"/>
        <v/>
      </c>
      <c r="P1075" s="24">
        <f t="shared" ref="P1075:S1075" si="2339">L1075*$Y$2</f>
        <v>0</v>
      </c>
      <c r="Q1075" s="24">
        <f t="shared" si="2339"/>
        <v>14279.5</v>
      </c>
      <c r="R1075" s="24">
        <f t="shared" si="2339"/>
        <v>0</v>
      </c>
      <c r="S1075" s="24">
        <f t="shared" si="2339"/>
        <v>0</v>
      </c>
      <c r="T1075" s="24">
        <f t="shared" si="4"/>
        <v>18</v>
      </c>
      <c r="Z1075" s="25">
        <f t="shared" si="12"/>
        <v>383.3089637</v>
      </c>
    </row>
    <row r="1076">
      <c r="A1076" s="16" t="s">
        <v>3</v>
      </c>
      <c r="B1076" s="17">
        <v>175.0</v>
      </c>
      <c r="C1076" s="24">
        <f t="shared" si="1820"/>
        <v>1361745.879</v>
      </c>
      <c r="D1076" s="25">
        <v>0.05</v>
      </c>
      <c r="E1076" s="24">
        <f t="shared" si="1821"/>
        <v>376.3666493</v>
      </c>
      <c r="F1076" s="25">
        <v>0.02</v>
      </c>
      <c r="G1076" s="24">
        <f t="shared" si="1822"/>
        <v>194535.1255</v>
      </c>
      <c r="H1076" s="25">
        <v>0.05</v>
      </c>
      <c r="I1076" s="24">
        <f t="shared" si="1823"/>
        <v>313.6388744</v>
      </c>
      <c r="J1076" s="25">
        <v>0.02</v>
      </c>
      <c r="K1076" s="25">
        <v>0.0</v>
      </c>
      <c r="L1076" s="24" t="str">
        <f t="shared" ref="L1076:M1076" si="2340">IF(L1075="", "", 1 + IFERROR(MINIFS(OFFSET(L1076, -1, 0, -MIN(ROW()-2, $B1076), 1), OFFSET(L1076, -1, 0, -MIN(ROW()-2, $B1076), 1), "&gt;0"), L1075) + ROUND((L$2 * (LN(1 + $Z1076) ^ U$2) * (U$3 / 100)), 0))</f>
        <v/>
      </c>
      <c r="M1076" s="24">
        <f t="shared" si="2340"/>
        <v>57126</v>
      </c>
      <c r="N1076" s="24" t="str">
        <f t="shared" ref="N1076:O1076" si="2341">IF(N1075="", "", 1 + IFERROR(MINIFS(OFFSET(N1076, -1, 0, -MIN(ROW()-2, $B1076), 1), OFFSET(N1076, -1, 0, -MIN(ROW()-2, $B1076), 1), "&gt;0"), N1075) + ROUND(IFERROR(MINIFS(OFFSET(N1076, -1, 0, -MIN(ROW()-2, $B1076), 1), OFFSET(N1076, -1, 0, -MIN(ROW()-2, $B1076), 1), "&gt;0"), N1075) * ((LN(1 + $Z1076) ^ W$2) * (W$3 / 1000)), 0))</f>
        <v/>
      </c>
      <c r="O1076" s="24" t="str">
        <f t="shared" si="2341"/>
        <v/>
      </c>
      <c r="P1076" s="24">
        <f t="shared" ref="P1076:S1076" si="2342">L1076*$Y$2</f>
        <v>0</v>
      </c>
      <c r="Q1076" s="24">
        <f t="shared" si="2342"/>
        <v>14281.5</v>
      </c>
      <c r="R1076" s="24">
        <f t="shared" si="2342"/>
        <v>0</v>
      </c>
      <c r="S1076" s="24">
        <f t="shared" si="2342"/>
        <v>0</v>
      </c>
      <c r="T1076" s="24">
        <f t="shared" si="4"/>
        <v>19</v>
      </c>
      <c r="Z1076" s="25">
        <f t="shared" si="12"/>
        <v>396.7597775</v>
      </c>
    </row>
    <row r="1077">
      <c r="A1077" s="16" t="s">
        <v>3</v>
      </c>
      <c r="B1077" s="17">
        <v>176.0</v>
      </c>
      <c r="C1077" s="24">
        <f t="shared" si="1820"/>
        <v>1429833.172</v>
      </c>
      <c r="D1077" s="25">
        <v>0.05</v>
      </c>
      <c r="E1077" s="24">
        <f t="shared" si="1821"/>
        <v>383.8939823</v>
      </c>
      <c r="F1077" s="25">
        <v>0.02</v>
      </c>
      <c r="G1077" s="24">
        <f t="shared" si="1822"/>
        <v>204261.8818</v>
      </c>
      <c r="H1077" s="25">
        <v>0.05</v>
      </c>
      <c r="I1077" s="24">
        <f t="shared" si="1823"/>
        <v>319.9116519</v>
      </c>
      <c r="J1077" s="25">
        <v>0.02</v>
      </c>
      <c r="K1077" s="25">
        <v>0.0</v>
      </c>
      <c r="L1077" s="24" t="str">
        <f t="shared" ref="L1077:M1077" si="2343">IF(L1076="", "", 1 + IFERROR(MINIFS(OFFSET(L1077, -1, 0, -MIN(ROW()-2, $B1077), 1), OFFSET(L1077, -1, 0, -MIN(ROW()-2, $B1077), 1), "&gt;0"), L1076) + ROUND((L$2 * (LN(1 + $Z1077) ^ U$2) * (U$3 / 100)), 0))</f>
        <v/>
      </c>
      <c r="M1077" s="24">
        <f t="shared" si="2343"/>
        <v>57134</v>
      </c>
      <c r="N1077" s="24" t="str">
        <f t="shared" ref="N1077:O1077" si="2344">IF(N1076="", "", 1 + IFERROR(MINIFS(OFFSET(N1077, -1, 0, -MIN(ROW()-2, $B1077), 1), OFFSET(N1077, -1, 0, -MIN(ROW()-2, $B1077), 1), "&gt;0"), N1076) + ROUND(IFERROR(MINIFS(OFFSET(N1077, -1, 0, -MIN(ROW()-2, $B1077), 1), OFFSET(N1077, -1, 0, -MIN(ROW()-2, $B1077), 1), "&gt;0"), N1076) * ((LN(1 + $Z1077) ^ W$2) * (W$3 / 1000)), 0))</f>
        <v/>
      </c>
      <c r="O1077" s="24" t="str">
        <f t="shared" si="2344"/>
        <v/>
      </c>
      <c r="P1077" s="24">
        <f t="shared" ref="P1077:S1077" si="2345">L1077*$Y$2</f>
        <v>0</v>
      </c>
      <c r="Q1077" s="24">
        <f t="shared" si="2345"/>
        <v>14283.5</v>
      </c>
      <c r="R1077" s="24">
        <f t="shared" si="2345"/>
        <v>0</v>
      </c>
      <c r="S1077" s="24">
        <f t="shared" si="2345"/>
        <v>0</v>
      </c>
      <c r="T1077" s="24">
        <f t="shared" si="4"/>
        <v>19</v>
      </c>
      <c r="Z1077" s="25">
        <f t="shared" si="12"/>
        <v>410.6813697</v>
      </c>
    </row>
    <row r="1078">
      <c r="A1078" s="16" t="s">
        <v>3</v>
      </c>
      <c r="B1078" s="17">
        <v>177.0</v>
      </c>
      <c r="C1078" s="24">
        <f t="shared" si="1820"/>
        <v>1501324.831</v>
      </c>
      <c r="D1078" s="25">
        <v>0.05</v>
      </c>
      <c r="E1078" s="24">
        <f t="shared" si="1821"/>
        <v>391.5718619</v>
      </c>
      <c r="F1078" s="25">
        <v>0.02</v>
      </c>
      <c r="G1078" s="24">
        <f t="shared" si="1822"/>
        <v>214474.9759</v>
      </c>
      <c r="H1078" s="25">
        <v>0.05</v>
      </c>
      <c r="I1078" s="24">
        <f t="shared" si="1823"/>
        <v>326.3098849</v>
      </c>
      <c r="J1078" s="25">
        <v>0.02</v>
      </c>
      <c r="K1078" s="25">
        <v>0.0</v>
      </c>
      <c r="L1078" s="24" t="str">
        <f t="shared" ref="L1078:M1078" si="2346">IF(L1077="", "", 1 + IFERROR(MINIFS(OFFSET(L1078, -1, 0, -MIN(ROW()-2, $B1078), 1), OFFSET(L1078, -1, 0, -MIN(ROW()-2, $B1078), 1), "&gt;0"), L1077) + ROUND((L$2 * (LN(1 + $Z1078) ^ U$2) * (U$3 / 100)), 0))</f>
        <v/>
      </c>
      <c r="M1078" s="24">
        <f t="shared" si="2346"/>
        <v>57142</v>
      </c>
      <c r="N1078" s="24" t="str">
        <f t="shared" ref="N1078:O1078" si="2347">IF(N1077="", "", 1 + IFERROR(MINIFS(OFFSET(N1078, -1, 0, -MIN(ROW()-2, $B1078), 1), OFFSET(N1078, -1, 0, -MIN(ROW()-2, $B1078), 1), "&gt;0"), N1077) + ROUND(IFERROR(MINIFS(OFFSET(N1078, -1, 0, -MIN(ROW()-2, $B1078), 1), OFFSET(N1078, -1, 0, -MIN(ROW()-2, $B1078), 1), "&gt;0"), N1077) * ((LN(1 + $Z1078) ^ W$2) * (W$3 / 1000)), 0))</f>
        <v/>
      </c>
      <c r="O1078" s="24" t="str">
        <f t="shared" si="2347"/>
        <v/>
      </c>
      <c r="P1078" s="24">
        <f t="shared" ref="P1078:S1078" si="2348">L1078*$Y$2</f>
        <v>0</v>
      </c>
      <c r="Q1078" s="24">
        <f t="shared" si="2348"/>
        <v>14285.5</v>
      </c>
      <c r="R1078" s="24">
        <f t="shared" si="2348"/>
        <v>0</v>
      </c>
      <c r="S1078" s="24">
        <f t="shared" si="2348"/>
        <v>0</v>
      </c>
      <c r="T1078" s="24">
        <f t="shared" si="4"/>
        <v>19</v>
      </c>
      <c r="Z1078" s="25">
        <f t="shared" si="12"/>
        <v>425.0902176</v>
      </c>
    </row>
    <row r="1079">
      <c r="A1079" s="16" t="s">
        <v>3</v>
      </c>
      <c r="B1079" s="17">
        <v>178.0</v>
      </c>
      <c r="C1079" s="24">
        <f t="shared" si="1820"/>
        <v>1576391.073</v>
      </c>
      <c r="D1079" s="25">
        <v>0.05</v>
      </c>
      <c r="E1079" s="24">
        <f t="shared" si="1821"/>
        <v>399.4032991</v>
      </c>
      <c r="F1079" s="25">
        <v>0.02</v>
      </c>
      <c r="G1079" s="24">
        <f t="shared" si="1822"/>
        <v>225198.7247</v>
      </c>
      <c r="H1079" s="25">
        <v>0.05</v>
      </c>
      <c r="I1079" s="24">
        <f t="shared" si="1823"/>
        <v>332.8360826</v>
      </c>
      <c r="J1079" s="25">
        <v>0.02</v>
      </c>
      <c r="K1079" s="25">
        <v>0.0</v>
      </c>
      <c r="L1079" s="24" t="str">
        <f t="shared" ref="L1079:M1079" si="2349">IF(L1078="", "", 1 + IFERROR(MINIFS(OFFSET(L1079, -1, 0, -MIN(ROW()-2, $B1079), 1), OFFSET(L1079, -1, 0, -MIN(ROW()-2, $B1079), 1), "&gt;0"), L1078) + ROUND((L$2 * (LN(1 + $Z1079) ^ U$2) * (U$3 / 100)), 0))</f>
        <v/>
      </c>
      <c r="M1079" s="24">
        <f t="shared" si="2349"/>
        <v>57150</v>
      </c>
      <c r="N1079" s="24" t="str">
        <f t="shared" ref="N1079:O1079" si="2350">IF(N1078="", "", 1 + IFERROR(MINIFS(OFFSET(N1079, -1, 0, -MIN(ROW()-2, $B1079), 1), OFFSET(N1079, -1, 0, -MIN(ROW()-2, $B1079), 1), "&gt;0"), N1078) + ROUND(IFERROR(MINIFS(OFFSET(N1079, -1, 0, -MIN(ROW()-2, $B1079), 1), OFFSET(N1079, -1, 0, -MIN(ROW()-2, $B1079), 1), "&gt;0"), N1078) * ((LN(1 + $Z1079) ^ W$2) * (W$3 / 1000)), 0))</f>
        <v/>
      </c>
      <c r="O1079" s="24" t="str">
        <f t="shared" si="2350"/>
        <v/>
      </c>
      <c r="P1079" s="24">
        <f t="shared" ref="P1079:S1079" si="2351">L1079*$Y$2</f>
        <v>0</v>
      </c>
      <c r="Q1079" s="24">
        <f t="shared" si="2351"/>
        <v>14287.5</v>
      </c>
      <c r="R1079" s="24">
        <f t="shared" si="2351"/>
        <v>0</v>
      </c>
      <c r="S1079" s="24">
        <f t="shared" si="2351"/>
        <v>0</v>
      </c>
      <c r="T1079" s="24">
        <f t="shared" si="4"/>
        <v>19</v>
      </c>
      <c r="Z1079" s="25">
        <f t="shared" si="12"/>
        <v>440.0033752</v>
      </c>
    </row>
    <row r="1080">
      <c r="A1080" s="16" t="s">
        <v>3</v>
      </c>
      <c r="B1080" s="17">
        <v>179.0</v>
      </c>
      <c r="C1080" s="24">
        <f t="shared" si="1820"/>
        <v>1655210.626</v>
      </c>
      <c r="D1080" s="25">
        <v>0.05</v>
      </c>
      <c r="E1080" s="24">
        <f t="shared" si="1821"/>
        <v>407.3913651</v>
      </c>
      <c r="F1080" s="25">
        <v>0.02</v>
      </c>
      <c r="G1080" s="24">
        <f t="shared" si="1822"/>
        <v>236458.6609</v>
      </c>
      <c r="H1080" s="25">
        <v>0.05</v>
      </c>
      <c r="I1080" s="24">
        <f t="shared" si="1823"/>
        <v>339.4928043</v>
      </c>
      <c r="J1080" s="25">
        <v>0.02</v>
      </c>
      <c r="K1080" s="25">
        <v>0.0</v>
      </c>
      <c r="L1080" s="24" t="str">
        <f t="shared" ref="L1080:M1080" si="2352">IF(L1079="", "", 1 + IFERROR(MINIFS(OFFSET(L1080, -1, 0, -MIN(ROW()-2, $B1080), 1), OFFSET(L1080, -1, 0, -MIN(ROW()-2, $B1080), 1), "&gt;0"), L1079) + ROUND((L$2 * (LN(1 + $Z1080) ^ U$2) * (U$3 / 100)), 0))</f>
        <v/>
      </c>
      <c r="M1080" s="24">
        <f t="shared" si="2352"/>
        <v>57158</v>
      </c>
      <c r="N1080" s="24" t="str">
        <f t="shared" ref="N1080:O1080" si="2353">IF(N1079="", "", 1 + IFERROR(MINIFS(OFFSET(N1080, -1, 0, -MIN(ROW()-2, $B1080), 1), OFFSET(N1080, -1, 0, -MIN(ROW()-2, $B1080), 1), "&gt;0"), N1079) + ROUND(IFERROR(MINIFS(OFFSET(N1080, -1, 0, -MIN(ROW()-2, $B1080), 1), OFFSET(N1080, -1, 0, -MIN(ROW()-2, $B1080), 1), "&gt;0"), N1079) * ((LN(1 + $Z1080) ^ W$2) * (W$3 / 1000)), 0))</f>
        <v/>
      </c>
      <c r="O1080" s="24" t="str">
        <f t="shared" si="2353"/>
        <v/>
      </c>
      <c r="P1080" s="24">
        <f t="shared" ref="P1080:S1080" si="2354">L1080*$Y$2</f>
        <v>0</v>
      </c>
      <c r="Q1080" s="24">
        <f t="shared" si="2354"/>
        <v>14289.5</v>
      </c>
      <c r="R1080" s="24">
        <f t="shared" si="2354"/>
        <v>0</v>
      </c>
      <c r="S1080" s="24">
        <f t="shared" si="2354"/>
        <v>0</v>
      </c>
      <c r="T1080" s="24">
        <f t="shared" si="4"/>
        <v>19</v>
      </c>
      <c r="Z1080" s="25">
        <f t="shared" si="12"/>
        <v>455.4384933</v>
      </c>
    </row>
    <row r="1081">
      <c r="A1081" s="16" t="s">
        <v>3</v>
      </c>
      <c r="B1081" s="17">
        <v>180.0</v>
      </c>
      <c r="C1081" s="24">
        <f t="shared" si="1820"/>
        <v>1737971.158</v>
      </c>
      <c r="D1081" s="25">
        <v>0.05</v>
      </c>
      <c r="E1081" s="24">
        <f t="shared" si="1821"/>
        <v>415.5391924</v>
      </c>
      <c r="F1081" s="25">
        <v>0.02</v>
      </c>
      <c r="G1081" s="24">
        <f t="shared" si="1822"/>
        <v>248281.5939</v>
      </c>
      <c r="H1081" s="25">
        <v>0.05</v>
      </c>
      <c r="I1081" s="24">
        <f t="shared" si="1823"/>
        <v>346.2826604</v>
      </c>
      <c r="J1081" s="25">
        <v>0.02</v>
      </c>
      <c r="K1081" s="25">
        <v>0.0</v>
      </c>
      <c r="L1081" s="24" t="str">
        <f t="shared" ref="L1081:M1081" si="2355">IF(L1080="", "", 1 + IFERROR(MINIFS(OFFSET(L1081, -1, 0, -MIN(ROW()-2, $B1081), 1), OFFSET(L1081, -1, 0, -MIN(ROW()-2, $B1081), 1), "&gt;0"), L1080) + ROUND((L$2 * (LN(1 + $Z1081) ^ U$2) * (U$3 / 100)), 0))</f>
        <v/>
      </c>
      <c r="M1081" s="24">
        <f t="shared" si="2355"/>
        <v>57166</v>
      </c>
      <c r="N1081" s="24" t="str">
        <f t="shared" ref="N1081:O1081" si="2356">IF(N1080="", "", 1 + IFERROR(MINIFS(OFFSET(N1081, -1, 0, -MIN(ROW()-2, $B1081), 1), OFFSET(N1081, -1, 0, -MIN(ROW()-2, $B1081), 1), "&gt;0"), N1080) + ROUND(IFERROR(MINIFS(OFFSET(N1081, -1, 0, -MIN(ROW()-2, $B1081), 1), OFFSET(N1081, -1, 0, -MIN(ROW()-2, $B1081), 1), "&gt;0"), N1080) * ((LN(1 + $Z1081) ^ W$2) * (W$3 / 1000)), 0))</f>
        <v/>
      </c>
      <c r="O1081" s="24" t="str">
        <f t="shared" si="2356"/>
        <v/>
      </c>
      <c r="P1081" s="24">
        <f t="shared" ref="P1081:S1081" si="2357">L1081*$Y$2</f>
        <v>0</v>
      </c>
      <c r="Q1081" s="24">
        <f t="shared" si="2357"/>
        <v>14291.5</v>
      </c>
      <c r="R1081" s="24">
        <f t="shared" si="2357"/>
        <v>0</v>
      </c>
      <c r="S1081" s="24">
        <f t="shared" si="2357"/>
        <v>0</v>
      </c>
      <c r="T1081" s="24">
        <f t="shared" si="4"/>
        <v>19</v>
      </c>
      <c r="Z1081" s="25">
        <f t="shared" si="12"/>
        <v>471.4138406</v>
      </c>
    </row>
    <row r="1082">
      <c r="A1082" s="16" t="s">
        <v>3</v>
      </c>
      <c r="B1082" s="17">
        <v>181.0</v>
      </c>
      <c r="C1082" s="24">
        <f t="shared" si="1820"/>
        <v>1824869.715</v>
      </c>
      <c r="D1082" s="25">
        <v>0.05</v>
      </c>
      <c r="E1082" s="24">
        <f t="shared" si="1821"/>
        <v>423.8499763</v>
      </c>
      <c r="F1082" s="25">
        <v>0.02</v>
      </c>
      <c r="G1082" s="24">
        <f t="shared" si="1822"/>
        <v>260695.6736</v>
      </c>
      <c r="H1082" s="25">
        <v>0.05</v>
      </c>
      <c r="I1082" s="24">
        <f t="shared" si="1823"/>
        <v>353.2083136</v>
      </c>
      <c r="J1082" s="25">
        <v>0.02</v>
      </c>
      <c r="K1082" s="25">
        <v>0.0</v>
      </c>
      <c r="L1082" s="24" t="str">
        <f t="shared" ref="L1082:M1082" si="2358">IF(L1081="", "", 1 + IFERROR(MINIFS(OFFSET(L1082, -1, 0, -MIN(ROW()-2, $B1082), 1), OFFSET(L1082, -1, 0, -MIN(ROW()-2, $B1082), 1), "&gt;0"), L1081) + ROUND((L$2 * (LN(1 + $Z1082) ^ U$2) * (U$3 / 100)), 0))</f>
        <v/>
      </c>
      <c r="M1082" s="24">
        <f t="shared" si="2358"/>
        <v>57174</v>
      </c>
      <c r="N1082" s="24" t="str">
        <f t="shared" ref="N1082:O1082" si="2359">IF(N1081="", "", 1 + IFERROR(MINIFS(OFFSET(N1082, -1, 0, -MIN(ROW()-2, $B1082), 1), OFFSET(N1082, -1, 0, -MIN(ROW()-2, $B1082), 1), "&gt;0"), N1081) + ROUND(IFERROR(MINIFS(OFFSET(N1082, -1, 0, -MIN(ROW()-2, $B1082), 1), OFFSET(N1082, -1, 0, -MIN(ROW()-2, $B1082), 1), "&gt;0"), N1081) * ((LN(1 + $Z1082) ^ W$2) * (W$3 / 1000)), 0))</f>
        <v/>
      </c>
      <c r="O1082" s="24" t="str">
        <f t="shared" si="2359"/>
        <v/>
      </c>
      <c r="P1082" s="24">
        <f t="shared" ref="P1082:S1082" si="2360">L1082*$Y$2</f>
        <v>0</v>
      </c>
      <c r="Q1082" s="24">
        <f t="shared" si="2360"/>
        <v>14293.5</v>
      </c>
      <c r="R1082" s="24">
        <f t="shared" si="2360"/>
        <v>0</v>
      </c>
      <c r="S1082" s="24">
        <f t="shared" si="2360"/>
        <v>0</v>
      </c>
      <c r="T1082" s="24">
        <f t="shared" si="4"/>
        <v>19</v>
      </c>
      <c r="Z1082" s="25">
        <f t="shared" si="12"/>
        <v>487.948325</v>
      </c>
    </row>
    <row r="1083">
      <c r="A1083" s="16" t="s">
        <v>3</v>
      </c>
      <c r="B1083" s="17">
        <v>182.0</v>
      </c>
      <c r="C1083" s="24">
        <f t="shared" si="1820"/>
        <v>1916113.201</v>
      </c>
      <c r="D1083" s="25">
        <v>0.05</v>
      </c>
      <c r="E1083" s="24">
        <f t="shared" si="1821"/>
        <v>432.3269758</v>
      </c>
      <c r="F1083" s="25">
        <v>0.02</v>
      </c>
      <c r="G1083" s="24">
        <f t="shared" si="1822"/>
        <v>273730.4573</v>
      </c>
      <c r="H1083" s="25">
        <v>0.05</v>
      </c>
      <c r="I1083" s="24">
        <f t="shared" si="1823"/>
        <v>360.2724798</v>
      </c>
      <c r="J1083" s="25">
        <v>0.02</v>
      </c>
      <c r="K1083" s="25">
        <v>0.0</v>
      </c>
      <c r="L1083" s="24" t="str">
        <f t="shared" ref="L1083:M1083" si="2361">IF(L1082="", "", 1 + IFERROR(MINIFS(OFFSET(L1083, -1, 0, -MIN(ROW()-2, $B1083), 1), OFFSET(L1083, -1, 0, -MIN(ROW()-2, $B1083), 1), "&gt;0"), L1082) + ROUND((L$2 * (LN(1 + $Z1083) ^ U$2) * (U$3 / 100)), 0))</f>
        <v/>
      </c>
      <c r="M1083" s="24">
        <f t="shared" si="2361"/>
        <v>57182</v>
      </c>
      <c r="N1083" s="24" t="str">
        <f t="shared" ref="N1083:O1083" si="2362">IF(N1082="", "", 1 + IFERROR(MINIFS(OFFSET(N1083, -1, 0, -MIN(ROW()-2, $B1083), 1), OFFSET(N1083, -1, 0, -MIN(ROW()-2, $B1083), 1), "&gt;0"), N1082) + ROUND(IFERROR(MINIFS(OFFSET(N1083, -1, 0, -MIN(ROW()-2, $B1083), 1), OFFSET(N1083, -1, 0, -MIN(ROW()-2, $B1083), 1), "&gt;0"), N1082) * ((LN(1 + $Z1083) ^ W$2) * (W$3 / 1000)), 0))</f>
        <v/>
      </c>
      <c r="O1083" s="24" t="str">
        <f t="shared" si="2362"/>
        <v/>
      </c>
      <c r="P1083" s="24">
        <f t="shared" ref="P1083:S1083" si="2363">L1083*$Y$2</f>
        <v>0</v>
      </c>
      <c r="Q1083" s="24">
        <f t="shared" si="2363"/>
        <v>14295.5</v>
      </c>
      <c r="R1083" s="24">
        <f t="shared" si="2363"/>
        <v>0</v>
      </c>
      <c r="S1083" s="24">
        <f t="shared" si="2363"/>
        <v>0</v>
      </c>
      <c r="T1083" s="24">
        <f t="shared" si="4"/>
        <v>19</v>
      </c>
      <c r="Z1083" s="25">
        <f t="shared" si="12"/>
        <v>505.0615164</v>
      </c>
    </row>
    <row r="1084">
      <c r="A1084" s="16" t="s">
        <v>3</v>
      </c>
      <c r="B1084" s="17">
        <v>183.0</v>
      </c>
      <c r="C1084" s="24">
        <f t="shared" si="1820"/>
        <v>2011918.861</v>
      </c>
      <c r="D1084" s="25">
        <v>0.05</v>
      </c>
      <c r="E1084" s="24">
        <f t="shared" si="1821"/>
        <v>440.9735153</v>
      </c>
      <c r="F1084" s="25">
        <v>0.02</v>
      </c>
      <c r="G1084" s="24">
        <f t="shared" si="1822"/>
        <v>287416.9802</v>
      </c>
      <c r="H1084" s="25">
        <v>0.05</v>
      </c>
      <c r="I1084" s="24">
        <f t="shared" si="1823"/>
        <v>367.4779294</v>
      </c>
      <c r="J1084" s="25">
        <v>0.02</v>
      </c>
      <c r="K1084" s="25">
        <v>0.0</v>
      </c>
      <c r="L1084" s="24" t="str">
        <f t="shared" ref="L1084:M1084" si="2364">IF(L1083="", "", 1 + IFERROR(MINIFS(OFFSET(L1084, -1, 0, -MIN(ROW()-2, $B1084), 1), OFFSET(L1084, -1, 0, -MIN(ROW()-2, $B1084), 1), "&gt;0"), L1083) + ROUND((L$2 * (LN(1 + $Z1084) ^ U$2) * (U$3 / 100)), 0))</f>
        <v/>
      </c>
      <c r="M1084" s="24">
        <f t="shared" si="2364"/>
        <v>57190</v>
      </c>
      <c r="N1084" s="24" t="str">
        <f t="shared" ref="N1084:O1084" si="2365">IF(N1083="", "", 1 + IFERROR(MINIFS(OFFSET(N1084, -1, 0, -MIN(ROW()-2, $B1084), 1), OFFSET(N1084, -1, 0, -MIN(ROW()-2, $B1084), 1), "&gt;0"), N1083) + ROUND(IFERROR(MINIFS(OFFSET(N1084, -1, 0, -MIN(ROW()-2, $B1084), 1), OFFSET(N1084, -1, 0, -MIN(ROW()-2, $B1084), 1), "&gt;0"), N1083) * ((LN(1 + $Z1084) ^ W$2) * (W$3 / 1000)), 0))</f>
        <v/>
      </c>
      <c r="O1084" s="24" t="str">
        <f t="shared" si="2365"/>
        <v/>
      </c>
      <c r="P1084" s="24">
        <f t="shared" ref="P1084:S1084" si="2366">L1084*$Y$2</f>
        <v>0</v>
      </c>
      <c r="Q1084" s="24">
        <f t="shared" si="2366"/>
        <v>14297.5</v>
      </c>
      <c r="R1084" s="24">
        <f t="shared" si="2366"/>
        <v>0</v>
      </c>
      <c r="S1084" s="24">
        <f t="shared" si="2366"/>
        <v>0</v>
      </c>
      <c r="T1084" s="24">
        <f t="shared" si="4"/>
        <v>19</v>
      </c>
      <c r="Z1084" s="25">
        <f t="shared" si="12"/>
        <v>522.7736695</v>
      </c>
    </row>
    <row r="1085">
      <c r="A1085" s="16" t="s">
        <v>3</v>
      </c>
      <c r="B1085" s="17">
        <v>184.0</v>
      </c>
      <c r="C1085" s="24">
        <f t="shared" si="1820"/>
        <v>2112514.804</v>
      </c>
      <c r="D1085" s="25">
        <v>0.05</v>
      </c>
      <c r="E1085" s="24">
        <f t="shared" si="1821"/>
        <v>449.7929856</v>
      </c>
      <c r="F1085" s="25">
        <v>0.02</v>
      </c>
      <c r="G1085" s="24">
        <f t="shared" si="1822"/>
        <v>301787.8292</v>
      </c>
      <c r="H1085" s="25">
        <v>0.05</v>
      </c>
      <c r="I1085" s="24">
        <f t="shared" si="1823"/>
        <v>374.827488</v>
      </c>
      <c r="J1085" s="25">
        <v>0.02</v>
      </c>
      <c r="K1085" s="25">
        <v>0.0</v>
      </c>
      <c r="L1085" s="24" t="str">
        <f t="shared" ref="L1085:M1085" si="2367">IF(L1084="", "", 1 + IFERROR(MINIFS(OFFSET(L1085, -1, 0, -MIN(ROW()-2, $B1085), 1), OFFSET(L1085, -1, 0, -MIN(ROW()-2, $B1085), 1), "&gt;0"), L1084) + ROUND((L$2 * (LN(1 + $Z1085) ^ U$2) * (U$3 / 100)), 0))</f>
        <v/>
      </c>
      <c r="M1085" s="24">
        <f t="shared" si="2367"/>
        <v>57198</v>
      </c>
      <c r="N1085" s="24" t="str">
        <f t="shared" ref="N1085:O1085" si="2368">IF(N1084="", "", 1 + IFERROR(MINIFS(OFFSET(N1085, -1, 0, -MIN(ROW()-2, $B1085), 1), OFFSET(N1085, -1, 0, -MIN(ROW()-2, $B1085), 1), "&gt;0"), N1084) + ROUND(IFERROR(MINIFS(OFFSET(N1085, -1, 0, -MIN(ROW()-2, $B1085), 1), OFFSET(N1085, -1, 0, -MIN(ROW()-2, $B1085), 1), "&gt;0"), N1084) * ((LN(1 + $Z1085) ^ W$2) * (W$3 / 1000)), 0))</f>
        <v/>
      </c>
      <c r="O1085" s="24" t="str">
        <f t="shared" si="2368"/>
        <v/>
      </c>
      <c r="P1085" s="24">
        <f t="shared" ref="P1085:S1085" si="2369">L1085*$Y$2</f>
        <v>0</v>
      </c>
      <c r="Q1085" s="24">
        <f t="shared" si="2369"/>
        <v>14299.5</v>
      </c>
      <c r="R1085" s="24">
        <f t="shared" si="2369"/>
        <v>0</v>
      </c>
      <c r="S1085" s="24">
        <f t="shared" si="2369"/>
        <v>0</v>
      </c>
      <c r="T1085" s="24">
        <f t="shared" si="4"/>
        <v>19</v>
      </c>
      <c r="Z1085" s="25">
        <f t="shared" si="12"/>
        <v>541.1057479</v>
      </c>
    </row>
    <row r="1086">
      <c r="A1086" s="16" t="s">
        <v>3</v>
      </c>
      <c r="B1086" s="17">
        <v>185.0</v>
      </c>
      <c r="C1086" s="24">
        <f t="shared" si="1820"/>
        <v>2218140.545</v>
      </c>
      <c r="D1086" s="25">
        <v>0.05</v>
      </c>
      <c r="E1086" s="24">
        <f t="shared" si="1821"/>
        <v>458.7888453</v>
      </c>
      <c r="F1086" s="25">
        <v>0.02</v>
      </c>
      <c r="G1086" s="24">
        <f t="shared" si="1822"/>
        <v>316877.2207</v>
      </c>
      <c r="H1086" s="25">
        <v>0.05</v>
      </c>
      <c r="I1086" s="24">
        <f t="shared" si="1823"/>
        <v>382.3240378</v>
      </c>
      <c r="J1086" s="25">
        <v>0.02</v>
      </c>
      <c r="K1086" s="25">
        <v>0.0</v>
      </c>
      <c r="L1086" s="24" t="str">
        <f t="shared" ref="L1086:M1086" si="2370">IF(L1085="", "", 1 + IFERROR(MINIFS(OFFSET(L1086, -1, 0, -MIN(ROW()-2, $B1086), 1), OFFSET(L1086, -1, 0, -MIN(ROW()-2, $B1086), 1), "&gt;0"), L1085) + ROUND((L$2 * (LN(1 + $Z1086) ^ U$2) * (U$3 / 100)), 0))</f>
        <v/>
      </c>
      <c r="M1086" s="24">
        <f t="shared" si="2370"/>
        <v>57206</v>
      </c>
      <c r="N1086" s="24" t="str">
        <f t="shared" ref="N1086:O1086" si="2371">IF(N1085="", "", 1 + IFERROR(MINIFS(OFFSET(N1086, -1, 0, -MIN(ROW()-2, $B1086), 1), OFFSET(N1086, -1, 0, -MIN(ROW()-2, $B1086), 1), "&gt;0"), N1085) + ROUND(IFERROR(MINIFS(OFFSET(N1086, -1, 0, -MIN(ROW()-2, $B1086), 1), OFFSET(N1086, -1, 0, -MIN(ROW()-2, $B1086), 1), "&gt;0"), N1085) * ((LN(1 + $Z1086) ^ W$2) * (W$3 / 1000)), 0))</f>
        <v/>
      </c>
      <c r="O1086" s="24" t="str">
        <f t="shared" si="2371"/>
        <v/>
      </c>
      <c r="P1086" s="24">
        <f t="shared" ref="P1086:S1086" si="2372">L1086*$Y$2</f>
        <v>0</v>
      </c>
      <c r="Q1086" s="24">
        <f t="shared" si="2372"/>
        <v>14301.5</v>
      </c>
      <c r="R1086" s="24">
        <f t="shared" si="2372"/>
        <v>0</v>
      </c>
      <c r="S1086" s="24">
        <f t="shared" si="2372"/>
        <v>0</v>
      </c>
      <c r="T1086" s="24">
        <f t="shared" si="4"/>
        <v>20</v>
      </c>
      <c r="Z1086" s="25">
        <f t="shared" si="12"/>
        <v>560.0794491</v>
      </c>
    </row>
    <row r="1087">
      <c r="A1087" s="16" t="s">
        <v>3</v>
      </c>
      <c r="B1087" s="17">
        <v>186.0</v>
      </c>
      <c r="C1087" s="24">
        <f t="shared" si="1820"/>
        <v>2329047.572</v>
      </c>
      <c r="D1087" s="25">
        <v>0.05</v>
      </c>
      <c r="E1087" s="24">
        <f t="shared" si="1821"/>
        <v>467.9646223</v>
      </c>
      <c r="F1087" s="25">
        <v>0.02</v>
      </c>
      <c r="G1087" s="24">
        <f t="shared" si="1822"/>
        <v>332721.0817</v>
      </c>
      <c r="H1087" s="25">
        <v>0.05</v>
      </c>
      <c r="I1087" s="24">
        <f t="shared" si="1823"/>
        <v>389.9705185</v>
      </c>
      <c r="J1087" s="25">
        <v>0.02</v>
      </c>
      <c r="K1087" s="25">
        <v>0.0</v>
      </c>
      <c r="L1087" s="24" t="str">
        <f t="shared" ref="L1087:M1087" si="2373">IF(L1086="", "", 1 + IFERROR(MINIFS(OFFSET(L1087, -1, 0, -MIN(ROW()-2, $B1087), 1), OFFSET(L1087, -1, 0, -MIN(ROW()-2, $B1087), 1), "&gt;0"), L1086) + ROUND((L$2 * (LN(1 + $Z1087) ^ U$2) * (U$3 / 100)), 0))</f>
        <v/>
      </c>
      <c r="M1087" s="24">
        <f t="shared" si="2373"/>
        <v>57214</v>
      </c>
      <c r="N1087" s="24" t="str">
        <f t="shared" ref="N1087:O1087" si="2374">IF(N1086="", "", 1 + IFERROR(MINIFS(OFFSET(N1087, -1, 0, -MIN(ROW()-2, $B1087), 1), OFFSET(N1087, -1, 0, -MIN(ROW()-2, $B1087), 1), "&gt;0"), N1086) + ROUND(IFERROR(MINIFS(OFFSET(N1087, -1, 0, -MIN(ROW()-2, $B1087), 1), OFFSET(N1087, -1, 0, -MIN(ROW()-2, $B1087), 1), "&gt;0"), N1086) * ((LN(1 + $Z1087) ^ W$2) * (W$3 / 1000)), 0))</f>
        <v/>
      </c>
      <c r="O1087" s="24" t="str">
        <f t="shared" si="2374"/>
        <v/>
      </c>
      <c r="P1087" s="24">
        <f t="shared" ref="P1087:S1087" si="2375">L1087*$Y$2</f>
        <v>0</v>
      </c>
      <c r="Q1087" s="24">
        <f t="shared" si="2375"/>
        <v>14303.5</v>
      </c>
      <c r="R1087" s="24">
        <f t="shared" si="2375"/>
        <v>0</v>
      </c>
      <c r="S1087" s="24">
        <f t="shared" si="2375"/>
        <v>0</v>
      </c>
      <c r="T1087" s="24">
        <f t="shared" si="4"/>
        <v>20</v>
      </c>
      <c r="Z1087" s="25">
        <f t="shared" si="12"/>
        <v>579.7172298</v>
      </c>
    </row>
    <row r="1088">
      <c r="A1088" s="16" t="s">
        <v>3</v>
      </c>
      <c r="B1088" s="17">
        <v>187.0</v>
      </c>
      <c r="C1088" s="24">
        <f t="shared" si="1820"/>
        <v>2445499.95</v>
      </c>
      <c r="D1088" s="25">
        <v>0.05</v>
      </c>
      <c r="E1088" s="24">
        <f t="shared" si="1821"/>
        <v>477.3239147</v>
      </c>
      <c r="F1088" s="25">
        <v>0.02</v>
      </c>
      <c r="G1088" s="24">
        <f t="shared" si="1822"/>
        <v>349357.1358</v>
      </c>
      <c r="H1088" s="25">
        <v>0.05</v>
      </c>
      <c r="I1088" s="24">
        <f t="shared" si="1823"/>
        <v>397.7699289</v>
      </c>
      <c r="J1088" s="25">
        <v>0.02</v>
      </c>
      <c r="K1088" s="25">
        <v>0.0</v>
      </c>
      <c r="L1088" s="24" t="str">
        <f t="shared" ref="L1088:M1088" si="2376">IF(L1087="", "", 1 + IFERROR(MINIFS(OFFSET(L1088, -1, 0, -MIN(ROW()-2, $B1088), 1), OFFSET(L1088, -1, 0, -MIN(ROW()-2, $B1088), 1), "&gt;0"), L1087) + ROUND((L$2 * (LN(1 + $Z1088) ^ U$2) * (U$3 / 100)), 0))</f>
        <v/>
      </c>
      <c r="M1088" s="24">
        <f t="shared" si="2376"/>
        <v>57222</v>
      </c>
      <c r="N1088" s="24" t="str">
        <f t="shared" ref="N1088:O1088" si="2377">IF(N1087="", "", 1 + IFERROR(MINIFS(OFFSET(N1088, -1, 0, -MIN(ROW()-2, $B1088), 1), OFFSET(N1088, -1, 0, -MIN(ROW()-2, $B1088), 1), "&gt;0"), N1087) + ROUND(IFERROR(MINIFS(OFFSET(N1088, -1, 0, -MIN(ROW()-2, $B1088), 1), OFFSET(N1088, -1, 0, -MIN(ROW()-2, $B1088), 1), "&gt;0"), N1087) * ((LN(1 + $Z1088) ^ W$2) * (W$3 / 1000)), 0))</f>
        <v/>
      </c>
      <c r="O1088" s="24" t="str">
        <f t="shared" si="2377"/>
        <v/>
      </c>
      <c r="P1088" s="24">
        <f t="shared" ref="P1088:S1088" si="2378">L1088*$Y$2</f>
        <v>0</v>
      </c>
      <c r="Q1088" s="24">
        <f t="shared" si="2378"/>
        <v>14305.5</v>
      </c>
      <c r="R1088" s="24">
        <f t="shared" si="2378"/>
        <v>0</v>
      </c>
      <c r="S1088" s="24">
        <f t="shared" si="2378"/>
        <v>0</v>
      </c>
      <c r="T1088" s="24">
        <f t="shared" si="4"/>
        <v>20</v>
      </c>
      <c r="Z1088" s="25">
        <f t="shared" si="12"/>
        <v>600.0423329</v>
      </c>
    </row>
    <row r="1089">
      <c r="A1089" s="16" t="s">
        <v>3</v>
      </c>
      <c r="B1089" s="17">
        <v>188.0</v>
      </c>
      <c r="C1089" s="24">
        <f t="shared" si="1820"/>
        <v>2567774.948</v>
      </c>
      <c r="D1089" s="25">
        <v>0.05</v>
      </c>
      <c r="E1089" s="24">
        <f t="shared" si="1821"/>
        <v>486.870393</v>
      </c>
      <c r="F1089" s="25">
        <v>0.02</v>
      </c>
      <c r="G1089" s="24">
        <f t="shared" si="1822"/>
        <v>366824.9926</v>
      </c>
      <c r="H1089" s="25">
        <v>0.05</v>
      </c>
      <c r="I1089" s="24">
        <f t="shared" si="1823"/>
        <v>405.7253275</v>
      </c>
      <c r="J1089" s="25">
        <v>0.02</v>
      </c>
      <c r="K1089" s="25">
        <v>0.0</v>
      </c>
      <c r="L1089" s="24" t="str">
        <f t="shared" ref="L1089:M1089" si="2379">IF(L1088="", "", 1 + IFERROR(MINIFS(OFFSET(L1089, -1, 0, -MIN(ROW()-2, $B1089), 1), OFFSET(L1089, -1, 0, -MIN(ROW()-2, $B1089), 1), "&gt;0"), L1088) + ROUND((L$2 * (LN(1 + $Z1089) ^ U$2) * (U$3 / 100)), 0))</f>
        <v/>
      </c>
      <c r="M1089" s="24">
        <f t="shared" si="2379"/>
        <v>57230</v>
      </c>
      <c r="N1089" s="24" t="str">
        <f t="shared" ref="N1089:O1089" si="2380">IF(N1088="", "", 1 + IFERROR(MINIFS(OFFSET(N1089, -1, 0, -MIN(ROW()-2, $B1089), 1), OFFSET(N1089, -1, 0, -MIN(ROW()-2, $B1089), 1), "&gt;0"), N1088) + ROUND(IFERROR(MINIFS(OFFSET(N1089, -1, 0, -MIN(ROW()-2, $B1089), 1), OFFSET(N1089, -1, 0, -MIN(ROW()-2, $B1089), 1), "&gt;0"), N1088) * ((LN(1 + $Z1089) ^ W$2) * (W$3 / 1000)), 0))</f>
        <v/>
      </c>
      <c r="O1089" s="24" t="str">
        <f t="shared" si="2380"/>
        <v/>
      </c>
      <c r="P1089" s="24">
        <f t="shared" ref="P1089:S1089" si="2381">L1089*$Y$2</f>
        <v>0</v>
      </c>
      <c r="Q1089" s="24">
        <f t="shared" si="2381"/>
        <v>14307.5</v>
      </c>
      <c r="R1089" s="24">
        <f t="shared" si="2381"/>
        <v>0</v>
      </c>
      <c r="S1089" s="24">
        <f t="shared" si="2381"/>
        <v>0</v>
      </c>
      <c r="T1089" s="24">
        <f t="shared" si="4"/>
        <v>20</v>
      </c>
      <c r="Z1089" s="25">
        <f t="shared" si="12"/>
        <v>621.0788145</v>
      </c>
    </row>
    <row r="1090">
      <c r="A1090" s="16" t="s">
        <v>3</v>
      </c>
      <c r="B1090" s="17">
        <v>189.0</v>
      </c>
      <c r="C1090" s="24">
        <f t="shared" si="1820"/>
        <v>2696163.695</v>
      </c>
      <c r="D1090" s="25">
        <v>0.05</v>
      </c>
      <c r="E1090" s="24">
        <f t="shared" si="1821"/>
        <v>496.6078009</v>
      </c>
      <c r="F1090" s="25">
        <v>0.02</v>
      </c>
      <c r="G1090" s="24">
        <f t="shared" si="1822"/>
        <v>385166.2422</v>
      </c>
      <c r="H1090" s="25">
        <v>0.05</v>
      </c>
      <c r="I1090" s="24">
        <f t="shared" si="1823"/>
        <v>413.839834</v>
      </c>
      <c r="J1090" s="25">
        <v>0.02</v>
      </c>
      <c r="K1090" s="25">
        <v>0.0</v>
      </c>
      <c r="L1090" s="24" t="str">
        <f t="shared" ref="L1090:M1090" si="2382">IF(L1089="", "", 1 + IFERROR(MINIFS(OFFSET(L1090, -1, 0, -MIN(ROW()-2, $B1090), 1), OFFSET(L1090, -1, 0, -MIN(ROW()-2, $B1090), 1), "&gt;0"), L1089) + ROUND((L$2 * (LN(1 + $Z1090) ^ U$2) * (U$3 / 100)), 0))</f>
        <v/>
      </c>
      <c r="M1090" s="24">
        <f t="shared" si="2382"/>
        <v>57238</v>
      </c>
      <c r="N1090" s="24" t="str">
        <f t="shared" ref="N1090:O1090" si="2383">IF(N1089="", "", 1 + IFERROR(MINIFS(OFFSET(N1090, -1, 0, -MIN(ROW()-2, $B1090), 1), OFFSET(N1090, -1, 0, -MIN(ROW()-2, $B1090), 1), "&gt;0"), N1089) + ROUND(IFERROR(MINIFS(OFFSET(N1090, -1, 0, -MIN(ROW()-2, $B1090), 1), OFFSET(N1090, -1, 0, -MIN(ROW()-2, $B1090), 1), "&gt;0"), N1089) * ((LN(1 + $Z1090) ^ W$2) * (W$3 / 1000)), 0))</f>
        <v/>
      </c>
      <c r="O1090" s="24" t="str">
        <f t="shared" si="2383"/>
        <v/>
      </c>
      <c r="P1090" s="24">
        <f t="shared" ref="P1090:S1090" si="2384">L1090*$Y$2</f>
        <v>0</v>
      </c>
      <c r="Q1090" s="24">
        <f t="shared" si="2384"/>
        <v>14309.5</v>
      </c>
      <c r="R1090" s="24">
        <f t="shared" si="2384"/>
        <v>0</v>
      </c>
      <c r="S1090" s="24">
        <f t="shared" si="2384"/>
        <v>0</v>
      </c>
      <c r="T1090" s="24">
        <f t="shared" si="4"/>
        <v>20</v>
      </c>
      <c r="Z1090" s="25">
        <f t="shared" si="12"/>
        <v>642.851573</v>
      </c>
    </row>
    <row r="1091">
      <c r="A1091" s="16" t="s">
        <v>3</v>
      </c>
      <c r="B1091" s="17">
        <v>190.0</v>
      </c>
      <c r="C1091" s="24">
        <f t="shared" si="1820"/>
        <v>2830971.88</v>
      </c>
      <c r="D1091" s="25">
        <v>0.05</v>
      </c>
      <c r="E1091" s="24">
        <f t="shared" si="1821"/>
        <v>506.5399569</v>
      </c>
      <c r="F1091" s="25">
        <v>0.02</v>
      </c>
      <c r="G1091" s="24">
        <f t="shared" si="1822"/>
        <v>404424.5543</v>
      </c>
      <c r="H1091" s="25">
        <v>0.05</v>
      </c>
      <c r="I1091" s="24">
        <f t="shared" si="1823"/>
        <v>422.1166307</v>
      </c>
      <c r="J1091" s="25">
        <v>0.02</v>
      </c>
      <c r="K1091" s="25">
        <v>0.0</v>
      </c>
      <c r="L1091" s="24" t="str">
        <f t="shared" ref="L1091:M1091" si="2385">IF(L1090="", "", 1 + IFERROR(MINIFS(OFFSET(L1091, -1, 0, -MIN(ROW()-2, $B1091), 1), OFFSET(L1091, -1, 0, -MIN(ROW()-2, $B1091), 1), "&gt;0"), L1090) + ROUND((L$2 * (LN(1 + $Z1091) ^ U$2) * (U$3 / 100)), 0))</f>
        <v/>
      </c>
      <c r="M1091" s="24">
        <f t="shared" si="2385"/>
        <v>57246</v>
      </c>
      <c r="N1091" s="24" t="str">
        <f t="shared" ref="N1091:O1091" si="2386">IF(N1090="", "", 1 + IFERROR(MINIFS(OFFSET(N1091, -1, 0, -MIN(ROW()-2, $B1091), 1), OFFSET(N1091, -1, 0, -MIN(ROW()-2, $B1091), 1), "&gt;0"), N1090) + ROUND(IFERROR(MINIFS(OFFSET(N1091, -1, 0, -MIN(ROW()-2, $B1091), 1), OFFSET(N1091, -1, 0, -MIN(ROW()-2, $B1091), 1), "&gt;0"), N1090) * ((LN(1 + $Z1091) ^ W$2) * (W$3 / 1000)), 0))</f>
        <v/>
      </c>
      <c r="O1091" s="24" t="str">
        <f t="shared" si="2386"/>
        <v/>
      </c>
      <c r="P1091" s="24">
        <f t="shared" ref="P1091:S1091" si="2387">L1091*$Y$2</f>
        <v>0</v>
      </c>
      <c r="Q1091" s="24">
        <f t="shared" si="2387"/>
        <v>14311.5</v>
      </c>
      <c r="R1091" s="24">
        <f t="shared" si="2387"/>
        <v>0</v>
      </c>
      <c r="S1091" s="24">
        <f t="shared" si="2387"/>
        <v>0</v>
      </c>
      <c r="T1091" s="24">
        <f t="shared" si="4"/>
        <v>20</v>
      </c>
      <c r="Z1091" s="25">
        <f t="shared" si="12"/>
        <v>665.3863781</v>
      </c>
    </row>
    <row r="1092">
      <c r="A1092" s="16" t="s">
        <v>3</v>
      </c>
      <c r="B1092" s="17">
        <v>191.0</v>
      </c>
      <c r="C1092" s="24">
        <f t="shared" si="1820"/>
        <v>2972520.474</v>
      </c>
      <c r="D1092" s="25">
        <v>0.05</v>
      </c>
      <c r="E1092" s="24">
        <f t="shared" si="1821"/>
        <v>516.670756</v>
      </c>
      <c r="F1092" s="25">
        <v>0.02</v>
      </c>
      <c r="G1092" s="24">
        <f t="shared" si="1822"/>
        <v>424645.782</v>
      </c>
      <c r="H1092" s="25">
        <v>0.05</v>
      </c>
      <c r="I1092" s="24">
        <f t="shared" si="1823"/>
        <v>430.5589633</v>
      </c>
      <c r="J1092" s="25">
        <v>0.02</v>
      </c>
      <c r="K1092" s="25">
        <v>0.0</v>
      </c>
      <c r="L1092" s="24" t="str">
        <f t="shared" ref="L1092:M1092" si="2388">IF(L1091="", "", 1 + IFERROR(MINIFS(OFFSET(L1092, -1, 0, -MIN(ROW()-2, $B1092), 1), OFFSET(L1092, -1, 0, -MIN(ROW()-2, $B1092), 1), "&gt;0"), L1091) + ROUND((L$2 * (LN(1 + $Z1092) ^ U$2) * (U$3 / 100)), 0))</f>
        <v/>
      </c>
      <c r="M1092" s="24">
        <f t="shared" si="2388"/>
        <v>57254</v>
      </c>
      <c r="N1092" s="24" t="str">
        <f t="shared" ref="N1092:O1092" si="2389">IF(N1091="", "", 1 + IFERROR(MINIFS(OFFSET(N1092, -1, 0, -MIN(ROW()-2, $B1092), 1), OFFSET(N1092, -1, 0, -MIN(ROW()-2, $B1092), 1), "&gt;0"), N1091) + ROUND(IFERROR(MINIFS(OFFSET(N1092, -1, 0, -MIN(ROW()-2, $B1092), 1), OFFSET(N1092, -1, 0, -MIN(ROW()-2, $B1092), 1), "&gt;0"), N1091) * ((LN(1 + $Z1092) ^ W$2) * (W$3 / 1000)), 0))</f>
        <v/>
      </c>
      <c r="O1092" s="24" t="str">
        <f t="shared" si="2389"/>
        <v/>
      </c>
      <c r="P1092" s="24">
        <f t="shared" ref="P1092:S1092" si="2390">L1092*$Y$2</f>
        <v>0</v>
      </c>
      <c r="Q1092" s="24">
        <f t="shared" si="2390"/>
        <v>14313.5</v>
      </c>
      <c r="R1092" s="24">
        <f t="shared" si="2390"/>
        <v>0</v>
      </c>
      <c r="S1092" s="24">
        <f t="shared" si="2390"/>
        <v>0</v>
      </c>
      <c r="T1092" s="24">
        <f t="shared" si="4"/>
        <v>20</v>
      </c>
      <c r="Z1092" s="25">
        <f t="shared" si="12"/>
        <v>688.7099013</v>
      </c>
    </row>
    <row r="1093">
      <c r="A1093" s="16" t="s">
        <v>3</v>
      </c>
      <c r="B1093" s="17">
        <v>192.0</v>
      </c>
      <c r="C1093" s="24">
        <f t="shared" si="1820"/>
        <v>3121146.498</v>
      </c>
      <c r="D1093" s="25">
        <v>0.05</v>
      </c>
      <c r="E1093" s="24">
        <f t="shared" si="1821"/>
        <v>527.0041711</v>
      </c>
      <c r="F1093" s="25">
        <v>0.02</v>
      </c>
      <c r="G1093" s="24">
        <f t="shared" si="1822"/>
        <v>445878.0711</v>
      </c>
      <c r="H1093" s="25">
        <v>0.05</v>
      </c>
      <c r="I1093" s="24">
        <f t="shared" si="1823"/>
        <v>439.1701426</v>
      </c>
      <c r="J1093" s="25">
        <v>0.02</v>
      </c>
      <c r="K1093" s="25">
        <v>0.0</v>
      </c>
      <c r="L1093" s="24" t="str">
        <f t="shared" ref="L1093:M1093" si="2391">IF(L1092="", "", 1 + IFERROR(MINIFS(OFFSET(L1093, -1, 0, -MIN(ROW()-2, $B1093), 1), OFFSET(L1093, -1, 0, -MIN(ROW()-2, $B1093), 1), "&gt;0"), L1092) + ROUND((L$2 * (LN(1 + $Z1093) ^ U$2) * (U$3 / 100)), 0))</f>
        <v/>
      </c>
      <c r="M1093" s="24">
        <f t="shared" si="2391"/>
        <v>57262</v>
      </c>
      <c r="N1093" s="24" t="str">
        <f t="shared" ref="N1093:O1093" si="2392">IF(N1092="", "", 1 + IFERROR(MINIFS(OFFSET(N1093, -1, 0, -MIN(ROW()-2, $B1093), 1), OFFSET(N1093, -1, 0, -MIN(ROW()-2, $B1093), 1), "&gt;0"), N1092) + ROUND(IFERROR(MINIFS(OFFSET(N1093, -1, 0, -MIN(ROW()-2, $B1093), 1), OFFSET(N1093, -1, 0, -MIN(ROW()-2, $B1093), 1), "&gt;0"), N1092) * ((LN(1 + $Z1093) ^ W$2) * (W$3 / 1000)), 0))</f>
        <v/>
      </c>
      <c r="O1093" s="24" t="str">
        <f t="shared" si="2392"/>
        <v/>
      </c>
      <c r="P1093" s="24">
        <f t="shared" ref="P1093:S1093" si="2393">L1093*$Y$2</f>
        <v>0</v>
      </c>
      <c r="Q1093" s="24">
        <f t="shared" si="2393"/>
        <v>14315.5</v>
      </c>
      <c r="R1093" s="24">
        <f t="shared" si="2393"/>
        <v>0</v>
      </c>
      <c r="S1093" s="24">
        <f t="shared" si="2393"/>
        <v>0</v>
      </c>
      <c r="T1093" s="24">
        <f t="shared" si="4"/>
        <v>20</v>
      </c>
      <c r="Z1093" s="25">
        <f t="shared" si="12"/>
        <v>712.8497479</v>
      </c>
    </row>
    <row r="1094">
      <c r="A1094" s="16" t="s">
        <v>3</v>
      </c>
      <c r="B1094" s="17">
        <v>193.0</v>
      </c>
      <c r="C1094" s="24">
        <f t="shared" si="1820"/>
        <v>3277203.823</v>
      </c>
      <c r="D1094" s="25">
        <v>0.05</v>
      </c>
      <c r="E1094" s="24">
        <f t="shared" si="1821"/>
        <v>537.5442545</v>
      </c>
      <c r="F1094" s="25">
        <v>0.02</v>
      </c>
      <c r="G1094" s="24">
        <f t="shared" si="1822"/>
        <v>468171.9747</v>
      </c>
      <c r="H1094" s="25">
        <v>0.05</v>
      </c>
      <c r="I1094" s="24">
        <f t="shared" si="1823"/>
        <v>447.9535455</v>
      </c>
      <c r="J1094" s="25">
        <v>0.02</v>
      </c>
      <c r="K1094" s="25">
        <v>0.0</v>
      </c>
      <c r="L1094" s="24" t="str">
        <f t="shared" ref="L1094:M1094" si="2394">IF(L1093="", "", 1 + IFERROR(MINIFS(OFFSET(L1094, -1, 0, -MIN(ROW()-2, $B1094), 1), OFFSET(L1094, -1, 0, -MIN(ROW()-2, $B1094), 1), "&gt;0"), L1093) + ROUND((L$2 * (LN(1 + $Z1094) ^ U$2) * (U$3 / 100)), 0))</f>
        <v/>
      </c>
      <c r="M1094" s="24">
        <f t="shared" si="2394"/>
        <v>57270</v>
      </c>
      <c r="N1094" s="24" t="str">
        <f t="shared" ref="N1094:O1094" si="2395">IF(N1093="", "", 1 + IFERROR(MINIFS(OFFSET(N1094, -1, 0, -MIN(ROW()-2, $B1094), 1), OFFSET(N1094, -1, 0, -MIN(ROW()-2, $B1094), 1), "&gt;0"), N1093) + ROUND(IFERROR(MINIFS(OFFSET(N1094, -1, 0, -MIN(ROW()-2, $B1094), 1), OFFSET(N1094, -1, 0, -MIN(ROW()-2, $B1094), 1), "&gt;0"), N1093) * ((LN(1 + $Z1094) ^ W$2) * (W$3 / 1000)), 0))</f>
        <v/>
      </c>
      <c r="O1094" s="24" t="str">
        <f t="shared" si="2395"/>
        <v/>
      </c>
      <c r="P1094" s="24">
        <f t="shared" ref="P1094:S1094" si="2396">L1094*$Y$2</f>
        <v>0</v>
      </c>
      <c r="Q1094" s="24">
        <f t="shared" si="2396"/>
        <v>14317.5</v>
      </c>
      <c r="R1094" s="24">
        <f t="shared" si="2396"/>
        <v>0</v>
      </c>
      <c r="S1094" s="24">
        <f t="shared" si="2396"/>
        <v>0</v>
      </c>
      <c r="T1094" s="24">
        <f t="shared" si="4"/>
        <v>20</v>
      </c>
      <c r="Z1094" s="25">
        <f t="shared" si="12"/>
        <v>737.834489</v>
      </c>
    </row>
    <row r="1095">
      <c r="A1095" s="16" t="s">
        <v>3</v>
      </c>
      <c r="B1095" s="17">
        <v>194.0</v>
      </c>
      <c r="C1095" s="24">
        <f t="shared" si="1820"/>
        <v>3441064.014</v>
      </c>
      <c r="D1095" s="25">
        <v>0.05</v>
      </c>
      <c r="E1095" s="24">
        <f t="shared" si="1821"/>
        <v>548.2951396</v>
      </c>
      <c r="F1095" s="25">
        <v>0.02</v>
      </c>
      <c r="G1095" s="24">
        <f t="shared" si="1822"/>
        <v>491580.5734</v>
      </c>
      <c r="H1095" s="25">
        <v>0.05</v>
      </c>
      <c r="I1095" s="24">
        <f t="shared" si="1823"/>
        <v>456.9126164</v>
      </c>
      <c r="J1095" s="25">
        <v>0.02</v>
      </c>
      <c r="K1095" s="25">
        <v>0.0</v>
      </c>
      <c r="L1095" s="24" t="str">
        <f t="shared" ref="L1095:M1095" si="2397">IF(L1094="", "", 1 + IFERROR(MINIFS(OFFSET(L1095, -1, 0, -MIN(ROW()-2, $B1095), 1), OFFSET(L1095, -1, 0, -MIN(ROW()-2, $B1095), 1), "&gt;0"), L1094) + ROUND((L$2 * (LN(1 + $Z1095) ^ U$2) * (U$3 / 100)), 0))</f>
        <v/>
      </c>
      <c r="M1095" s="24">
        <f t="shared" si="2397"/>
        <v>57279</v>
      </c>
      <c r="N1095" s="24" t="str">
        <f t="shared" ref="N1095:O1095" si="2398">IF(N1094="", "", 1 + IFERROR(MINIFS(OFFSET(N1095, -1, 0, -MIN(ROW()-2, $B1095), 1), OFFSET(N1095, -1, 0, -MIN(ROW()-2, $B1095), 1), "&gt;0"), N1094) + ROUND(IFERROR(MINIFS(OFFSET(N1095, -1, 0, -MIN(ROW()-2, $B1095), 1), OFFSET(N1095, -1, 0, -MIN(ROW()-2, $B1095), 1), "&gt;0"), N1094) * ((LN(1 + $Z1095) ^ W$2) * (W$3 / 1000)), 0))</f>
        <v/>
      </c>
      <c r="O1095" s="24" t="str">
        <f t="shared" si="2398"/>
        <v/>
      </c>
      <c r="P1095" s="24">
        <f t="shared" ref="P1095:S1095" si="2399">L1095*$Y$2</f>
        <v>0</v>
      </c>
      <c r="Q1095" s="24">
        <f t="shared" si="2399"/>
        <v>14319.75</v>
      </c>
      <c r="R1095" s="24">
        <f t="shared" si="2399"/>
        <v>0</v>
      </c>
      <c r="S1095" s="24">
        <f t="shared" si="2399"/>
        <v>0</v>
      </c>
      <c r="T1095" s="24">
        <f t="shared" si="4"/>
        <v>20</v>
      </c>
      <c r="Z1095" s="25">
        <f t="shared" si="12"/>
        <v>763.6936961</v>
      </c>
    </row>
    <row r="1096">
      <c r="A1096" s="16" t="s">
        <v>3</v>
      </c>
      <c r="B1096" s="17">
        <v>195.0</v>
      </c>
      <c r="C1096" s="24">
        <f t="shared" si="1820"/>
        <v>3613117.215</v>
      </c>
      <c r="D1096" s="25">
        <v>0.05</v>
      </c>
      <c r="E1096" s="24">
        <f t="shared" si="1821"/>
        <v>559.2610424</v>
      </c>
      <c r="F1096" s="25">
        <v>0.02</v>
      </c>
      <c r="G1096" s="24">
        <f t="shared" si="1822"/>
        <v>516159.6021</v>
      </c>
      <c r="H1096" s="25">
        <v>0.05</v>
      </c>
      <c r="I1096" s="24">
        <f t="shared" si="1823"/>
        <v>466.0508687</v>
      </c>
      <c r="J1096" s="25">
        <v>0.02</v>
      </c>
      <c r="K1096" s="25">
        <v>0.0</v>
      </c>
      <c r="L1096" s="24" t="str">
        <f t="shared" ref="L1096:M1096" si="2400">IF(L1095="", "", 1 + IFERROR(MINIFS(OFFSET(L1096, -1, 0, -MIN(ROW()-2, $B1096), 1), OFFSET(L1096, -1, 0, -MIN(ROW()-2, $B1096), 1), "&gt;0"), L1095) + ROUND((L$2 * (LN(1 + $Z1096) ^ U$2) * (U$3 / 100)), 0))</f>
        <v/>
      </c>
      <c r="M1096" s="24">
        <f t="shared" si="2400"/>
        <v>57288</v>
      </c>
      <c r="N1096" s="24" t="str">
        <f t="shared" ref="N1096:O1096" si="2401">IF(N1095="", "", 1 + IFERROR(MINIFS(OFFSET(N1096, -1, 0, -MIN(ROW()-2, $B1096), 1), OFFSET(N1096, -1, 0, -MIN(ROW()-2, $B1096), 1), "&gt;0"), N1095) + ROUND(IFERROR(MINIFS(OFFSET(N1096, -1, 0, -MIN(ROW()-2, $B1096), 1), OFFSET(N1096, -1, 0, -MIN(ROW()-2, $B1096), 1), "&gt;0"), N1095) * ((LN(1 + $Z1096) ^ W$2) * (W$3 / 1000)), 0))</f>
        <v/>
      </c>
      <c r="O1096" s="24" t="str">
        <f t="shared" si="2401"/>
        <v/>
      </c>
      <c r="P1096" s="24">
        <f t="shared" ref="P1096:S1096" si="2402">L1096*$Y$2</f>
        <v>0</v>
      </c>
      <c r="Q1096" s="24">
        <f t="shared" si="2402"/>
        <v>14322</v>
      </c>
      <c r="R1096" s="24">
        <f t="shared" si="2402"/>
        <v>0</v>
      </c>
      <c r="S1096" s="24">
        <f t="shared" si="2402"/>
        <v>0</v>
      </c>
      <c r="T1096" s="24">
        <f t="shared" si="4"/>
        <v>21</v>
      </c>
      <c r="Z1096" s="25">
        <f t="shared" si="12"/>
        <v>790.4579755</v>
      </c>
    </row>
    <row r="1097">
      <c r="A1097" s="16" t="s">
        <v>3</v>
      </c>
      <c r="B1097" s="17">
        <v>196.0</v>
      </c>
      <c r="C1097" s="24">
        <f t="shared" si="1820"/>
        <v>3793773.075</v>
      </c>
      <c r="D1097" s="25">
        <v>0.05</v>
      </c>
      <c r="E1097" s="24">
        <f t="shared" si="1821"/>
        <v>570.4462633</v>
      </c>
      <c r="F1097" s="25">
        <v>0.02</v>
      </c>
      <c r="G1097" s="24">
        <f t="shared" si="1822"/>
        <v>541967.5822</v>
      </c>
      <c r="H1097" s="25">
        <v>0.05</v>
      </c>
      <c r="I1097" s="24">
        <f t="shared" si="1823"/>
        <v>475.3718861</v>
      </c>
      <c r="J1097" s="25">
        <v>0.02</v>
      </c>
      <c r="K1097" s="25">
        <v>0.0</v>
      </c>
      <c r="L1097" s="24" t="str">
        <f t="shared" ref="L1097:M1097" si="2403">IF(L1096="", "", 1 + IFERROR(MINIFS(OFFSET(L1097, -1, 0, -MIN(ROW()-2, $B1097), 1), OFFSET(L1097, -1, 0, -MIN(ROW()-2, $B1097), 1), "&gt;0"), L1096) + ROUND((L$2 * (LN(1 + $Z1097) ^ U$2) * (U$3 / 100)), 0))</f>
        <v/>
      </c>
      <c r="M1097" s="24">
        <f t="shared" si="2403"/>
        <v>57297</v>
      </c>
      <c r="N1097" s="24" t="str">
        <f t="shared" ref="N1097:O1097" si="2404">IF(N1096="", "", 1 + IFERROR(MINIFS(OFFSET(N1097, -1, 0, -MIN(ROW()-2, $B1097), 1), OFFSET(N1097, -1, 0, -MIN(ROW()-2, $B1097), 1), "&gt;0"), N1096) + ROUND(IFERROR(MINIFS(OFFSET(N1097, -1, 0, -MIN(ROW()-2, $B1097), 1), OFFSET(N1097, -1, 0, -MIN(ROW()-2, $B1097), 1), "&gt;0"), N1096) * ((LN(1 + $Z1097) ^ W$2) * (W$3 / 1000)), 0))</f>
        <v/>
      </c>
      <c r="O1097" s="24" t="str">
        <f t="shared" si="2404"/>
        <v/>
      </c>
      <c r="P1097" s="24">
        <f t="shared" ref="P1097:S1097" si="2405">L1097*$Y$2</f>
        <v>0</v>
      </c>
      <c r="Q1097" s="24">
        <f t="shared" si="2405"/>
        <v>14324.25</v>
      </c>
      <c r="R1097" s="24">
        <f t="shared" si="2405"/>
        <v>0</v>
      </c>
      <c r="S1097" s="24">
        <f t="shared" si="2405"/>
        <v>0</v>
      </c>
      <c r="T1097" s="24">
        <f t="shared" si="4"/>
        <v>21</v>
      </c>
      <c r="Z1097" s="25">
        <f t="shared" si="12"/>
        <v>818.1590046</v>
      </c>
    </row>
    <row r="1098">
      <c r="A1098" s="16" t="s">
        <v>3</v>
      </c>
      <c r="B1098" s="17">
        <v>197.0</v>
      </c>
      <c r="C1098" s="24">
        <f t="shared" si="1820"/>
        <v>3983461.729</v>
      </c>
      <c r="D1098" s="25">
        <v>0.05</v>
      </c>
      <c r="E1098" s="24">
        <f t="shared" si="1821"/>
        <v>581.8551885</v>
      </c>
      <c r="F1098" s="25">
        <v>0.02</v>
      </c>
      <c r="G1098" s="24">
        <f t="shared" si="1822"/>
        <v>569065.9613</v>
      </c>
      <c r="H1098" s="25">
        <v>0.05</v>
      </c>
      <c r="I1098" s="24">
        <f t="shared" si="1823"/>
        <v>484.8793238</v>
      </c>
      <c r="J1098" s="25">
        <v>0.02</v>
      </c>
      <c r="K1098" s="25">
        <v>0.0</v>
      </c>
      <c r="L1098" s="24" t="str">
        <f t="shared" ref="L1098:M1098" si="2406">IF(L1097="", "", 1 + IFERROR(MINIFS(OFFSET(L1098, -1, 0, -MIN(ROW()-2, $B1098), 1), OFFSET(L1098, -1, 0, -MIN(ROW()-2, $B1098), 1), "&gt;0"), L1097) + ROUND((L$2 * (LN(1 + $Z1098) ^ U$2) * (U$3 / 100)), 0))</f>
        <v/>
      </c>
      <c r="M1098" s="24">
        <f t="shared" si="2406"/>
        <v>57306</v>
      </c>
      <c r="N1098" s="24" t="str">
        <f t="shared" ref="N1098:O1098" si="2407">IF(N1097="", "", 1 + IFERROR(MINIFS(OFFSET(N1098, -1, 0, -MIN(ROW()-2, $B1098), 1), OFFSET(N1098, -1, 0, -MIN(ROW()-2, $B1098), 1), "&gt;0"), N1097) + ROUND(IFERROR(MINIFS(OFFSET(N1098, -1, 0, -MIN(ROW()-2, $B1098), 1), OFFSET(N1098, -1, 0, -MIN(ROW()-2, $B1098), 1), "&gt;0"), N1097) * ((LN(1 + $Z1098) ^ W$2) * (W$3 / 1000)), 0))</f>
        <v/>
      </c>
      <c r="O1098" s="24" t="str">
        <f t="shared" si="2407"/>
        <v/>
      </c>
      <c r="P1098" s="24">
        <f t="shared" ref="P1098:S1098" si="2408">L1098*$Y$2</f>
        <v>0</v>
      </c>
      <c r="Q1098" s="24">
        <f t="shared" si="2408"/>
        <v>14326.5</v>
      </c>
      <c r="R1098" s="24">
        <f t="shared" si="2408"/>
        <v>0</v>
      </c>
      <c r="S1098" s="24">
        <f t="shared" si="2408"/>
        <v>0</v>
      </c>
      <c r="T1098" s="24">
        <f t="shared" si="4"/>
        <v>21</v>
      </c>
      <c r="Z1098" s="25">
        <f t="shared" si="12"/>
        <v>846.8295698</v>
      </c>
    </row>
    <row r="1099">
      <c r="A1099" s="16" t="s">
        <v>3</v>
      </c>
      <c r="B1099" s="17">
        <v>198.0</v>
      </c>
      <c r="C1099" s="24">
        <f t="shared" si="1820"/>
        <v>4182634.815</v>
      </c>
      <c r="D1099" s="25">
        <v>0.05</v>
      </c>
      <c r="E1099" s="24">
        <f t="shared" si="1821"/>
        <v>593.4922923</v>
      </c>
      <c r="F1099" s="25">
        <v>0.02</v>
      </c>
      <c r="G1099" s="24">
        <f t="shared" si="1822"/>
        <v>597519.2594</v>
      </c>
      <c r="H1099" s="25">
        <v>0.05</v>
      </c>
      <c r="I1099" s="24">
        <f t="shared" si="1823"/>
        <v>494.5769103</v>
      </c>
      <c r="J1099" s="25">
        <v>0.02</v>
      </c>
      <c r="K1099" s="25">
        <v>0.0</v>
      </c>
      <c r="L1099" s="24" t="str">
        <f t="shared" ref="L1099:M1099" si="2409">IF(L1098="", "", 1 + IFERROR(MINIFS(OFFSET(L1099, -1, 0, -MIN(ROW()-2, $B1099), 1), OFFSET(L1099, -1, 0, -MIN(ROW()-2, $B1099), 1), "&gt;0"), L1098) + ROUND((L$2 * (LN(1 + $Z1099) ^ U$2) * (U$3 / 100)), 0))</f>
        <v/>
      </c>
      <c r="M1099" s="24">
        <f t="shared" si="2409"/>
        <v>57315</v>
      </c>
      <c r="N1099" s="24" t="str">
        <f t="shared" ref="N1099:O1099" si="2410">IF(N1098="", "", 1 + IFERROR(MINIFS(OFFSET(N1099, -1, 0, -MIN(ROW()-2, $B1099), 1), OFFSET(N1099, -1, 0, -MIN(ROW()-2, $B1099), 1), "&gt;0"), N1098) + ROUND(IFERROR(MINIFS(OFFSET(N1099, -1, 0, -MIN(ROW()-2, $B1099), 1), OFFSET(N1099, -1, 0, -MIN(ROW()-2, $B1099), 1), "&gt;0"), N1098) * ((LN(1 + $Z1099) ^ W$2) * (W$3 / 1000)), 0))</f>
        <v/>
      </c>
      <c r="O1099" s="24" t="str">
        <f t="shared" si="2410"/>
        <v/>
      </c>
      <c r="P1099" s="24">
        <f t="shared" ref="P1099:S1099" si="2411">L1099*$Y$2</f>
        <v>0</v>
      </c>
      <c r="Q1099" s="24">
        <f t="shared" si="2411"/>
        <v>14328.75</v>
      </c>
      <c r="R1099" s="24">
        <f t="shared" si="2411"/>
        <v>0</v>
      </c>
      <c r="S1099" s="24">
        <f t="shared" si="2411"/>
        <v>0</v>
      </c>
      <c r="T1099" s="24">
        <f t="shared" si="4"/>
        <v>21</v>
      </c>
      <c r="Z1099" s="25">
        <f t="shared" si="12"/>
        <v>876.5036048</v>
      </c>
    </row>
    <row r="1100">
      <c r="A1100" s="16" t="s">
        <v>3</v>
      </c>
      <c r="B1100" s="17">
        <v>199.0</v>
      </c>
      <c r="C1100" s="24">
        <f t="shared" si="1820"/>
        <v>4391766.556</v>
      </c>
      <c r="D1100" s="25">
        <v>0.05</v>
      </c>
      <c r="E1100" s="24">
        <f t="shared" si="1821"/>
        <v>605.3621382</v>
      </c>
      <c r="F1100" s="25">
        <v>0.02</v>
      </c>
      <c r="G1100" s="24">
        <f t="shared" si="1822"/>
        <v>627395.2223</v>
      </c>
      <c r="H1100" s="25">
        <v>0.05</v>
      </c>
      <c r="I1100" s="24">
        <f t="shared" si="1823"/>
        <v>504.4684485</v>
      </c>
      <c r="J1100" s="25">
        <v>0.02</v>
      </c>
      <c r="K1100" s="25">
        <v>0.0</v>
      </c>
      <c r="L1100" s="24" t="str">
        <f t="shared" ref="L1100:M1100" si="2412">IF(L1099="", "", 1 + IFERROR(MINIFS(OFFSET(L1100, -1, 0, -MIN(ROW()-2, $B1100), 1), OFFSET(L1100, -1, 0, -MIN(ROW()-2, $B1100), 1), "&gt;0"), L1099) + ROUND((L$2 * (LN(1 + $Z1100) ^ U$2) * (U$3 / 100)), 0))</f>
        <v/>
      </c>
      <c r="M1100" s="24">
        <f t="shared" si="2412"/>
        <v>57324</v>
      </c>
      <c r="N1100" s="24" t="str">
        <f t="shared" ref="N1100:O1100" si="2413">IF(N1099="", "", 1 + IFERROR(MINIFS(OFFSET(N1100, -1, 0, -MIN(ROW()-2, $B1100), 1), OFFSET(N1100, -1, 0, -MIN(ROW()-2, $B1100), 1), "&gt;0"), N1099) + ROUND(IFERROR(MINIFS(OFFSET(N1100, -1, 0, -MIN(ROW()-2, $B1100), 1), OFFSET(N1100, -1, 0, -MIN(ROW()-2, $B1100), 1), "&gt;0"), N1099) * ((LN(1 + $Z1100) ^ W$2) * (W$3 / 1000)), 0))</f>
        <v/>
      </c>
      <c r="O1100" s="24" t="str">
        <f t="shared" si="2413"/>
        <v/>
      </c>
      <c r="P1100" s="24">
        <f t="shared" ref="P1100:S1100" si="2414">L1100*$Y$2</f>
        <v>0</v>
      </c>
      <c r="Q1100" s="24">
        <f t="shared" si="2414"/>
        <v>14331</v>
      </c>
      <c r="R1100" s="24">
        <f t="shared" si="2414"/>
        <v>0</v>
      </c>
      <c r="S1100" s="24">
        <f t="shared" si="2414"/>
        <v>0</v>
      </c>
      <c r="T1100" s="24">
        <f t="shared" si="4"/>
        <v>21</v>
      </c>
      <c r="Z1100" s="25">
        <f t="shared" si="12"/>
        <v>907.2162309</v>
      </c>
    </row>
    <row r="1101">
      <c r="A1101" s="16" t="s">
        <v>3</v>
      </c>
      <c r="B1101" s="17">
        <v>200.0</v>
      </c>
      <c r="C1101" s="24">
        <f t="shared" si="1820"/>
        <v>4611354.884</v>
      </c>
      <c r="D1101" s="25">
        <v>0.05</v>
      </c>
      <c r="E1101" s="24">
        <f t="shared" si="1821"/>
        <v>617.4693809</v>
      </c>
      <c r="F1101" s="25">
        <v>0.02</v>
      </c>
      <c r="G1101" s="24">
        <f t="shared" si="1822"/>
        <v>658764.9834</v>
      </c>
      <c r="H1101" s="25">
        <v>0.05</v>
      </c>
      <c r="I1101" s="24">
        <f t="shared" si="1823"/>
        <v>514.5578174</v>
      </c>
      <c r="J1101" s="25">
        <v>0.02</v>
      </c>
      <c r="K1101" s="25">
        <v>0.0</v>
      </c>
      <c r="L1101" s="24" t="str">
        <f t="shared" ref="L1101:M1101" si="2415">IF(L1100="", "", 1 + IFERROR(MINIFS(OFFSET(L1101, -1, 0, -MIN(ROW()-2, $B1101), 1), OFFSET(L1101, -1, 0, -MIN(ROW()-2, $B1101), 1), "&gt;0"), L1100) + ROUND((L$2 * (LN(1 + $Z1101) ^ U$2) * (U$3 / 100)), 0))</f>
        <v/>
      </c>
      <c r="M1101" s="24">
        <f t="shared" si="2415"/>
        <v>57333</v>
      </c>
      <c r="N1101" s="24" t="str">
        <f t="shared" ref="N1101:O1101" si="2416">IF(N1100="", "", 1 + IFERROR(MINIFS(OFFSET(N1101, -1, 0, -MIN(ROW()-2, $B1101), 1), OFFSET(N1101, -1, 0, -MIN(ROW()-2, $B1101), 1), "&gt;0"), N1100) + ROUND(IFERROR(MINIFS(OFFSET(N1101, -1, 0, -MIN(ROW()-2, $B1101), 1), OFFSET(N1101, -1, 0, -MIN(ROW()-2, $B1101), 1), "&gt;0"), N1100) * ((LN(1 + $Z1101) ^ W$2) * (W$3 / 1000)), 0))</f>
        <v/>
      </c>
      <c r="O1101" s="24" t="str">
        <f t="shared" si="2416"/>
        <v/>
      </c>
      <c r="P1101" s="24">
        <f t="shared" ref="P1101:S1101" si="2417">L1101*$Y$2</f>
        <v>0</v>
      </c>
      <c r="Q1101" s="24">
        <f t="shared" si="2417"/>
        <v>14333.25</v>
      </c>
      <c r="R1101" s="24">
        <f t="shared" si="2417"/>
        <v>0</v>
      </c>
      <c r="S1101" s="24">
        <f t="shared" si="2417"/>
        <v>0</v>
      </c>
      <c r="T1101" s="24">
        <f t="shared" si="4"/>
        <v>21</v>
      </c>
      <c r="Z1101" s="25">
        <f t="shared" si="12"/>
        <v>939.003799</v>
      </c>
    </row>
    <row r="1102">
      <c r="A1102" s="16" t="s">
        <v>3</v>
      </c>
      <c r="B1102" s="17">
        <v>201.0</v>
      </c>
      <c r="C1102" s="24">
        <f t="shared" si="1820"/>
        <v>4841922.628</v>
      </c>
      <c r="D1102" s="25">
        <v>0.05</v>
      </c>
      <c r="E1102" s="24">
        <f t="shared" si="1821"/>
        <v>629.8187685</v>
      </c>
      <c r="F1102" s="25">
        <v>0.02</v>
      </c>
      <c r="G1102" s="24">
        <f t="shared" si="1822"/>
        <v>691703.2326</v>
      </c>
      <c r="H1102" s="25">
        <v>0.05</v>
      </c>
      <c r="I1102" s="24">
        <f t="shared" si="1823"/>
        <v>524.8489738</v>
      </c>
      <c r="J1102" s="25">
        <v>0.02</v>
      </c>
      <c r="K1102" s="25">
        <v>0.0</v>
      </c>
      <c r="L1102" s="24" t="str">
        <f t="shared" ref="L1102:M1102" si="2418">IF(L1101="", "", 1 + IFERROR(MINIFS(OFFSET(L1102, -1, 0, -MIN(ROW()-2, $B1102), 1), OFFSET(L1102, -1, 0, -MIN(ROW()-2, $B1102), 1), "&gt;0"), L1101) + ROUND((L$2 * (LN(1 + $Z1102) ^ U$2) * (U$3 / 100)), 0))</f>
        <v/>
      </c>
      <c r="M1102" s="24">
        <f t="shared" si="2418"/>
        <v>57342</v>
      </c>
      <c r="N1102" s="24" t="str">
        <f t="shared" ref="N1102:O1102" si="2419">IF(N1101="", "", 1 + IFERROR(MINIFS(OFFSET(N1102, -1, 0, -MIN(ROW()-2, $B1102), 1), OFFSET(N1102, -1, 0, -MIN(ROW()-2, $B1102), 1), "&gt;0"), N1101) + ROUND(IFERROR(MINIFS(OFFSET(N1102, -1, 0, -MIN(ROW()-2, $B1102), 1), OFFSET(N1102, -1, 0, -MIN(ROW()-2, $B1102), 1), "&gt;0"), N1101) * ((LN(1 + $Z1102) ^ W$2) * (W$3 / 1000)), 0))</f>
        <v/>
      </c>
      <c r="O1102" s="24" t="str">
        <f t="shared" si="2419"/>
        <v/>
      </c>
      <c r="P1102" s="24">
        <f t="shared" ref="P1102:S1102" si="2420">L1102*$Y$2</f>
        <v>0</v>
      </c>
      <c r="Q1102" s="24">
        <f t="shared" si="2420"/>
        <v>14335.5</v>
      </c>
      <c r="R1102" s="24">
        <f t="shared" si="2420"/>
        <v>0</v>
      </c>
      <c r="S1102" s="24">
        <f t="shared" si="2420"/>
        <v>0</v>
      </c>
      <c r="T1102" s="24">
        <f t="shared" si="4"/>
        <v>21</v>
      </c>
      <c r="Z1102" s="25">
        <f t="shared" si="12"/>
        <v>971.903932</v>
      </c>
    </row>
    <row r="1103">
      <c r="A1103" s="16" t="s">
        <v>3</v>
      </c>
      <c r="B1103" s="17">
        <v>202.0</v>
      </c>
      <c r="C1103" s="24">
        <f t="shared" si="1820"/>
        <v>5084018.76</v>
      </c>
      <c r="D1103" s="25">
        <v>0.05</v>
      </c>
      <c r="E1103" s="24">
        <f t="shared" si="1821"/>
        <v>642.4151439</v>
      </c>
      <c r="F1103" s="25">
        <v>0.02</v>
      </c>
      <c r="G1103" s="24">
        <f t="shared" si="1822"/>
        <v>726288.3942</v>
      </c>
      <c r="H1103" s="25">
        <v>0.05</v>
      </c>
      <c r="I1103" s="24">
        <f t="shared" si="1823"/>
        <v>535.3459533</v>
      </c>
      <c r="J1103" s="25">
        <v>0.02</v>
      </c>
      <c r="K1103" s="25">
        <v>0.0</v>
      </c>
      <c r="L1103" s="24" t="str">
        <f t="shared" ref="L1103:M1103" si="2421">IF(L1102="", "", 1 + IFERROR(MINIFS(OFFSET(L1103, -1, 0, -MIN(ROW()-2, $B1103), 1), OFFSET(L1103, -1, 0, -MIN(ROW()-2, $B1103), 1), "&gt;0"), L1102) + ROUND((L$2 * (LN(1 + $Z1103) ^ U$2) * (U$3 / 100)), 0))</f>
        <v/>
      </c>
      <c r="M1103" s="24">
        <f t="shared" si="2421"/>
        <v>57351</v>
      </c>
      <c r="N1103" s="24" t="str">
        <f t="shared" ref="N1103:O1103" si="2422">IF(N1102="", "", 1 + IFERROR(MINIFS(OFFSET(N1103, -1, 0, -MIN(ROW()-2, $B1103), 1), OFFSET(N1103, -1, 0, -MIN(ROW()-2, $B1103), 1), "&gt;0"), N1102) + ROUND(IFERROR(MINIFS(OFFSET(N1103, -1, 0, -MIN(ROW()-2, $B1103), 1), OFFSET(N1103, -1, 0, -MIN(ROW()-2, $B1103), 1), "&gt;0"), N1102) * ((LN(1 + $Z1103) ^ W$2) * (W$3 / 1000)), 0))</f>
        <v/>
      </c>
      <c r="O1103" s="24" t="str">
        <f t="shared" si="2422"/>
        <v/>
      </c>
      <c r="P1103" s="24">
        <f t="shared" ref="P1103:S1103" si="2423">L1103*$Y$2</f>
        <v>0</v>
      </c>
      <c r="Q1103" s="24">
        <f t="shared" si="2423"/>
        <v>14337.75</v>
      </c>
      <c r="R1103" s="24">
        <f t="shared" si="2423"/>
        <v>0</v>
      </c>
      <c r="S1103" s="24">
        <f t="shared" si="2423"/>
        <v>0</v>
      </c>
      <c r="T1103" s="24">
        <f t="shared" si="4"/>
        <v>21</v>
      </c>
      <c r="Z1103" s="25">
        <f t="shared" si="12"/>
        <v>1005.95557</v>
      </c>
    </row>
    <row r="1104">
      <c r="A1104" s="16" t="s">
        <v>3</v>
      </c>
      <c r="B1104" s="17">
        <v>203.0</v>
      </c>
      <c r="C1104" s="24">
        <f t="shared" si="1820"/>
        <v>5338219.698</v>
      </c>
      <c r="D1104" s="25">
        <v>0.05</v>
      </c>
      <c r="E1104" s="24">
        <f t="shared" si="1821"/>
        <v>655.2634468</v>
      </c>
      <c r="F1104" s="25">
        <v>0.02</v>
      </c>
      <c r="G1104" s="24">
        <f t="shared" si="1822"/>
        <v>762602.8139</v>
      </c>
      <c r="H1104" s="25">
        <v>0.05</v>
      </c>
      <c r="I1104" s="24">
        <f t="shared" si="1823"/>
        <v>546.0528723</v>
      </c>
      <c r="J1104" s="25">
        <v>0.02</v>
      </c>
      <c r="K1104" s="25">
        <v>0.0</v>
      </c>
      <c r="L1104" s="24" t="str">
        <f t="shared" ref="L1104:M1104" si="2424">IF(L1103="", "", 1 + IFERROR(MINIFS(OFFSET(L1104, -1, 0, -MIN(ROW()-2, $B1104), 1), OFFSET(L1104, -1, 0, -MIN(ROW()-2, $B1104), 1), "&gt;0"), L1103) + ROUND((L$2 * (LN(1 + $Z1104) ^ U$2) * (U$3 / 100)), 0))</f>
        <v/>
      </c>
      <c r="M1104" s="24">
        <f t="shared" si="2424"/>
        <v>57360</v>
      </c>
      <c r="N1104" s="24" t="str">
        <f t="shared" ref="N1104:O1104" si="2425">IF(N1103="", "", 1 + IFERROR(MINIFS(OFFSET(N1104, -1, 0, -MIN(ROW()-2, $B1104), 1), OFFSET(N1104, -1, 0, -MIN(ROW()-2, $B1104), 1), "&gt;0"), N1103) + ROUND(IFERROR(MINIFS(OFFSET(N1104, -1, 0, -MIN(ROW()-2, $B1104), 1), OFFSET(N1104, -1, 0, -MIN(ROW()-2, $B1104), 1), "&gt;0"), N1103) * ((LN(1 + $Z1104) ^ W$2) * (W$3 / 1000)), 0))</f>
        <v/>
      </c>
      <c r="O1104" s="24" t="str">
        <f t="shared" si="2425"/>
        <v/>
      </c>
      <c r="P1104" s="24">
        <f t="shared" ref="P1104:S1104" si="2426">L1104*$Y$2</f>
        <v>0</v>
      </c>
      <c r="Q1104" s="24">
        <f t="shared" si="2426"/>
        <v>14340</v>
      </c>
      <c r="R1104" s="24">
        <f t="shared" si="2426"/>
        <v>0</v>
      </c>
      <c r="S1104" s="24">
        <f t="shared" si="2426"/>
        <v>0</v>
      </c>
      <c r="T1104" s="24">
        <f t="shared" si="4"/>
        <v>21</v>
      </c>
      <c r="Z1104" s="25">
        <f t="shared" si="12"/>
        <v>1041.199015</v>
      </c>
    </row>
    <row r="1105">
      <c r="A1105" s="16" t="s">
        <v>3</v>
      </c>
      <c r="B1105" s="17">
        <v>204.0</v>
      </c>
      <c r="C1105" s="24">
        <f t="shared" si="1820"/>
        <v>5605130.683</v>
      </c>
      <c r="D1105" s="25">
        <v>0.05</v>
      </c>
      <c r="E1105" s="24">
        <f t="shared" si="1821"/>
        <v>668.3687157</v>
      </c>
      <c r="F1105" s="25">
        <v>0.02</v>
      </c>
      <c r="G1105" s="24">
        <f t="shared" si="1822"/>
        <v>800732.9546</v>
      </c>
      <c r="H1105" s="25">
        <v>0.05</v>
      </c>
      <c r="I1105" s="24">
        <f t="shared" si="1823"/>
        <v>556.9739298</v>
      </c>
      <c r="J1105" s="25">
        <v>0.02</v>
      </c>
      <c r="K1105" s="25">
        <v>0.0</v>
      </c>
      <c r="L1105" s="24" t="str">
        <f t="shared" ref="L1105:M1105" si="2427">IF(L1104="", "", 1 + IFERROR(MINIFS(OFFSET(L1105, -1, 0, -MIN(ROW()-2, $B1105), 1), OFFSET(L1105, -1, 0, -MIN(ROW()-2, $B1105), 1), "&gt;0"), L1104) + ROUND((L$2 * (LN(1 + $Z1105) ^ U$2) * (U$3 / 100)), 0))</f>
        <v/>
      </c>
      <c r="M1105" s="24">
        <f t="shared" si="2427"/>
        <v>57369</v>
      </c>
      <c r="N1105" s="24" t="str">
        <f t="shared" ref="N1105:O1105" si="2428">IF(N1104="", "", 1 + IFERROR(MINIFS(OFFSET(N1105, -1, 0, -MIN(ROW()-2, $B1105), 1), OFFSET(N1105, -1, 0, -MIN(ROW()-2, $B1105), 1), "&gt;0"), N1104) + ROUND(IFERROR(MINIFS(OFFSET(N1105, -1, 0, -MIN(ROW()-2, $B1105), 1), OFFSET(N1105, -1, 0, -MIN(ROW()-2, $B1105), 1), "&gt;0"), N1104) * ((LN(1 + $Z1105) ^ W$2) * (W$3 / 1000)), 0))</f>
        <v/>
      </c>
      <c r="O1105" s="24" t="str">
        <f t="shared" si="2428"/>
        <v/>
      </c>
      <c r="P1105" s="24">
        <f t="shared" ref="P1105:S1105" si="2429">L1105*$Y$2</f>
        <v>0</v>
      </c>
      <c r="Q1105" s="24">
        <f t="shared" si="2429"/>
        <v>14342.25</v>
      </c>
      <c r="R1105" s="24">
        <f t="shared" si="2429"/>
        <v>0</v>
      </c>
      <c r="S1105" s="24">
        <f t="shared" si="2429"/>
        <v>0</v>
      </c>
      <c r="T1105" s="24">
        <f t="shared" si="4"/>
        <v>21</v>
      </c>
      <c r="Z1105" s="25">
        <f t="shared" si="12"/>
        <v>1077.67598</v>
      </c>
    </row>
    <row r="1106">
      <c r="A1106" s="16" t="s">
        <v>3</v>
      </c>
      <c r="B1106" s="17">
        <v>205.0</v>
      </c>
      <c r="C1106" s="24">
        <f t="shared" si="1820"/>
        <v>5885387.217</v>
      </c>
      <c r="D1106" s="25">
        <v>0.05</v>
      </c>
      <c r="E1106" s="24">
        <f t="shared" si="1821"/>
        <v>681.73609</v>
      </c>
      <c r="F1106" s="25">
        <v>0.02</v>
      </c>
      <c r="G1106" s="24">
        <f t="shared" si="1822"/>
        <v>840769.6024</v>
      </c>
      <c r="H1106" s="25">
        <v>0.05</v>
      </c>
      <c r="I1106" s="24">
        <f t="shared" si="1823"/>
        <v>568.1134084</v>
      </c>
      <c r="J1106" s="25">
        <v>0.02</v>
      </c>
      <c r="K1106" s="25">
        <v>0.0</v>
      </c>
      <c r="L1106" s="24" t="str">
        <f t="shared" ref="L1106:M1106" si="2430">IF(L1105="", "", 1 + IFERROR(MINIFS(OFFSET(L1106, -1, 0, -MIN(ROW()-2, $B1106), 1), OFFSET(L1106, -1, 0, -MIN(ROW()-2, $B1106), 1), "&gt;0"), L1105) + ROUND((L$2 * (LN(1 + $Z1106) ^ U$2) * (U$3 / 100)), 0))</f>
        <v/>
      </c>
      <c r="M1106" s="24">
        <f t="shared" si="2430"/>
        <v>57378</v>
      </c>
      <c r="N1106" s="24" t="str">
        <f t="shared" ref="N1106:O1106" si="2431">IF(N1105="", "", 1 + IFERROR(MINIFS(OFFSET(N1106, -1, 0, -MIN(ROW()-2, $B1106), 1), OFFSET(N1106, -1, 0, -MIN(ROW()-2, $B1106), 1), "&gt;0"), N1105) + ROUND(IFERROR(MINIFS(OFFSET(N1106, -1, 0, -MIN(ROW()-2, $B1106), 1), OFFSET(N1106, -1, 0, -MIN(ROW()-2, $B1106), 1), "&gt;0"), N1105) * ((LN(1 + $Z1106) ^ W$2) * (W$3 / 1000)), 0))</f>
        <v/>
      </c>
      <c r="O1106" s="24" t="str">
        <f t="shared" si="2431"/>
        <v/>
      </c>
      <c r="P1106" s="24">
        <f t="shared" ref="P1106:S1106" si="2432">L1106*$Y$2</f>
        <v>0</v>
      </c>
      <c r="Q1106" s="24">
        <f t="shared" si="2432"/>
        <v>14344.5</v>
      </c>
      <c r="R1106" s="24">
        <f t="shared" si="2432"/>
        <v>0</v>
      </c>
      <c r="S1106" s="24">
        <f t="shared" si="2432"/>
        <v>0</v>
      </c>
      <c r="T1106" s="24">
        <f t="shared" si="4"/>
        <v>22</v>
      </c>
      <c r="Z1106" s="25">
        <f t="shared" si="12"/>
        <v>1115.429639</v>
      </c>
    </row>
    <row r="1107">
      <c r="A1107" s="16" t="s">
        <v>3</v>
      </c>
      <c r="B1107" s="17">
        <v>206.0</v>
      </c>
      <c r="C1107" s="24">
        <f t="shared" si="1820"/>
        <v>6179656.577</v>
      </c>
      <c r="D1107" s="25">
        <v>0.05</v>
      </c>
      <c r="E1107" s="24">
        <f t="shared" si="1821"/>
        <v>695.3708118</v>
      </c>
      <c r="F1107" s="25">
        <v>0.02</v>
      </c>
      <c r="G1107" s="24">
        <f t="shared" si="1822"/>
        <v>882808.0825</v>
      </c>
      <c r="H1107" s="25">
        <v>0.05</v>
      </c>
      <c r="I1107" s="24">
        <f t="shared" si="1823"/>
        <v>579.4756765</v>
      </c>
      <c r="J1107" s="25">
        <v>0.02</v>
      </c>
      <c r="K1107" s="25">
        <v>0.0</v>
      </c>
      <c r="L1107" s="24" t="str">
        <f t="shared" ref="L1107:M1107" si="2433">IF(L1106="", "", 1 + IFERROR(MINIFS(OFFSET(L1107, -1, 0, -MIN(ROW()-2, $B1107), 1), OFFSET(L1107, -1, 0, -MIN(ROW()-2, $B1107), 1), "&gt;0"), L1106) + ROUND((L$2 * (LN(1 + $Z1107) ^ U$2) * (U$3 / 100)), 0))</f>
        <v/>
      </c>
      <c r="M1107" s="24">
        <f t="shared" si="2433"/>
        <v>57387</v>
      </c>
      <c r="N1107" s="24" t="str">
        <f t="shared" ref="N1107:O1107" si="2434">IF(N1106="", "", 1 + IFERROR(MINIFS(OFFSET(N1107, -1, 0, -MIN(ROW()-2, $B1107), 1), OFFSET(N1107, -1, 0, -MIN(ROW()-2, $B1107), 1), "&gt;0"), N1106) + ROUND(IFERROR(MINIFS(OFFSET(N1107, -1, 0, -MIN(ROW()-2, $B1107), 1), OFFSET(N1107, -1, 0, -MIN(ROW()-2, $B1107), 1), "&gt;0"), N1106) * ((LN(1 + $Z1107) ^ W$2) * (W$3 / 1000)), 0))</f>
        <v/>
      </c>
      <c r="O1107" s="24" t="str">
        <f t="shared" si="2434"/>
        <v/>
      </c>
      <c r="P1107" s="24">
        <f t="shared" ref="P1107:S1107" si="2435">L1107*$Y$2</f>
        <v>0</v>
      </c>
      <c r="Q1107" s="24">
        <f t="shared" si="2435"/>
        <v>14346.75</v>
      </c>
      <c r="R1107" s="24">
        <f t="shared" si="2435"/>
        <v>0</v>
      </c>
      <c r="S1107" s="24">
        <f t="shared" si="2435"/>
        <v>0</v>
      </c>
      <c r="T1107" s="24">
        <f t="shared" si="4"/>
        <v>22</v>
      </c>
      <c r="Z1107" s="25">
        <f t="shared" si="12"/>
        <v>1154.504677</v>
      </c>
    </row>
    <row r="1108">
      <c r="A1108" s="16" t="s">
        <v>3</v>
      </c>
      <c r="B1108" s="17">
        <v>207.0</v>
      </c>
      <c r="C1108" s="24">
        <f t="shared" si="1820"/>
        <v>6488639.406</v>
      </c>
      <c r="D1108" s="25">
        <v>0.05</v>
      </c>
      <c r="E1108" s="24">
        <f t="shared" si="1821"/>
        <v>709.2782281</v>
      </c>
      <c r="F1108" s="25">
        <v>0.02</v>
      </c>
      <c r="G1108" s="24">
        <f t="shared" si="1822"/>
        <v>926948.4866</v>
      </c>
      <c r="H1108" s="25">
        <v>0.05</v>
      </c>
      <c r="I1108" s="24">
        <f t="shared" si="1823"/>
        <v>591.0651901</v>
      </c>
      <c r="J1108" s="25">
        <v>0.02</v>
      </c>
      <c r="K1108" s="25">
        <v>0.0</v>
      </c>
      <c r="L1108" s="24" t="str">
        <f t="shared" ref="L1108:M1108" si="2436">IF(L1107="", "", 1 + IFERROR(MINIFS(OFFSET(L1108, -1, 0, -MIN(ROW()-2, $B1108), 1), OFFSET(L1108, -1, 0, -MIN(ROW()-2, $B1108), 1), "&gt;0"), L1107) + ROUND((L$2 * (LN(1 + $Z1108) ^ U$2) * (U$3 / 100)), 0))</f>
        <v/>
      </c>
      <c r="M1108" s="24">
        <f t="shared" si="2436"/>
        <v>57396</v>
      </c>
      <c r="N1108" s="24" t="str">
        <f t="shared" ref="N1108:O1108" si="2437">IF(N1107="", "", 1 + IFERROR(MINIFS(OFFSET(N1108, -1, 0, -MIN(ROW()-2, $B1108), 1), OFFSET(N1108, -1, 0, -MIN(ROW()-2, $B1108), 1), "&gt;0"), N1107) + ROUND(IFERROR(MINIFS(OFFSET(N1108, -1, 0, -MIN(ROW()-2, $B1108), 1), OFFSET(N1108, -1, 0, -MIN(ROW()-2, $B1108), 1), "&gt;0"), N1107) * ((LN(1 + $Z1108) ^ W$2) * (W$3 / 1000)), 0))</f>
        <v/>
      </c>
      <c r="O1108" s="24" t="str">
        <f t="shared" si="2437"/>
        <v/>
      </c>
      <c r="P1108" s="24">
        <f t="shared" ref="P1108:S1108" si="2438">L1108*$Y$2</f>
        <v>0</v>
      </c>
      <c r="Q1108" s="24">
        <f t="shared" si="2438"/>
        <v>14349</v>
      </c>
      <c r="R1108" s="24">
        <f t="shared" si="2438"/>
        <v>0</v>
      </c>
      <c r="S1108" s="24">
        <f t="shared" si="2438"/>
        <v>0</v>
      </c>
      <c r="T1108" s="24">
        <f t="shared" si="4"/>
        <v>22</v>
      </c>
      <c r="Z1108" s="25">
        <f t="shared" si="12"/>
        <v>1194.94734</v>
      </c>
    </row>
    <row r="1109">
      <c r="A1109" s="16" t="s">
        <v>3</v>
      </c>
      <c r="B1109" s="17">
        <v>208.0</v>
      </c>
      <c r="C1109" s="24">
        <f t="shared" si="1820"/>
        <v>6813071.377</v>
      </c>
      <c r="D1109" s="25">
        <v>0.05</v>
      </c>
      <c r="E1109" s="24">
        <f t="shared" si="1821"/>
        <v>723.4637926</v>
      </c>
      <c r="F1109" s="25">
        <v>0.02</v>
      </c>
      <c r="G1109" s="24">
        <f t="shared" si="1822"/>
        <v>973295.911</v>
      </c>
      <c r="H1109" s="25">
        <v>0.05</v>
      </c>
      <c r="I1109" s="24">
        <f t="shared" si="1823"/>
        <v>602.8864939</v>
      </c>
      <c r="J1109" s="25">
        <v>0.02</v>
      </c>
      <c r="K1109" s="25">
        <v>0.0</v>
      </c>
      <c r="L1109" s="24" t="str">
        <f t="shared" ref="L1109:M1109" si="2439">IF(L1108="", "", 1 + IFERROR(MINIFS(OFFSET(L1109, -1, 0, -MIN(ROW()-2, $B1109), 1), OFFSET(L1109, -1, 0, -MIN(ROW()-2, $B1109), 1), "&gt;0"), L1108) + ROUND((L$2 * (LN(1 + $Z1109) ^ U$2) * (U$3 / 100)), 0))</f>
        <v/>
      </c>
      <c r="M1109" s="24">
        <f t="shared" si="2439"/>
        <v>57405</v>
      </c>
      <c r="N1109" s="24" t="str">
        <f t="shared" ref="N1109:O1109" si="2440">IF(N1108="", "", 1 + IFERROR(MINIFS(OFFSET(N1109, -1, 0, -MIN(ROW()-2, $B1109), 1), OFFSET(N1109, -1, 0, -MIN(ROW()-2, $B1109), 1), "&gt;0"), N1108) + ROUND(IFERROR(MINIFS(OFFSET(N1109, -1, 0, -MIN(ROW()-2, $B1109), 1), OFFSET(N1109, -1, 0, -MIN(ROW()-2, $B1109), 1), "&gt;0"), N1108) * ((LN(1 + $Z1109) ^ W$2) * (W$3 / 1000)), 0))</f>
        <v/>
      </c>
      <c r="O1109" s="24" t="str">
        <f t="shared" si="2440"/>
        <v/>
      </c>
      <c r="P1109" s="24">
        <f t="shared" ref="P1109:S1109" si="2441">L1109*$Y$2</f>
        <v>0</v>
      </c>
      <c r="Q1109" s="24">
        <f t="shared" si="2441"/>
        <v>14351.25</v>
      </c>
      <c r="R1109" s="24">
        <f t="shared" si="2441"/>
        <v>0</v>
      </c>
      <c r="S1109" s="24">
        <f t="shared" si="2441"/>
        <v>0</v>
      </c>
      <c r="T1109" s="24">
        <f t="shared" si="4"/>
        <v>22</v>
      </c>
      <c r="Z1109" s="25">
        <f t="shared" si="12"/>
        <v>1236.805497</v>
      </c>
    </row>
    <row r="1110">
      <c r="A1110" s="16" t="s">
        <v>3</v>
      </c>
      <c r="B1110" s="17">
        <v>209.0</v>
      </c>
      <c r="C1110" s="24">
        <f t="shared" si="1820"/>
        <v>7153724.946</v>
      </c>
      <c r="D1110" s="25">
        <v>0.05</v>
      </c>
      <c r="E1110" s="24">
        <f t="shared" si="1821"/>
        <v>737.9330685</v>
      </c>
      <c r="F1110" s="25">
        <v>0.02</v>
      </c>
      <c r="G1110" s="24">
        <f t="shared" si="1822"/>
        <v>1021960.707</v>
      </c>
      <c r="H1110" s="25">
        <v>0.05</v>
      </c>
      <c r="I1110" s="24">
        <f t="shared" si="1823"/>
        <v>614.9442237</v>
      </c>
      <c r="J1110" s="25">
        <v>0.02</v>
      </c>
      <c r="K1110" s="25">
        <v>0.0</v>
      </c>
      <c r="L1110" s="24" t="str">
        <f t="shared" ref="L1110:M1110" si="2442">IF(L1109="", "", 1 + IFERROR(MINIFS(OFFSET(L1110, -1, 0, -MIN(ROW()-2, $B1110), 1), OFFSET(L1110, -1, 0, -MIN(ROW()-2, $B1110), 1), "&gt;0"), L1109) + ROUND((L$2 * (LN(1 + $Z1110) ^ U$2) * (U$3 / 100)), 0))</f>
        <v/>
      </c>
      <c r="M1110" s="24">
        <f t="shared" si="2442"/>
        <v>57414</v>
      </c>
      <c r="N1110" s="24" t="str">
        <f t="shared" ref="N1110:O1110" si="2443">IF(N1109="", "", 1 + IFERROR(MINIFS(OFFSET(N1110, -1, 0, -MIN(ROW()-2, $B1110), 1), OFFSET(N1110, -1, 0, -MIN(ROW()-2, $B1110), 1), "&gt;0"), N1109) + ROUND(IFERROR(MINIFS(OFFSET(N1110, -1, 0, -MIN(ROW()-2, $B1110), 1), OFFSET(N1110, -1, 0, -MIN(ROW()-2, $B1110), 1), "&gt;0"), N1109) * ((LN(1 + $Z1110) ^ W$2) * (W$3 / 1000)), 0))</f>
        <v/>
      </c>
      <c r="O1110" s="24" t="str">
        <f t="shared" si="2443"/>
        <v/>
      </c>
      <c r="P1110" s="24">
        <f t="shared" ref="P1110:S1110" si="2444">L1110*$Y$2</f>
        <v>0</v>
      </c>
      <c r="Q1110" s="24">
        <f t="shared" si="2444"/>
        <v>14353.5</v>
      </c>
      <c r="R1110" s="24">
        <f t="shared" si="2444"/>
        <v>0</v>
      </c>
      <c r="S1110" s="24">
        <f t="shared" si="2444"/>
        <v>0</v>
      </c>
      <c r="T1110" s="24">
        <f t="shared" si="4"/>
        <v>22</v>
      </c>
      <c r="Z1110" s="25">
        <f t="shared" si="12"/>
        <v>1280.12869</v>
      </c>
    </row>
    <row r="1111">
      <c r="A1111" s="16" t="s">
        <v>3</v>
      </c>
      <c r="B1111" s="17">
        <v>210.0</v>
      </c>
      <c r="C1111" s="24">
        <f t="shared" si="1820"/>
        <v>7511411.193</v>
      </c>
      <c r="D1111" s="25">
        <v>0.05</v>
      </c>
      <c r="E1111" s="24">
        <f t="shared" si="1821"/>
        <v>752.6917299</v>
      </c>
      <c r="F1111" s="25">
        <v>0.02</v>
      </c>
      <c r="G1111" s="24">
        <f t="shared" si="1822"/>
        <v>1073058.742</v>
      </c>
      <c r="H1111" s="25">
        <v>0.05</v>
      </c>
      <c r="I1111" s="24">
        <f t="shared" si="1823"/>
        <v>627.2431082</v>
      </c>
      <c r="J1111" s="25">
        <v>0.02</v>
      </c>
      <c r="K1111" s="25">
        <v>0.0</v>
      </c>
      <c r="L1111" s="24" t="str">
        <f t="shared" ref="L1111:M1111" si="2445">IF(L1110="", "", 1 + IFERROR(MINIFS(OFFSET(L1111, -1, 0, -MIN(ROW()-2, $B1111), 1), OFFSET(L1111, -1, 0, -MIN(ROW()-2, $B1111), 1), "&gt;0"), L1110) + ROUND((L$2 * (LN(1 + $Z1111) ^ U$2) * (U$3 / 100)), 0))</f>
        <v/>
      </c>
      <c r="M1111" s="24">
        <f t="shared" si="2445"/>
        <v>57423</v>
      </c>
      <c r="N1111" s="24" t="str">
        <f t="shared" ref="N1111:O1111" si="2446">IF(N1110="", "", 1 + IFERROR(MINIFS(OFFSET(N1111, -1, 0, -MIN(ROW()-2, $B1111), 1), OFFSET(N1111, -1, 0, -MIN(ROW()-2, $B1111), 1), "&gt;0"), N1110) + ROUND(IFERROR(MINIFS(OFFSET(N1111, -1, 0, -MIN(ROW()-2, $B1111), 1), OFFSET(N1111, -1, 0, -MIN(ROW()-2, $B1111), 1), "&gt;0"), N1110) * ((LN(1 + $Z1111) ^ W$2) * (W$3 / 1000)), 0))</f>
        <v/>
      </c>
      <c r="O1111" s="24" t="str">
        <f t="shared" si="2446"/>
        <v/>
      </c>
      <c r="P1111" s="24">
        <f t="shared" ref="P1111:S1111" si="2447">L1111*$Y$2</f>
        <v>0</v>
      </c>
      <c r="Q1111" s="24">
        <f t="shared" si="2447"/>
        <v>14355.75</v>
      </c>
      <c r="R1111" s="24">
        <f t="shared" si="2447"/>
        <v>0</v>
      </c>
      <c r="S1111" s="24">
        <f t="shared" si="2447"/>
        <v>0</v>
      </c>
      <c r="T1111" s="24">
        <f t="shared" si="4"/>
        <v>22</v>
      </c>
      <c r="Z1111" s="25">
        <f t="shared" si="12"/>
        <v>1324.968194</v>
      </c>
    </row>
    <row r="1112">
      <c r="A1112" s="16" t="s">
        <v>3</v>
      </c>
      <c r="B1112" s="17">
        <v>211.0</v>
      </c>
      <c r="C1112" s="24">
        <f t="shared" si="1820"/>
        <v>7886981.752</v>
      </c>
      <c r="D1112" s="25">
        <v>0.05</v>
      </c>
      <c r="E1112" s="24">
        <f t="shared" si="1821"/>
        <v>767.7455645</v>
      </c>
      <c r="F1112" s="25">
        <v>0.02</v>
      </c>
      <c r="G1112" s="24">
        <f t="shared" si="1822"/>
        <v>1126711.679</v>
      </c>
      <c r="H1112" s="25">
        <v>0.05</v>
      </c>
      <c r="I1112" s="24">
        <f t="shared" si="1823"/>
        <v>639.7879704</v>
      </c>
      <c r="J1112" s="25">
        <v>0.02</v>
      </c>
      <c r="K1112" s="25">
        <v>0.0</v>
      </c>
      <c r="L1112" s="24" t="str">
        <f t="shared" ref="L1112:M1112" si="2448">IF(L1111="", "", 1 + IFERROR(MINIFS(OFFSET(L1112, -1, 0, -MIN(ROW()-2, $B1112), 1), OFFSET(L1112, -1, 0, -MIN(ROW()-2, $B1112), 1), "&gt;0"), L1111) + ROUND((L$2 * (LN(1 + $Z1112) ^ U$2) * (U$3 / 100)), 0))</f>
        <v/>
      </c>
      <c r="M1112" s="24">
        <f t="shared" si="2448"/>
        <v>57432</v>
      </c>
      <c r="N1112" s="24" t="str">
        <f t="shared" ref="N1112:O1112" si="2449">IF(N1111="", "", 1 + IFERROR(MINIFS(OFFSET(N1112, -1, 0, -MIN(ROW()-2, $B1112), 1), OFFSET(N1112, -1, 0, -MIN(ROW()-2, $B1112), 1), "&gt;0"), N1111) + ROUND(IFERROR(MINIFS(OFFSET(N1112, -1, 0, -MIN(ROW()-2, $B1112), 1), OFFSET(N1112, -1, 0, -MIN(ROW()-2, $B1112), 1), "&gt;0"), N1111) * ((LN(1 + $Z1112) ^ W$2) * (W$3 / 1000)), 0))</f>
        <v/>
      </c>
      <c r="O1112" s="24" t="str">
        <f t="shared" si="2449"/>
        <v/>
      </c>
      <c r="P1112" s="24">
        <f t="shared" ref="P1112:S1112" si="2450">L1112*$Y$2</f>
        <v>0</v>
      </c>
      <c r="Q1112" s="24">
        <f t="shared" si="2450"/>
        <v>14358</v>
      </c>
      <c r="R1112" s="24">
        <f t="shared" si="2450"/>
        <v>0</v>
      </c>
      <c r="S1112" s="24">
        <f t="shared" si="2450"/>
        <v>0</v>
      </c>
      <c r="T1112" s="24">
        <f t="shared" si="4"/>
        <v>22</v>
      </c>
      <c r="Z1112" s="25">
        <f t="shared" si="12"/>
        <v>1371.377081</v>
      </c>
    </row>
    <row r="1113">
      <c r="A1113" s="16" t="s">
        <v>3</v>
      </c>
      <c r="B1113" s="17">
        <v>212.0</v>
      </c>
      <c r="C1113" s="24">
        <f t="shared" si="1820"/>
        <v>8281330.84</v>
      </c>
      <c r="D1113" s="25">
        <v>0.05</v>
      </c>
      <c r="E1113" s="24">
        <f t="shared" si="1821"/>
        <v>783.1004758</v>
      </c>
      <c r="F1113" s="25">
        <v>0.02</v>
      </c>
      <c r="G1113" s="24">
        <f t="shared" si="1822"/>
        <v>1183047.263</v>
      </c>
      <c r="H1113" s="25">
        <v>0.05</v>
      </c>
      <c r="I1113" s="24">
        <f t="shared" si="1823"/>
        <v>652.5837298</v>
      </c>
      <c r="J1113" s="25">
        <v>0.02</v>
      </c>
      <c r="K1113" s="25">
        <v>0.0</v>
      </c>
      <c r="L1113" s="24" t="str">
        <f t="shared" ref="L1113:M1113" si="2451">IF(L1112="", "", 1 + IFERROR(MINIFS(OFFSET(L1113, -1, 0, -MIN(ROW()-2, $B1113), 1), OFFSET(L1113, -1, 0, -MIN(ROW()-2, $B1113), 1), "&gt;0"), L1112) + ROUND((L$2 * (LN(1 + $Z1113) ^ U$2) * (U$3 / 100)), 0))</f>
        <v/>
      </c>
      <c r="M1113" s="24">
        <f t="shared" si="2451"/>
        <v>57441</v>
      </c>
      <c r="N1113" s="24" t="str">
        <f t="shared" ref="N1113:O1113" si="2452">IF(N1112="", "", 1 + IFERROR(MINIFS(OFFSET(N1113, -1, 0, -MIN(ROW()-2, $B1113), 1), OFFSET(N1113, -1, 0, -MIN(ROW()-2, $B1113), 1), "&gt;0"), N1112) + ROUND(IFERROR(MINIFS(OFFSET(N1113, -1, 0, -MIN(ROW()-2, $B1113), 1), OFFSET(N1113, -1, 0, -MIN(ROW()-2, $B1113), 1), "&gt;0"), N1112) * ((LN(1 + $Z1113) ^ W$2) * (W$3 / 1000)), 0))</f>
        <v/>
      </c>
      <c r="O1113" s="24" t="str">
        <f t="shared" si="2452"/>
        <v/>
      </c>
      <c r="P1113" s="24">
        <f t="shared" ref="P1113:S1113" si="2453">L1113*$Y$2</f>
        <v>0</v>
      </c>
      <c r="Q1113" s="24">
        <f t="shared" si="2453"/>
        <v>14360.25</v>
      </c>
      <c r="R1113" s="24">
        <f t="shared" si="2453"/>
        <v>0</v>
      </c>
      <c r="S1113" s="24">
        <f t="shared" si="2453"/>
        <v>0</v>
      </c>
      <c r="T1113" s="24">
        <f t="shared" si="4"/>
        <v>22</v>
      </c>
      <c r="Z1113" s="25">
        <f t="shared" si="12"/>
        <v>1419.410278</v>
      </c>
    </row>
    <row r="1114">
      <c r="A1114" s="16" t="s">
        <v>3</v>
      </c>
      <c r="B1114" s="17">
        <v>213.0</v>
      </c>
      <c r="C1114" s="24">
        <f t="shared" si="1820"/>
        <v>8695397.382</v>
      </c>
      <c r="D1114" s="25">
        <v>0.05</v>
      </c>
      <c r="E1114" s="24">
        <f t="shared" si="1821"/>
        <v>798.7624853</v>
      </c>
      <c r="F1114" s="25">
        <v>0.02</v>
      </c>
      <c r="G1114" s="24">
        <f t="shared" si="1822"/>
        <v>1242199.626</v>
      </c>
      <c r="H1114" s="25">
        <v>0.05</v>
      </c>
      <c r="I1114" s="24">
        <f t="shared" si="1823"/>
        <v>665.6354044</v>
      </c>
      <c r="J1114" s="25">
        <v>0.02</v>
      </c>
      <c r="K1114" s="25">
        <v>0.0</v>
      </c>
      <c r="L1114" s="24" t="str">
        <f t="shared" ref="L1114:M1114" si="2454">IF(L1113="", "", 1 + IFERROR(MINIFS(OFFSET(L1114, -1, 0, -MIN(ROW()-2, $B1114), 1), OFFSET(L1114, -1, 0, -MIN(ROW()-2, $B1114), 1), "&gt;0"), L1113) + ROUND((L$2 * (LN(1 + $Z1114) ^ U$2) * (U$3 / 100)), 0))</f>
        <v/>
      </c>
      <c r="M1114" s="24">
        <f t="shared" si="2454"/>
        <v>57450</v>
      </c>
      <c r="N1114" s="24" t="str">
        <f t="shared" ref="N1114:O1114" si="2455">IF(N1113="", "", 1 + IFERROR(MINIFS(OFFSET(N1114, -1, 0, -MIN(ROW()-2, $B1114), 1), OFFSET(N1114, -1, 0, -MIN(ROW()-2, $B1114), 1), "&gt;0"), N1113) + ROUND(IFERROR(MINIFS(OFFSET(N1114, -1, 0, -MIN(ROW()-2, $B1114), 1), OFFSET(N1114, -1, 0, -MIN(ROW()-2, $B1114), 1), "&gt;0"), N1113) * ((LN(1 + $Z1114) ^ W$2) * (W$3 / 1000)), 0))</f>
        <v/>
      </c>
      <c r="O1114" s="24" t="str">
        <f t="shared" si="2455"/>
        <v/>
      </c>
      <c r="P1114" s="24">
        <f t="shared" ref="P1114:S1114" si="2456">L1114*$Y$2</f>
        <v>0</v>
      </c>
      <c r="Q1114" s="24">
        <f t="shared" si="2456"/>
        <v>14362.5</v>
      </c>
      <c r="R1114" s="24">
        <f t="shared" si="2456"/>
        <v>0</v>
      </c>
      <c r="S1114" s="24">
        <f t="shared" si="2456"/>
        <v>0</v>
      </c>
      <c r="T1114" s="24">
        <f t="shared" si="4"/>
        <v>22</v>
      </c>
      <c r="Z1114" s="25">
        <f t="shared" si="12"/>
        <v>1469.124638</v>
      </c>
    </row>
    <row r="1115">
      <c r="A1115" s="16" t="s">
        <v>3</v>
      </c>
      <c r="B1115" s="17">
        <v>214.0</v>
      </c>
      <c r="C1115" s="24">
        <f t="shared" si="1820"/>
        <v>9130167.251</v>
      </c>
      <c r="D1115" s="25">
        <v>0.05</v>
      </c>
      <c r="E1115" s="24">
        <f t="shared" si="1821"/>
        <v>814.737735</v>
      </c>
      <c r="F1115" s="25">
        <v>0.02</v>
      </c>
      <c r="G1115" s="24">
        <f t="shared" si="1822"/>
        <v>1304309.607</v>
      </c>
      <c r="H1115" s="25">
        <v>0.05</v>
      </c>
      <c r="I1115" s="24">
        <f t="shared" si="1823"/>
        <v>678.9481125</v>
      </c>
      <c r="J1115" s="25">
        <v>0.02</v>
      </c>
      <c r="K1115" s="25">
        <v>0.0</v>
      </c>
      <c r="L1115" s="24" t="str">
        <f t="shared" ref="L1115:M1115" si="2457">IF(L1114="", "", 1 + IFERROR(MINIFS(OFFSET(L1115, -1, 0, -MIN(ROW()-2, $B1115), 1), OFFSET(L1115, -1, 0, -MIN(ROW()-2, $B1115), 1), "&gt;0"), L1114) + ROUND((L$2 * (LN(1 + $Z1115) ^ U$2) * (U$3 / 100)), 0))</f>
        <v/>
      </c>
      <c r="M1115" s="24">
        <f t="shared" si="2457"/>
        <v>57459</v>
      </c>
      <c r="N1115" s="24" t="str">
        <f t="shared" ref="N1115:O1115" si="2458">IF(N1114="", "", 1 + IFERROR(MINIFS(OFFSET(N1115, -1, 0, -MIN(ROW()-2, $B1115), 1), OFFSET(N1115, -1, 0, -MIN(ROW()-2, $B1115), 1), "&gt;0"), N1114) + ROUND(IFERROR(MINIFS(OFFSET(N1115, -1, 0, -MIN(ROW()-2, $B1115), 1), OFFSET(N1115, -1, 0, -MIN(ROW()-2, $B1115), 1), "&gt;0"), N1114) * ((LN(1 + $Z1115) ^ W$2) * (W$3 / 1000)), 0))</f>
        <v/>
      </c>
      <c r="O1115" s="24" t="str">
        <f t="shared" si="2458"/>
        <v/>
      </c>
      <c r="P1115" s="24">
        <f t="shared" ref="P1115:S1115" si="2459">L1115*$Y$2</f>
        <v>0</v>
      </c>
      <c r="Q1115" s="24">
        <f t="shared" si="2459"/>
        <v>14364.75</v>
      </c>
      <c r="R1115" s="24">
        <f t="shared" si="2459"/>
        <v>0</v>
      </c>
      <c r="S1115" s="24">
        <f t="shared" si="2459"/>
        <v>0</v>
      </c>
      <c r="T1115" s="24">
        <f t="shared" si="4"/>
        <v>22</v>
      </c>
      <c r="Z1115" s="25">
        <f t="shared" si="12"/>
        <v>1520.579001</v>
      </c>
    </row>
    <row r="1116">
      <c r="A1116" s="16" t="s">
        <v>3</v>
      </c>
      <c r="B1116" s="17">
        <v>215.0</v>
      </c>
      <c r="C1116" s="24">
        <f t="shared" si="1820"/>
        <v>9586675.614</v>
      </c>
      <c r="D1116" s="25">
        <v>0.05</v>
      </c>
      <c r="E1116" s="24">
        <f t="shared" si="1821"/>
        <v>831.0324897</v>
      </c>
      <c r="F1116" s="25">
        <v>0.02</v>
      </c>
      <c r="G1116" s="24">
        <f t="shared" si="1822"/>
        <v>1369525.088</v>
      </c>
      <c r="H1116" s="25">
        <v>0.05</v>
      </c>
      <c r="I1116" s="24">
        <f t="shared" si="1823"/>
        <v>692.5270747</v>
      </c>
      <c r="J1116" s="25">
        <v>0.02</v>
      </c>
      <c r="K1116" s="25">
        <v>0.0</v>
      </c>
      <c r="L1116" s="24" t="str">
        <f t="shared" ref="L1116:M1116" si="2460">IF(L1115="", "", 1 + IFERROR(MINIFS(OFFSET(L1116, -1, 0, -MIN(ROW()-2, $B1116), 1), OFFSET(L1116, -1, 0, -MIN(ROW()-2, $B1116), 1), "&gt;0"), L1115) + ROUND((L$2 * (LN(1 + $Z1116) ^ U$2) * (U$3 / 100)), 0))</f>
        <v/>
      </c>
      <c r="M1116" s="24">
        <f t="shared" si="2460"/>
        <v>57468</v>
      </c>
      <c r="N1116" s="24" t="str">
        <f t="shared" ref="N1116:O1116" si="2461">IF(N1115="", "", 1 + IFERROR(MINIFS(OFFSET(N1116, -1, 0, -MIN(ROW()-2, $B1116), 1), OFFSET(N1116, -1, 0, -MIN(ROW()-2, $B1116), 1), "&gt;0"), N1115) + ROUND(IFERROR(MINIFS(OFFSET(N1116, -1, 0, -MIN(ROW()-2, $B1116), 1), OFFSET(N1116, -1, 0, -MIN(ROW()-2, $B1116), 1), "&gt;0"), N1115) * ((LN(1 + $Z1116) ^ W$2) * (W$3 / 1000)), 0))</f>
        <v/>
      </c>
      <c r="O1116" s="24" t="str">
        <f t="shared" si="2461"/>
        <v/>
      </c>
      <c r="P1116" s="24">
        <f t="shared" ref="P1116:S1116" si="2462">L1116*$Y$2</f>
        <v>0</v>
      </c>
      <c r="Q1116" s="24">
        <f t="shared" si="2462"/>
        <v>14367</v>
      </c>
      <c r="R1116" s="24">
        <f t="shared" si="2462"/>
        <v>0</v>
      </c>
      <c r="S1116" s="24">
        <f t="shared" si="2462"/>
        <v>0</v>
      </c>
      <c r="T1116" s="24">
        <f t="shared" si="4"/>
        <v>23</v>
      </c>
      <c r="Z1116" s="25">
        <f t="shared" si="12"/>
        <v>1573.834266</v>
      </c>
    </row>
    <row r="1117">
      <c r="A1117" s="16" t="s">
        <v>3</v>
      </c>
      <c r="B1117" s="17">
        <v>216.0</v>
      </c>
      <c r="C1117" s="24">
        <f t="shared" si="1820"/>
        <v>10066009.39</v>
      </c>
      <c r="D1117" s="25">
        <v>0.05</v>
      </c>
      <c r="E1117" s="24">
        <f t="shared" si="1821"/>
        <v>847.6531395</v>
      </c>
      <c r="F1117" s="25">
        <v>0.02</v>
      </c>
      <c r="G1117" s="24">
        <f t="shared" si="1822"/>
        <v>1438001.342</v>
      </c>
      <c r="H1117" s="25">
        <v>0.05</v>
      </c>
      <c r="I1117" s="24">
        <f t="shared" si="1823"/>
        <v>706.3776162</v>
      </c>
      <c r="J1117" s="25">
        <v>0.02</v>
      </c>
      <c r="K1117" s="25">
        <v>0.0</v>
      </c>
      <c r="L1117" s="24" t="str">
        <f t="shared" ref="L1117:M1117" si="2463">IF(L1116="", "", 1 + IFERROR(MINIFS(OFFSET(L1117, -1, 0, -MIN(ROW()-2, $B1117), 1), OFFSET(L1117, -1, 0, -MIN(ROW()-2, $B1117), 1), "&gt;0"), L1116) + ROUND((L$2 * (LN(1 + $Z1117) ^ U$2) * (U$3 / 100)), 0))</f>
        <v/>
      </c>
      <c r="M1117" s="24">
        <f t="shared" si="2463"/>
        <v>57477</v>
      </c>
      <c r="N1117" s="24" t="str">
        <f t="shared" ref="N1117:O1117" si="2464">IF(N1116="", "", 1 + IFERROR(MINIFS(OFFSET(N1117, -1, 0, -MIN(ROW()-2, $B1117), 1), OFFSET(N1117, -1, 0, -MIN(ROW()-2, $B1117), 1), "&gt;0"), N1116) + ROUND(IFERROR(MINIFS(OFFSET(N1117, -1, 0, -MIN(ROW()-2, $B1117), 1), OFFSET(N1117, -1, 0, -MIN(ROW()-2, $B1117), 1), "&gt;0"), N1116) * ((LN(1 + $Z1117) ^ W$2) * (W$3 / 1000)), 0))</f>
        <v/>
      </c>
      <c r="O1117" s="24" t="str">
        <f t="shared" si="2464"/>
        <v/>
      </c>
      <c r="P1117" s="24">
        <f t="shared" ref="P1117:S1117" si="2465">L1117*$Y$2</f>
        <v>0</v>
      </c>
      <c r="Q1117" s="24">
        <f t="shared" si="2465"/>
        <v>14369.25</v>
      </c>
      <c r="R1117" s="24">
        <f t="shared" si="2465"/>
        <v>0</v>
      </c>
      <c r="S1117" s="24">
        <f t="shared" si="2465"/>
        <v>0</v>
      </c>
      <c r="T1117" s="24">
        <f t="shared" si="4"/>
        <v>23</v>
      </c>
      <c r="Z1117" s="25">
        <f t="shared" si="12"/>
        <v>1628.953465</v>
      </c>
    </row>
    <row r="1118">
      <c r="A1118" s="16" t="s">
        <v>3</v>
      </c>
      <c r="B1118" s="17">
        <v>217.0</v>
      </c>
      <c r="C1118" s="24">
        <f t="shared" si="1820"/>
        <v>10569309.86</v>
      </c>
      <c r="D1118" s="25">
        <v>0.05</v>
      </c>
      <c r="E1118" s="24">
        <f t="shared" si="1821"/>
        <v>864.6062023</v>
      </c>
      <c r="F1118" s="25">
        <v>0.02</v>
      </c>
      <c r="G1118" s="24">
        <f t="shared" si="1822"/>
        <v>1509901.409</v>
      </c>
      <c r="H1118" s="25">
        <v>0.05</v>
      </c>
      <c r="I1118" s="24">
        <f t="shared" si="1823"/>
        <v>720.5051685</v>
      </c>
      <c r="J1118" s="25">
        <v>0.02</v>
      </c>
      <c r="K1118" s="25">
        <v>0.0</v>
      </c>
      <c r="L1118" s="24" t="str">
        <f t="shared" ref="L1118:M1118" si="2466">IF(L1117="", "", 1 + IFERROR(MINIFS(OFFSET(L1118, -1, 0, -MIN(ROW()-2, $B1118), 1), OFFSET(L1118, -1, 0, -MIN(ROW()-2, $B1118), 1), "&gt;0"), L1117) + ROUND((L$2 * (LN(1 + $Z1118) ^ U$2) * (U$3 / 100)), 0))</f>
        <v/>
      </c>
      <c r="M1118" s="24">
        <f t="shared" si="2466"/>
        <v>57486</v>
      </c>
      <c r="N1118" s="24" t="str">
        <f t="shared" ref="N1118:O1118" si="2467">IF(N1117="", "", 1 + IFERROR(MINIFS(OFFSET(N1118, -1, 0, -MIN(ROW()-2, $B1118), 1), OFFSET(N1118, -1, 0, -MIN(ROW()-2, $B1118), 1), "&gt;0"), N1117) + ROUND(IFERROR(MINIFS(OFFSET(N1118, -1, 0, -MIN(ROW()-2, $B1118), 1), OFFSET(N1118, -1, 0, -MIN(ROW()-2, $B1118), 1), "&gt;0"), N1117) * ((LN(1 + $Z1118) ^ W$2) * (W$3 / 1000)), 0))</f>
        <v/>
      </c>
      <c r="O1118" s="24" t="str">
        <f t="shared" si="2467"/>
        <v/>
      </c>
      <c r="P1118" s="24">
        <f t="shared" ref="P1118:S1118" si="2468">L1118*$Y$2</f>
        <v>0</v>
      </c>
      <c r="Q1118" s="24">
        <f t="shared" si="2468"/>
        <v>14371.5</v>
      </c>
      <c r="R1118" s="24">
        <f t="shared" si="2468"/>
        <v>0</v>
      </c>
      <c r="S1118" s="24">
        <f t="shared" si="2468"/>
        <v>0</v>
      </c>
      <c r="T1118" s="24">
        <f t="shared" si="4"/>
        <v>23</v>
      </c>
      <c r="Z1118" s="25">
        <f t="shared" si="12"/>
        <v>1686.001836</v>
      </c>
    </row>
    <row r="1119">
      <c r="A1119" s="16" t="s">
        <v>3</v>
      </c>
      <c r="B1119" s="17">
        <v>218.0</v>
      </c>
      <c r="C1119" s="24">
        <f t="shared" si="1820"/>
        <v>11097775.36</v>
      </c>
      <c r="D1119" s="25">
        <v>0.05</v>
      </c>
      <c r="E1119" s="24">
        <f t="shared" si="1821"/>
        <v>881.8983263</v>
      </c>
      <c r="F1119" s="25">
        <v>0.02</v>
      </c>
      <c r="G1119" s="24">
        <f t="shared" si="1822"/>
        <v>1585396.48</v>
      </c>
      <c r="H1119" s="25">
        <v>0.05</v>
      </c>
      <c r="I1119" s="24">
        <f t="shared" si="1823"/>
        <v>734.9152719</v>
      </c>
      <c r="J1119" s="25">
        <v>0.02</v>
      </c>
      <c r="K1119" s="25">
        <v>0.0</v>
      </c>
      <c r="L1119" s="24" t="str">
        <f t="shared" ref="L1119:M1119" si="2469">IF(L1118="", "", 1 + IFERROR(MINIFS(OFFSET(L1119, -1, 0, -MIN(ROW()-2, $B1119), 1), OFFSET(L1119, -1, 0, -MIN(ROW()-2, $B1119), 1), "&gt;0"), L1118) + ROUND((L$2 * (LN(1 + $Z1119) ^ U$2) * (U$3 / 100)), 0))</f>
        <v/>
      </c>
      <c r="M1119" s="24">
        <f t="shared" si="2469"/>
        <v>57495</v>
      </c>
      <c r="N1119" s="24" t="str">
        <f t="shared" ref="N1119:O1119" si="2470">IF(N1118="", "", 1 + IFERROR(MINIFS(OFFSET(N1119, -1, 0, -MIN(ROW()-2, $B1119), 1), OFFSET(N1119, -1, 0, -MIN(ROW()-2, $B1119), 1), "&gt;0"), N1118) + ROUND(IFERROR(MINIFS(OFFSET(N1119, -1, 0, -MIN(ROW()-2, $B1119), 1), OFFSET(N1119, -1, 0, -MIN(ROW()-2, $B1119), 1), "&gt;0"), N1118) * ((LN(1 + $Z1119) ^ W$2) * (W$3 / 1000)), 0))</f>
        <v/>
      </c>
      <c r="O1119" s="24" t="str">
        <f t="shared" si="2470"/>
        <v/>
      </c>
      <c r="P1119" s="24">
        <f t="shared" ref="P1119:S1119" si="2471">L1119*$Y$2</f>
        <v>0</v>
      </c>
      <c r="Q1119" s="24">
        <f t="shared" si="2471"/>
        <v>14373.75</v>
      </c>
      <c r="R1119" s="24">
        <f t="shared" si="2471"/>
        <v>0</v>
      </c>
      <c r="S1119" s="24">
        <f t="shared" si="2471"/>
        <v>0</v>
      </c>
      <c r="T1119" s="24">
        <f t="shared" si="4"/>
        <v>23</v>
      </c>
      <c r="Z1119" s="25">
        <f t="shared" si="12"/>
        <v>1745.0469</v>
      </c>
    </row>
    <row r="1120">
      <c r="A1120" s="16" t="s">
        <v>3</v>
      </c>
      <c r="B1120" s="17">
        <v>219.0</v>
      </c>
      <c r="C1120" s="24">
        <f t="shared" si="1820"/>
        <v>11652664.13</v>
      </c>
      <c r="D1120" s="25">
        <v>0.05</v>
      </c>
      <c r="E1120" s="24">
        <f t="shared" si="1821"/>
        <v>899.5362928</v>
      </c>
      <c r="F1120" s="25">
        <v>0.02</v>
      </c>
      <c r="G1120" s="24">
        <f t="shared" si="1822"/>
        <v>1664666.304</v>
      </c>
      <c r="H1120" s="25">
        <v>0.05</v>
      </c>
      <c r="I1120" s="24">
        <f t="shared" si="1823"/>
        <v>749.6135774</v>
      </c>
      <c r="J1120" s="25">
        <v>0.02</v>
      </c>
      <c r="K1120" s="25">
        <v>0.0</v>
      </c>
      <c r="L1120" s="24" t="str">
        <f t="shared" ref="L1120:M1120" si="2472">IF(L1119="", "", 1 + IFERROR(MINIFS(OFFSET(L1120, -1, 0, -MIN(ROW()-2, $B1120), 1), OFFSET(L1120, -1, 0, -MIN(ROW()-2, $B1120), 1), "&gt;0"), L1119) + ROUND((L$2 * (LN(1 + $Z1120) ^ U$2) * (U$3 / 100)), 0))</f>
        <v/>
      </c>
      <c r="M1120" s="24">
        <f t="shared" si="2472"/>
        <v>57504</v>
      </c>
      <c r="N1120" s="24" t="str">
        <f t="shared" ref="N1120:O1120" si="2473">IF(N1119="", "", 1 + IFERROR(MINIFS(OFFSET(N1120, -1, 0, -MIN(ROW()-2, $B1120), 1), OFFSET(N1120, -1, 0, -MIN(ROW()-2, $B1120), 1), "&gt;0"), N1119) + ROUND(IFERROR(MINIFS(OFFSET(N1120, -1, 0, -MIN(ROW()-2, $B1120), 1), OFFSET(N1120, -1, 0, -MIN(ROW()-2, $B1120), 1), "&gt;0"), N1119) * ((LN(1 + $Z1120) ^ W$2) * (W$3 / 1000)), 0))</f>
        <v/>
      </c>
      <c r="O1120" s="24" t="str">
        <f t="shared" si="2473"/>
        <v/>
      </c>
      <c r="P1120" s="24">
        <f t="shared" ref="P1120:S1120" si="2474">L1120*$Y$2</f>
        <v>0</v>
      </c>
      <c r="Q1120" s="24">
        <f t="shared" si="2474"/>
        <v>14376</v>
      </c>
      <c r="R1120" s="24">
        <f t="shared" si="2474"/>
        <v>0</v>
      </c>
      <c r="S1120" s="24">
        <f t="shared" si="2474"/>
        <v>0</v>
      </c>
      <c r="T1120" s="24">
        <f t="shared" si="4"/>
        <v>23</v>
      </c>
      <c r="Z1120" s="25">
        <f t="shared" si="12"/>
        <v>1806.158542</v>
      </c>
    </row>
    <row r="1121">
      <c r="A1121" s="16" t="s">
        <v>3</v>
      </c>
      <c r="B1121" s="17">
        <v>220.0</v>
      </c>
      <c r="C1121" s="24">
        <f t="shared" si="1820"/>
        <v>12235297.33</v>
      </c>
      <c r="D1121" s="25">
        <v>0.05</v>
      </c>
      <c r="E1121" s="24">
        <f t="shared" si="1821"/>
        <v>917.5270187</v>
      </c>
      <c r="F1121" s="25">
        <v>0.02</v>
      </c>
      <c r="G1121" s="24">
        <f t="shared" si="1822"/>
        <v>1747899.619</v>
      </c>
      <c r="H1121" s="25">
        <v>0.05</v>
      </c>
      <c r="I1121" s="24">
        <f t="shared" si="1823"/>
        <v>764.6058489</v>
      </c>
      <c r="J1121" s="25">
        <v>0.02</v>
      </c>
      <c r="K1121" s="25">
        <v>0.0</v>
      </c>
      <c r="L1121" s="24" t="str">
        <f t="shared" ref="L1121:M1121" si="2475">IF(L1120="", "", 1 + IFERROR(MINIFS(OFFSET(L1121, -1, 0, -MIN(ROW()-2, $B1121), 1), OFFSET(L1121, -1, 0, -MIN(ROW()-2, $B1121), 1), "&gt;0"), L1120) + ROUND((L$2 * (LN(1 + $Z1121) ^ U$2) * (U$3 / 100)), 0))</f>
        <v/>
      </c>
      <c r="M1121" s="24">
        <f t="shared" si="2475"/>
        <v>57513</v>
      </c>
      <c r="N1121" s="24" t="str">
        <f t="shared" ref="N1121:O1121" si="2476">IF(N1120="", "", 1 + IFERROR(MINIFS(OFFSET(N1121, -1, 0, -MIN(ROW()-2, $B1121), 1), OFFSET(N1121, -1, 0, -MIN(ROW()-2, $B1121), 1), "&gt;0"), N1120) + ROUND(IFERROR(MINIFS(OFFSET(N1121, -1, 0, -MIN(ROW()-2, $B1121), 1), OFFSET(N1121, -1, 0, -MIN(ROW()-2, $B1121), 1), "&gt;0"), N1120) * ((LN(1 + $Z1121) ^ W$2) * (W$3 / 1000)), 0))</f>
        <v/>
      </c>
      <c r="O1121" s="24" t="str">
        <f t="shared" si="2476"/>
        <v/>
      </c>
      <c r="P1121" s="24">
        <f t="shared" ref="P1121:S1121" si="2477">L1121*$Y$2</f>
        <v>0</v>
      </c>
      <c r="Q1121" s="24">
        <f t="shared" si="2477"/>
        <v>14378.25</v>
      </c>
      <c r="R1121" s="24">
        <f t="shared" si="2477"/>
        <v>0</v>
      </c>
      <c r="S1121" s="24">
        <f t="shared" si="2477"/>
        <v>0</v>
      </c>
      <c r="T1121" s="24">
        <f t="shared" si="4"/>
        <v>23</v>
      </c>
      <c r="Z1121" s="25">
        <f t="shared" si="12"/>
        <v>1869.409091</v>
      </c>
    </row>
    <row r="1122">
      <c r="A1122" s="16" t="s">
        <v>3</v>
      </c>
      <c r="B1122" s="17">
        <v>221.0</v>
      </c>
      <c r="C1122" s="24">
        <f t="shared" si="1820"/>
        <v>12847062.2</v>
      </c>
      <c r="D1122" s="25">
        <v>0.05</v>
      </c>
      <c r="E1122" s="24">
        <f t="shared" si="1821"/>
        <v>935.8775591</v>
      </c>
      <c r="F1122" s="25">
        <v>0.02</v>
      </c>
      <c r="G1122" s="24">
        <f t="shared" si="1822"/>
        <v>1835294.6</v>
      </c>
      <c r="H1122" s="25">
        <v>0.05</v>
      </c>
      <c r="I1122" s="24">
        <f t="shared" si="1823"/>
        <v>779.8979659</v>
      </c>
      <c r="J1122" s="25">
        <v>0.02</v>
      </c>
      <c r="K1122" s="25">
        <v>0.0</v>
      </c>
      <c r="L1122" s="24" t="str">
        <f t="shared" ref="L1122:M1122" si="2478">IF(L1121="", "", 1 + IFERROR(MINIFS(OFFSET(L1122, -1, 0, -MIN(ROW()-2, $B1122), 1), OFFSET(L1122, -1, 0, -MIN(ROW()-2, $B1122), 1), "&gt;0"), L1121) + ROUND((L$2 * (LN(1 + $Z1122) ^ U$2) * (U$3 / 100)), 0))</f>
        <v/>
      </c>
      <c r="M1122" s="24">
        <f t="shared" si="2478"/>
        <v>57522</v>
      </c>
      <c r="N1122" s="24" t="str">
        <f t="shared" ref="N1122:O1122" si="2479">IF(N1121="", "", 1 + IFERROR(MINIFS(OFFSET(N1122, -1, 0, -MIN(ROW()-2, $B1122), 1), OFFSET(N1122, -1, 0, -MIN(ROW()-2, $B1122), 1), "&gt;0"), N1121) + ROUND(IFERROR(MINIFS(OFFSET(N1122, -1, 0, -MIN(ROW()-2, $B1122), 1), OFFSET(N1122, -1, 0, -MIN(ROW()-2, $B1122), 1), "&gt;0"), N1121) * ((LN(1 + $Z1122) ^ W$2) * (W$3 / 1000)), 0))</f>
        <v/>
      </c>
      <c r="O1122" s="24" t="str">
        <f t="shared" si="2479"/>
        <v/>
      </c>
      <c r="P1122" s="24">
        <f t="shared" ref="P1122:S1122" si="2480">L1122*$Y$2</f>
        <v>0</v>
      </c>
      <c r="Q1122" s="24">
        <f t="shared" si="2480"/>
        <v>14380.5</v>
      </c>
      <c r="R1122" s="24">
        <f t="shared" si="2480"/>
        <v>0</v>
      </c>
      <c r="S1122" s="24">
        <f t="shared" si="2480"/>
        <v>0</v>
      </c>
      <c r="T1122" s="24">
        <f t="shared" si="4"/>
        <v>23</v>
      </c>
      <c r="Z1122" s="25">
        <f t="shared" si="12"/>
        <v>1934.873409</v>
      </c>
    </row>
    <row r="1123">
      <c r="A1123" s="16" t="s">
        <v>3</v>
      </c>
      <c r="B1123" s="17">
        <v>222.0</v>
      </c>
      <c r="C1123" s="24">
        <f t="shared" si="1820"/>
        <v>13489415.31</v>
      </c>
      <c r="D1123" s="25">
        <v>0.05</v>
      </c>
      <c r="E1123" s="24">
        <f t="shared" si="1821"/>
        <v>954.5951102</v>
      </c>
      <c r="F1123" s="25">
        <v>0.02</v>
      </c>
      <c r="G1123" s="24">
        <f t="shared" si="1822"/>
        <v>1927059.33</v>
      </c>
      <c r="H1123" s="25">
        <v>0.05</v>
      </c>
      <c r="I1123" s="24">
        <f t="shared" si="1823"/>
        <v>795.4959252</v>
      </c>
      <c r="J1123" s="25">
        <v>0.02</v>
      </c>
      <c r="K1123" s="25">
        <v>0.0</v>
      </c>
      <c r="L1123" s="24" t="str">
        <f t="shared" ref="L1123:M1123" si="2481">IF(L1122="", "", 1 + IFERROR(MINIFS(OFFSET(L1123, -1, 0, -MIN(ROW()-2, $B1123), 1), OFFSET(L1123, -1, 0, -MIN(ROW()-2, $B1123), 1), "&gt;0"), L1122) + ROUND((L$2 * (LN(1 + $Z1123) ^ U$2) * (U$3 / 100)), 0))</f>
        <v/>
      </c>
      <c r="M1123" s="24">
        <f t="shared" si="2481"/>
        <v>57531</v>
      </c>
      <c r="N1123" s="24" t="str">
        <f t="shared" ref="N1123:O1123" si="2482">IF(N1122="", "", 1 + IFERROR(MINIFS(OFFSET(N1123, -1, 0, -MIN(ROW()-2, $B1123), 1), OFFSET(N1123, -1, 0, -MIN(ROW()-2, $B1123), 1), "&gt;0"), N1122) + ROUND(IFERROR(MINIFS(OFFSET(N1123, -1, 0, -MIN(ROW()-2, $B1123), 1), OFFSET(N1123, -1, 0, -MIN(ROW()-2, $B1123), 1), "&gt;0"), N1122) * ((LN(1 + $Z1123) ^ W$2) * (W$3 / 1000)), 0))</f>
        <v/>
      </c>
      <c r="O1123" s="24" t="str">
        <f t="shared" si="2482"/>
        <v/>
      </c>
      <c r="P1123" s="24">
        <f t="shared" ref="P1123:S1123" si="2483">L1123*$Y$2</f>
        <v>0</v>
      </c>
      <c r="Q1123" s="24">
        <f t="shared" si="2483"/>
        <v>14382.75</v>
      </c>
      <c r="R1123" s="24">
        <f t="shared" si="2483"/>
        <v>0</v>
      </c>
      <c r="S1123" s="24">
        <f t="shared" si="2483"/>
        <v>0</v>
      </c>
      <c r="T1123" s="24">
        <f t="shared" si="4"/>
        <v>23</v>
      </c>
      <c r="Z1123" s="25">
        <f t="shared" si="12"/>
        <v>2002.628978</v>
      </c>
    </row>
    <row r="1124">
      <c r="A1124" s="16" t="s">
        <v>3</v>
      </c>
      <c r="B1124" s="17">
        <v>223.0</v>
      </c>
      <c r="C1124" s="24">
        <f t="shared" si="1820"/>
        <v>14163886.07</v>
      </c>
      <c r="D1124" s="25">
        <v>0.05</v>
      </c>
      <c r="E1124" s="24">
        <f t="shared" si="1821"/>
        <v>973.6870124</v>
      </c>
      <c r="F1124" s="25">
        <v>0.02</v>
      </c>
      <c r="G1124" s="24">
        <f t="shared" si="1822"/>
        <v>2023412.296</v>
      </c>
      <c r="H1124" s="25">
        <v>0.05</v>
      </c>
      <c r="I1124" s="24">
        <f t="shared" si="1823"/>
        <v>811.4058437</v>
      </c>
      <c r="J1124" s="25">
        <v>0.02</v>
      </c>
      <c r="K1124" s="25">
        <v>0.0</v>
      </c>
      <c r="L1124" s="24" t="str">
        <f t="shared" ref="L1124:M1124" si="2484">IF(L1123="", "", 1 + IFERROR(MINIFS(OFFSET(L1124, -1, 0, -MIN(ROW()-2, $B1124), 1), OFFSET(L1124, -1, 0, -MIN(ROW()-2, $B1124), 1), "&gt;0"), L1123) + ROUND((L$2 * (LN(1 + $Z1124) ^ U$2) * (U$3 / 100)), 0))</f>
        <v/>
      </c>
      <c r="M1124" s="24">
        <f t="shared" si="2484"/>
        <v>57540</v>
      </c>
      <c r="N1124" s="24" t="str">
        <f t="shared" ref="N1124:O1124" si="2485">IF(N1123="", "", 1 + IFERROR(MINIFS(OFFSET(N1124, -1, 0, -MIN(ROW()-2, $B1124), 1), OFFSET(N1124, -1, 0, -MIN(ROW()-2, $B1124), 1), "&gt;0"), N1123) + ROUND(IFERROR(MINIFS(OFFSET(N1124, -1, 0, -MIN(ROW()-2, $B1124), 1), OFFSET(N1124, -1, 0, -MIN(ROW()-2, $B1124), 1), "&gt;0"), N1123) * ((LN(1 + $Z1124) ^ W$2) * (W$3 / 1000)), 0))</f>
        <v/>
      </c>
      <c r="O1124" s="24" t="str">
        <f t="shared" si="2485"/>
        <v/>
      </c>
      <c r="P1124" s="24">
        <f t="shared" ref="P1124:S1124" si="2486">L1124*$Y$2</f>
        <v>0</v>
      </c>
      <c r="Q1124" s="24">
        <f t="shared" si="2486"/>
        <v>14385</v>
      </c>
      <c r="R1124" s="24">
        <f t="shared" si="2486"/>
        <v>0</v>
      </c>
      <c r="S1124" s="24">
        <f t="shared" si="2486"/>
        <v>0</v>
      </c>
      <c r="T1124" s="24">
        <f t="shared" si="4"/>
        <v>23</v>
      </c>
      <c r="Z1124" s="25">
        <f t="shared" si="12"/>
        <v>2072.755993</v>
      </c>
    </row>
    <row r="1125">
      <c r="A1125" s="16" t="s">
        <v>3</v>
      </c>
      <c r="B1125" s="17">
        <v>224.0</v>
      </c>
      <c r="C1125" s="24">
        <f t="shared" si="1820"/>
        <v>14872080.38</v>
      </c>
      <c r="D1125" s="25">
        <v>0.05</v>
      </c>
      <c r="E1125" s="24">
        <f t="shared" si="1821"/>
        <v>993.1607527</v>
      </c>
      <c r="F1125" s="25">
        <v>0.02</v>
      </c>
      <c r="G1125" s="24">
        <f t="shared" si="1822"/>
        <v>2124582.911</v>
      </c>
      <c r="H1125" s="25">
        <v>0.05</v>
      </c>
      <c r="I1125" s="24">
        <f t="shared" si="1823"/>
        <v>827.6339606</v>
      </c>
      <c r="J1125" s="25">
        <v>0.02</v>
      </c>
      <c r="K1125" s="25">
        <v>0.0</v>
      </c>
      <c r="L1125" s="24" t="str">
        <f t="shared" ref="L1125:M1125" si="2487">IF(L1124="", "", 1 + IFERROR(MINIFS(OFFSET(L1125, -1, 0, -MIN(ROW()-2, $B1125), 1), OFFSET(L1125, -1, 0, -MIN(ROW()-2, $B1125), 1), "&gt;0"), L1124) + ROUND((L$2 * (LN(1 + $Z1125) ^ U$2) * (U$3 / 100)), 0))</f>
        <v/>
      </c>
      <c r="M1125" s="24">
        <f t="shared" si="2487"/>
        <v>57549</v>
      </c>
      <c r="N1125" s="24" t="str">
        <f t="shared" ref="N1125:O1125" si="2488">IF(N1124="", "", 1 + IFERROR(MINIFS(OFFSET(N1125, -1, 0, -MIN(ROW()-2, $B1125), 1), OFFSET(N1125, -1, 0, -MIN(ROW()-2, $B1125), 1), "&gt;0"), N1124) + ROUND(IFERROR(MINIFS(OFFSET(N1125, -1, 0, -MIN(ROW()-2, $B1125), 1), OFFSET(N1125, -1, 0, -MIN(ROW()-2, $B1125), 1), "&gt;0"), N1124) * ((LN(1 + $Z1125) ^ W$2) * (W$3 / 1000)), 0))</f>
        <v/>
      </c>
      <c r="O1125" s="24" t="str">
        <f t="shared" si="2488"/>
        <v/>
      </c>
      <c r="P1125" s="24">
        <f t="shared" ref="P1125:S1125" si="2489">L1125*$Y$2</f>
        <v>0</v>
      </c>
      <c r="Q1125" s="24">
        <f t="shared" si="2489"/>
        <v>14387.25</v>
      </c>
      <c r="R1125" s="24">
        <f t="shared" si="2489"/>
        <v>0</v>
      </c>
      <c r="S1125" s="24">
        <f t="shared" si="2489"/>
        <v>0</v>
      </c>
      <c r="T1125" s="24">
        <f t="shared" si="4"/>
        <v>23</v>
      </c>
      <c r="Z1125" s="25">
        <f t="shared" si="12"/>
        <v>2145.337452</v>
      </c>
    </row>
    <row r="1126">
      <c r="A1126" s="16" t="s">
        <v>3</v>
      </c>
      <c r="B1126" s="17">
        <v>225.0</v>
      </c>
      <c r="C1126" s="24">
        <f t="shared" si="1820"/>
        <v>15615684.4</v>
      </c>
      <c r="D1126" s="25">
        <v>0.05</v>
      </c>
      <c r="E1126" s="24">
        <f t="shared" si="1821"/>
        <v>1013.023968</v>
      </c>
      <c r="F1126" s="25">
        <v>0.02</v>
      </c>
      <c r="G1126" s="24">
        <f t="shared" si="1822"/>
        <v>2230812.057</v>
      </c>
      <c r="H1126" s="25">
        <v>0.05</v>
      </c>
      <c r="I1126" s="24">
        <f t="shared" si="1823"/>
        <v>844.1866398</v>
      </c>
      <c r="J1126" s="25">
        <v>0.02</v>
      </c>
      <c r="K1126" s="25">
        <v>0.0</v>
      </c>
      <c r="L1126" s="24" t="str">
        <f t="shared" ref="L1126:M1126" si="2490">IF(L1125="", "", 1 + IFERROR(MINIFS(OFFSET(L1126, -1, 0, -MIN(ROW()-2, $B1126), 1), OFFSET(L1126, -1, 0, -MIN(ROW()-2, $B1126), 1), "&gt;0"), L1125) + ROUND((L$2 * (LN(1 + $Z1126) ^ U$2) * (U$3 / 100)), 0))</f>
        <v/>
      </c>
      <c r="M1126" s="24">
        <f t="shared" si="2490"/>
        <v>57558</v>
      </c>
      <c r="N1126" s="24" t="str">
        <f t="shared" ref="N1126:O1126" si="2491">IF(N1125="", "", 1 + IFERROR(MINIFS(OFFSET(N1126, -1, 0, -MIN(ROW()-2, $B1126), 1), OFFSET(N1126, -1, 0, -MIN(ROW()-2, $B1126), 1), "&gt;0"), N1125) + ROUND(IFERROR(MINIFS(OFFSET(N1126, -1, 0, -MIN(ROW()-2, $B1126), 1), OFFSET(N1126, -1, 0, -MIN(ROW()-2, $B1126), 1), "&gt;0"), N1125) * ((LN(1 + $Z1126) ^ W$2) * (W$3 / 1000)), 0))</f>
        <v/>
      </c>
      <c r="O1126" s="24" t="str">
        <f t="shared" si="2491"/>
        <v/>
      </c>
      <c r="P1126" s="24">
        <f t="shared" ref="P1126:S1126" si="2492">L1126*$Y$2</f>
        <v>0</v>
      </c>
      <c r="Q1126" s="24">
        <f t="shared" si="2492"/>
        <v>14389.5</v>
      </c>
      <c r="R1126" s="24">
        <f t="shared" si="2492"/>
        <v>0</v>
      </c>
      <c r="S1126" s="24">
        <f t="shared" si="2492"/>
        <v>0</v>
      </c>
      <c r="T1126" s="24">
        <f t="shared" si="4"/>
        <v>24</v>
      </c>
      <c r="Z1126" s="25">
        <f t="shared" si="12"/>
        <v>2220.459263</v>
      </c>
    </row>
    <row r="1127">
      <c r="A1127" s="16" t="s">
        <v>3</v>
      </c>
      <c r="B1127" s="17">
        <v>226.0</v>
      </c>
      <c r="C1127" s="24">
        <f t="shared" si="1820"/>
        <v>16396468.62</v>
      </c>
      <c r="D1127" s="25">
        <v>0.05</v>
      </c>
      <c r="E1127" s="24">
        <f t="shared" si="1821"/>
        <v>1033.284447</v>
      </c>
      <c r="F1127" s="25">
        <v>0.02</v>
      </c>
      <c r="G1127" s="24">
        <f t="shared" si="1822"/>
        <v>2342352.659</v>
      </c>
      <c r="H1127" s="25">
        <v>0.05</v>
      </c>
      <c r="I1127" s="24">
        <f t="shared" si="1823"/>
        <v>861.0703726</v>
      </c>
      <c r="J1127" s="25">
        <v>0.02</v>
      </c>
      <c r="K1127" s="25">
        <v>0.0</v>
      </c>
      <c r="L1127" s="24" t="str">
        <f t="shared" ref="L1127:M1127" si="2493">IF(L1126="", "", 1 + IFERROR(MINIFS(OFFSET(L1127, -1, 0, -MIN(ROW()-2, $B1127), 1), OFFSET(L1127, -1, 0, -MIN(ROW()-2, $B1127), 1), "&gt;0"), L1126) + ROUND((L$2 * (LN(1 + $Z1127) ^ U$2) * (U$3 / 100)), 0))</f>
        <v/>
      </c>
      <c r="M1127" s="24">
        <f t="shared" si="2493"/>
        <v>57567</v>
      </c>
      <c r="N1127" s="24" t="str">
        <f t="shared" ref="N1127:O1127" si="2494">IF(N1126="", "", 1 + IFERROR(MINIFS(OFFSET(N1127, -1, 0, -MIN(ROW()-2, $B1127), 1), OFFSET(N1127, -1, 0, -MIN(ROW()-2, $B1127), 1), "&gt;0"), N1126) + ROUND(IFERROR(MINIFS(OFFSET(N1127, -1, 0, -MIN(ROW()-2, $B1127), 1), OFFSET(N1127, -1, 0, -MIN(ROW()-2, $B1127), 1), "&gt;0"), N1126) * ((LN(1 + $Z1127) ^ W$2) * (W$3 / 1000)), 0))</f>
        <v/>
      </c>
      <c r="O1127" s="24" t="str">
        <f t="shared" si="2494"/>
        <v/>
      </c>
      <c r="P1127" s="24">
        <f t="shared" ref="P1127:S1127" si="2495">L1127*$Y$2</f>
        <v>0</v>
      </c>
      <c r="Q1127" s="24">
        <f t="shared" si="2495"/>
        <v>14391.75</v>
      </c>
      <c r="R1127" s="24">
        <f t="shared" si="2495"/>
        <v>0</v>
      </c>
      <c r="S1127" s="24">
        <f t="shared" si="2495"/>
        <v>0</v>
      </c>
      <c r="T1127" s="24">
        <f t="shared" si="4"/>
        <v>24</v>
      </c>
      <c r="Z1127" s="25">
        <f t="shared" si="12"/>
        <v>2298.210337</v>
      </c>
    </row>
    <row r="1128">
      <c r="A1128" s="16" t="s">
        <v>3</v>
      </c>
      <c r="B1128" s="17">
        <v>227.0</v>
      </c>
      <c r="C1128" s="24">
        <f t="shared" si="1820"/>
        <v>17216292.05</v>
      </c>
      <c r="D1128" s="25">
        <v>0.05</v>
      </c>
      <c r="E1128" s="24">
        <f t="shared" si="1821"/>
        <v>1053.950136</v>
      </c>
      <c r="F1128" s="25">
        <v>0.02</v>
      </c>
      <c r="G1128" s="24">
        <f t="shared" si="1822"/>
        <v>2459470.292</v>
      </c>
      <c r="H1128" s="25">
        <v>0.05</v>
      </c>
      <c r="I1128" s="24">
        <f t="shared" si="1823"/>
        <v>878.29178</v>
      </c>
      <c r="J1128" s="25">
        <v>0.02</v>
      </c>
      <c r="K1128" s="25">
        <v>0.0</v>
      </c>
      <c r="L1128" s="24" t="str">
        <f t="shared" ref="L1128:M1128" si="2496">IF(L1127="", "", 1 + IFERROR(MINIFS(OFFSET(L1128, -1, 0, -MIN(ROW()-2, $B1128), 1), OFFSET(L1128, -1, 0, -MIN(ROW()-2, $B1128), 1), "&gt;0"), L1127) + ROUND((L$2 * (LN(1 + $Z1128) ^ U$2) * (U$3 / 100)), 0))</f>
        <v/>
      </c>
      <c r="M1128" s="24">
        <f t="shared" si="2496"/>
        <v>57576</v>
      </c>
      <c r="N1128" s="24" t="str">
        <f t="shared" ref="N1128:O1128" si="2497">IF(N1127="", "", 1 + IFERROR(MINIFS(OFFSET(N1128, -1, 0, -MIN(ROW()-2, $B1128), 1), OFFSET(N1128, -1, 0, -MIN(ROW()-2, $B1128), 1), "&gt;0"), N1127) + ROUND(IFERROR(MINIFS(OFFSET(N1128, -1, 0, -MIN(ROW()-2, $B1128), 1), OFFSET(N1128, -1, 0, -MIN(ROW()-2, $B1128), 1), "&gt;0"), N1127) * ((LN(1 + $Z1128) ^ W$2) * (W$3 / 1000)), 0))</f>
        <v/>
      </c>
      <c r="O1128" s="24" t="str">
        <f t="shared" si="2497"/>
        <v/>
      </c>
      <c r="P1128" s="24">
        <f t="shared" ref="P1128:S1128" si="2498">L1128*$Y$2</f>
        <v>0</v>
      </c>
      <c r="Q1128" s="24">
        <f t="shared" si="2498"/>
        <v>14394</v>
      </c>
      <c r="R1128" s="24">
        <f t="shared" si="2498"/>
        <v>0</v>
      </c>
      <c r="S1128" s="24">
        <f t="shared" si="2498"/>
        <v>0</v>
      </c>
      <c r="T1128" s="24">
        <f t="shared" si="4"/>
        <v>24</v>
      </c>
      <c r="Z1128" s="25">
        <f t="shared" si="12"/>
        <v>2378.682699</v>
      </c>
    </row>
    <row r="1129">
      <c r="A1129" s="16" t="s">
        <v>3</v>
      </c>
      <c r="B1129" s="17">
        <v>228.0</v>
      </c>
      <c r="C1129" s="24">
        <f t="shared" si="1820"/>
        <v>18077106.65</v>
      </c>
      <c r="D1129" s="25">
        <v>0.05</v>
      </c>
      <c r="E1129" s="24">
        <f t="shared" si="1821"/>
        <v>1075.029139</v>
      </c>
      <c r="F1129" s="25">
        <v>0.02</v>
      </c>
      <c r="G1129" s="24">
        <f t="shared" si="1822"/>
        <v>2582443.807</v>
      </c>
      <c r="H1129" s="25">
        <v>0.05</v>
      </c>
      <c r="I1129" s="24">
        <f t="shared" si="1823"/>
        <v>895.8576156</v>
      </c>
      <c r="J1129" s="25">
        <v>0.02</v>
      </c>
      <c r="K1129" s="25">
        <v>0.0</v>
      </c>
      <c r="L1129" s="24" t="str">
        <f t="shared" ref="L1129:M1129" si="2499">IF(L1128="", "", 1 + IFERROR(MINIFS(OFFSET(L1129, -1, 0, -MIN(ROW()-2, $B1129), 1), OFFSET(L1129, -1, 0, -MIN(ROW()-2, $B1129), 1), "&gt;0"), L1128) + ROUND((L$2 * (LN(1 + $Z1129) ^ U$2) * (U$3 / 100)), 0))</f>
        <v/>
      </c>
      <c r="M1129" s="24">
        <f t="shared" si="2499"/>
        <v>57585</v>
      </c>
      <c r="N1129" s="24" t="str">
        <f t="shared" ref="N1129:O1129" si="2500">IF(N1128="", "", 1 + IFERROR(MINIFS(OFFSET(N1129, -1, 0, -MIN(ROW()-2, $B1129), 1), OFFSET(N1129, -1, 0, -MIN(ROW()-2, $B1129), 1), "&gt;0"), N1128) + ROUND(IFERROR(MINIFS(OFFSET(N1129, -1, 0, -MIN(ROW()-2, $B1129), 1), OFFSET(N1129, -1, 0, -MIN(ROW()-2, $B1129), 1), "&gt;0"), N1128) * ((LN(1 + $Z1129) ^ W$2) * (W$3 / 1000)), 0))</f>
        <v/>
      </c>
      <c r="O1129" s="24" t="str">
        <f t="shared" si="2500"/>
        <v/>
      </c>
      <c r="P1129" s="24">
        <f t="shared" ref="P1129:S1129" si="2501">L1129*$Y$2</f>
        <v>0</v>
      </c>
      <c r="Q1129" s="24">
        <f t="shared" si="2501"/>
        <v>14396.25</v>
      </c>
      <c r="R1129" s="24">
        <f t="shared" si="2501"/>
        <v>0</v>
      </c>
      <c r="S1129" s="24">
        <f t="shared" si="2501"/>
        <v>0</v>
      </c>
      <c r="T1129" s="24">
        <f t="shared" si="4"/>
        <v>24</v>
      </c>
      <c r="Z1129" s="25">
        <f t="shared" si="12"/>
        <v>2461.971594</v>
      </c>
    </row>
    <row r="1130">
      <c r="A1130" s="16" t="s">
        <v>3</v>
      </c>
      <c r="B1130" s="17">
        <v>229.0</v>
      </c>
      <c r="C1130" s="24">
        <f t="shared" si="1820"/>
        <v>18980961.98</v>
      </c>
      <c r="D1130" s="25">
        <v>0.05</v>
      </c>
      <c r="E1130" s="24">
        <f t="shared" si="1821"/>
        <v>1096.529722</v>
      </c>
      <c r="F1130" s="25">
        <v>0.02</v>
      </c>
      <c r="G1130" s="24">
        <f t="shared" si="1822"/>
        <v>2711565.997</v>
      </c>
      <c r="H1130" s="25">
        <v>0.05</v>
      </c>
      <c r="I1130" s="24">
        <f t="shared" si="1823"/>
        <v>913.7747679</v>
      </c>
      <c r="J1130" s="25">
        <v>0.02</v>
      </c>
      <c r="K1130" s="25">
        <v>0.0</v>
      </c>
      <c r="L1130" s="24" t="str">
        <f t="shared" ref="L1130:M1130" si="2502">IF(L1129="", "", 1 + IFERROR(MINIFS(OFFSET(L1130, -1, 0, -MIN(ROW()-2, $B1130), 1), OFFSET(L1130, -1, 0, -MIN(ROW()-2, $B1130), 1), "&gt;0"), L1129) + ROUND((L$2 * (LN(1 + $Z1130) ^ U$2) * (U$3 / 100)), 0))</f>
        <v/>
      </c>
      <c r="M1130" s="24">
        <f t="shared" si="2502"/>
        <v>57594</v>
      </c>
      <c r="N1130" s="24" t="str">
        <f t="shared" ref="N1130:O1130" si="2503">IF(N1129="", "", 1 + IFERROR(MINIFS(OFFSET(N1130, -1, 0, -MIN(ROW()-2, $B1130), 1), OFFSET(N1130, -1, 0, -MIN(ROW()-2, $B1130), 1), "&gt;0"), N1129) + ROUND(IFERROR(MINIFS(OFFSET(N1130, -1, 0, -MIN(ROW()-2, $B1130), 1), OFFSET(N1130, -1, 0, -MIN(ROW()-2, $B1130), 1), "&gt;0"), N1129) * ((LN(1 + $Z1130) ^ W$2) * (W$3 / 1000)), 0))</f>
        <v/>
      </c>
      <c r="O1130" s="24" t="str">
        <f t="shared" si="2503"/>
        <v/>
      </c>
      <c r="P1130" s="24">
        <f t="shared" ref="P1130:S1130" si="2504">L1130*$Y$2</f>
        <v>0</v>
      </c>
      <c r="Q1130" s="24">
        <f t="shared" si="2504"/>
        <v>14398.5</v>
      </c>
      <c r="R1130" s="24">
        <f t="shared" si="2504"/>
        <v>0</v>
      </c>
      <c r="S1130" s="24">
        <f t="shared" si="2504"/>
        <v>0</v>
      </c>
      <c r="T1130" s="24">
        <f t="shared" si="4"/>
        <v>24</v>
      </c>
      <c r="Z1130" s="25">
        <f t="shared" si="12"/>
        <v>2548.175599</v>
      </c>
    </row>
    <row r="1131">
      <c r="A1131" s="16" t="s">
        <v>3</v>
      </c>
      <c r="B1131" s="17">
        <v>230.0</v>
      </c>
      <c r="C1131" s="24">
        <f t="shared" si="1820"/>
        <v>19930010.08</v>
      </c>
      <c r="D1131" s="25">
        <v>0.05</v>
      </c>
      <c r="E1131" s="24">
        <f t="shared" si="1821"/>
        <v>1118.460316</v>
      </c>
      <c r="F1131" s="25">
        <v>0.02</v>
      </c>
      <c r="G1131" s="24">
        <f t="shared" si="1822"/>
        <v>2847144.297</v>
      </c>
      <c r="H1131" s="25">
        <v>0.05</v>
      </c>
      <c r="I1131" s="24">
        <f t="shared" si="1823"/>
        <v>932.0502633</v>
      </c>
      <c r="J1131" s="25">
        <v>0.02</v>
      </c>
      <c r="K1131" s="25">
        <v>0.0</v>
      </c>
      <c r="L1131" s="24" t="str">
        <f t="shared" ref="L1131:M1131" si="2505">IF(L1130="", "", 1 + IFERROR(MINIFS(OFFSET(L1131, -1, 0, -MIN(ROW()-2, $B1131), 1), OFFSET(L1131, -1, 0, -MIN(ROW()-2, $B1131), 1), "&gt;0"), L1130) + ROUND((L$2 * (LN(1 + $Z1131) ^ U$2) * (U$3 / 100)), 0))</f>
        <v/>
      </c>
      <c r="M1131" s="24">
        <f t="shared" si="2505"/>
        <v>57603</v>
      </c>
      <c r="N1131" s="24" t="str">
        <f t="shared" ref="N1131:O1131" si="2506">IF(N1130="", "", 1 + IFERROR(MINIFS(OFFSET(N1131, -1, 0, -MIN(ROW()-2, $B1131), 1), OFFSET(N1131, -1, 0, -MIN(ROW()-2, $B1131), 1), "&gt;0"), N1130) + ROUND(IFERROR(MINIFS(OFFSET(N1131, -1, 0, -MIN(ROW()-2, $B1131), 1), OFFSET(N1131, -1, 0, -MIN(ROW()-2, $B1131), 1), "&gt;0"), N1130) * ((LN(1 + $Z1131) ^ W$2) * (W$3 / 1000)), 0))</f>
        <v/>
      </c>
      <c r="O1131" s="24" t="str">
        <f t="shared" si="2506"/>
        <v/>
      </c>
      <c r="P1131" s="24">
        <f t="shared" ref="P1131:S1131" si="2507">L1131*$Y$2</f>
        <v>0</v>
      </c>
      <c r="Q1131" s="24">
        <f t="shared" si="2507"/>
        <v>14400.75</v>
      </c>
      <c r="R1131" s="24">
        <f t="shared" si="2507"/>
        <v>0</v>
      </c>
      <c r="S1131" s="24">
        <f t="shared" si="2507"/>
        <v>0</v>
      </c>
      <c r="T1131" s="24">
        <f t="shared" si="4"/>
        <v>24</v>
      </c>
      <c r="Z1131" s="25">
        <f t="shared" si="12"/>
        <v>2637.396745</v>
      </c>
    </row>
    <row r="1132">
      <c r="A1132" s="16" t="s">
        <v>3</v>
      </c>
      <c r="B1132" s="17">
        <v>231.0</v>
      </c>
      <c r="C1132" s="24">
        <f t="shared" si="1820"/>
        <v>20926510.58</v>
      </c>
      <c r="D1132" s="25">
        <v>0.05</v>
      </c>
      <c r="E1132" s="24">
        <f t="shared" si="1821"/>
        <v>1140.829522</v>
      </c>
      <c r="F1132" s="25">
        <v>0.02</v>
      </c>
      <c r="G1132" s="24">
        <f t="shared" si="1822"/>
        <v>2989501.512</v>
      </c>
      <c r="H1132" s="25">
        <v>0.05</v>
      </c>
      <c r="I1132" s="24">
        <f t="shared" si="1823"/>
        <v>950.6912686</v>
      </c>
      <c r="J1132" s="25">
        <v>0.02</v>
      </c>
      <c r="K1132" s="25">
        <v>0.0</v>
      </c>
      <c r="L1132" s="24" t="str">
        <f t="shared" ref="L1132:M1132" si="2508">IF(L1131="", "", 1 + IFERROR(MINIFS(OFFSET(L1132, -1, 0, -MIN(ROW()-2, $B1132), 1), OFFSET(L1132, -1, 0, -MIN(ROW()-2, $B1132), 1), "&gt;0"), L1131) + ROUND((L$2 * (LN(1 + $Z1132) ^ U$2) * (U$3 / 100)), 0))</f>
        <v/>
      </c>
      <c r="M1132" s="24">
        <f t="shared" si="2508"/>
        <v>57613</v>
      </c>
      <c r="N1132" s="24" t="str">
        <f t="shared" ref="N1132:O1132" si="2509">IF(N1131="", "", 1 + IFERROR(MINIFS(OFFSET(N1132, -1, 0, -MIN(ROW()-2, $B1132), 1), OFFSET(N1132, -1, 0, -MIN(ROW()-2, $B1132), 1), "&gt;0"), N1131) + ROUND(IFERROR(MINIFS(OFFSET(N1132, -1, 0, -MIN(ROW()-2, $B1132), 1), OFFSET(N1132, -1, 0, -MIN(ROW()-2, $B1132), 1), "&gt;0"), N1131) * ((LN(1 + $Z1132) ^ W$2) * (W$3 / 1000)), 0))</f>
        <v/>
      </c>
      <c r="O1132" s="24" t="str">
        <f t="shared" si="2509"/>
        <v/>
      </c>
      <c r="P1132" s="24">
        <f t="shared" ref="P1132:S1132" si="2510">L1132*$Y$2</f>
        <v>0</v>
      </c>
      <c r="Q1132" s="24">
        <f t="shared" si="2510"/>
        <v>14403.25</v>
      </c>
      <c r="R1132" s="24">
        <f t="shared" si="2510"/>
        <v>0</v>
      </c>
      <c r="S1132" s="24">
        <f t="shared" si="2510"/>
        <v>0</v>
      </c>
      <c r="T1132" s="24">
        <f t="shared" si="4"/>
        <v>24</v>
      </c>
      <c r="Z1132" s="25">
        <f t="shared" si="12"/>
        <v>2729.740632</v>
      </c>
    </row>
    <row r="1133">
      <c r="A1133" s="16" t="s">
        <v>3</v>
      </c>
      <c r="B1133" s="17">
        <v>232.0</v>
      </c>
      <c r="C1133" s="24">
        <f t="shared" si="1820"/>
        <v>21972836.11</v>
      </c>
      <c r="D1133" s="25">
        <v>0.05</v>
      </c>
      <c r="E1133" s="24">
        <f t="shared" si="1821"/>
        <v>1163.646113</v>
      </c>
      <c r="F1133" s="25">
        <v>0.02</v>
      </c>
      <c r="G1133" s="24">
        <f t="shared" si="1822"/>
        <v>3138976.588</v>
      </c>
      <c r="H1133" s="25">
        <v>0.05</v>
      </c>
      <c r="I1133" s="24">
        <f t="shared" si="1823"/>
        <v>969.7050939</v>
      </c>
      <c r="J1133" s="25">
        <v>0.02</v>
      </c>
      <c r="K1133" s="25">
        <v>0.0</v>
      </c>
      <c r="L1133" s="24" t="str">
        <f t="shared" ref="L1133:M1133" si="2511">IF(L1132="", "", 1 + IFERROR(MINIFS(OFFSET(L1133, -1, 0, -MIN(ROW()-2, $B1133), 1), OFFSET(L1133, -1, 0, -MIN(ROW()-2, $B1133), 1), "&gt;0"), L1132) + ROUND((L$2 * (LN(1 + $Z1133) ^ U$2) * (U$3 / 100)), 0))</f>
        <v/>
      </c>
      <c r="M1133" s="24">
        <f t="shared" si="2511"/>
        <v>57623</v>
      </c>
      <c r="N1133" s="24" t="str">
        <f t="shared" ref="N1133:O1133" si="2512">IF(N1132="", "", 1 + IFERROR(MINIFS(OFFSET(N1133, -1, 0, -MIN(ROW()-2, $B1133), 1), OFFSET(N1133, -1, 0, -MIN(ROW()-2, $B1133), 1), "&gt;0"), N1132) + ROUND(IFERROR(MINIFS(OFFSET(N1133, -1, 0, -MIN(ROW()-2, $B1133), 1), OFFSET(N1133, -1, 0, -MIN(ROW()-2, $B1133), 1), "&gt;0"), N1132) * ((LN(1 + $Z1133) ^ W$2) * (W$3 / 1000)), 0))</f>
        <v/>
      </c>
      <c r="O1133" s="24" t="str">
        <f t="shared" si="2512"/>
        <v/>
      </c>
      <c r="P1133" s="24">
        <f t="shared" ref="P1133:S1133" si="2513">L1133*$Y$2</f>
        <v>0</v>
      </c>
      <c r="Q1133" s="24">
        <f t="shared" si="2513"/>
        <v>14405.75</v>
      </c>
      <c r="R1133" s="24">
        <f t="shared" si="2513"/>
        <v>0</v>
      </c>
      <c r="S1133" s="24">
        <f t="shared" si="2513"/>
        <v>0</v>
      </c>
      <c r="T1133" s="24">
        <f t="shared" si="4"/>
        <v>24</v>
      </c>
      <c r="Z1133" s="25">
        <f t="shared" si="12"/>
        <v>2825.316554</v>
      </c>
    </row>
    <row r="1134">
      <c r="A1134" s="16" t="s">
        <v>3</v>
      </c>
      <c r="B1134" s="17">
        <v>233.0</v>
      </c>
      <c r="C1134" s="24">
        <f t="shared" si="1820"/>
        <v>23071477.92</v>
      </c>
      <c r="D1134" s="25">
        <v>0.05</v>
      </c>
      <c r="E1134" s="24">
        <f t="shared" si="1821"/>
        <v>1186.919035</v>
      </c>
      <c r="F1134" s="25">
        <v>0.02</v>
      </c>
      <c r="G1134" s="24">
        <f t="shared" si="1822"/>
        <v>3295925.417</v>
      </c>
      <c r="H1134" s="25">
        <v>0.05</v>
      </c>
      <c r="I1134" s="24">
        <f t="shared" si="1823"/>
        <v>989.0991958</v>
      </c>
      <c r="J1134" s="25">
        <v>0.02</v>
      </c>
      <c r="K1134" s="25">
        <v>0.0</v>
      </c>
      <c r="L1134" s="24" t="str">
        <f t="shared" ref="L1134:M1134" si="2514">IF(L1133="", "", 1 + IFERROR(MINIFS(OFFSET(L1134, -1, 0, -MIN(ROW()-2, $B1134), 1), OFFSET(L1134, -1, 0, -MIN(ROW()-2, $B1134), 1), "&gt;0"), L1133) + ROUND((L$2 * (LN(1 + $Z1134) ^ U$2) * (U$3 / 100)), 0))</f>
        <v/>
      </c>
      <c r="M1134" s="24">
        <f t="shared" si="2514"/>
        <v>57633</v>
      </c>
      <c r="N1134" s="24" t="str">
        <f t="shared" ref="N1134:O1134" si="2515">IF(N1133="", "", 1 + IFERROR(MINIFS(OFFSET(N1134, -1, 0, -MIN(ROW()-2, $B1134), 1), OFFSET(N1134, -1, 0, -MIN(ROW()-2, $B1134), 1), "&gt;0"), N1133) + ROUND(IFERROR(MINIFS(OFFSET(N1134, -1, 0, -MIN(ROW()-2, $B1134), 1), OFFSET(N1134, -1, 0, -MIN(ROW()-2, $B1134), 1), "&gt;0"), N1133) * ((LN(1 + $Z1134) ^ W$2) * (W$3 / 1000)), 0))</f>
        <v/>
      </c>
      <c r="O1134" s="24" t="str">
        <f t="shared" si="2515"/>
        <v/>
      </c>
      <c r="P1134" s="24">
        <f t="shared" ref="P1134:S1134" si="2516">L1134*$Y$2</f>
        <v>0</v>
      </c>
      <c r="Q1134" s="24">
        <f t="shared" si="2516"/>
        <v>14408.25</v>
      </c>
      <c r="R1134" s="24">
        <f t="shared" si="2516"/>
        <v>0</v>
      </c>
      <c r="S1134" s="24">
        <f t="shared" si="2516"/>
        <v>0</v>
      </c>
      <c r="T1134" s="24">
        <f t="shared" si="4"/>
        <v>24</v>
      </c>
      <c r="Z1134" s="25">
        <f t="shared" si="12"/>
        <v>2924.237633</v>
      </c>
    </row>
    <row r="1135">
      <c r="A1135" s="16" t="s">
        <v>3</v>
      </c>
      <c r="B1135" s="17">
        <v>234.0</v>
      </c>
      <c r="C1135" s="24">
        <f t="shared" si="1820"/>
        <v>24225051.82</v>
      </c>
      <c r="D1135" s="25">
        <v>0.05</v>
      </c>
      <c r="E1135" s="24">
        <f t="shared" si="1821"/>
        <v>1210.657416</v>
      </c>
      <c r="F1135" s="25">
        <v>0.02</v>
      </c>
      <c r="G1135" s="24">
        <f t="shared" si="1822"/>
        <v>3460721.688</v>
      </c>
      <c r="H1135" s="25">
        <v>0.05</v>
      </c>
      <c r="I1135" s="24">
        <f t="shared" si="1823"/>
        <v>1008.88118</v>
      </c>
      <c r="J1135" s="25">
        <v>0.02</v>
      </c>
      <c r="K1135" s="25">
        <v>0.0</v>
      </c>
      <c r="L1135" s="24" t="str">
        <f t="shared" ref="L1135:M1135" si="2517">IF(L1134="", "", 1 + IFERROR(MINIFS(OFFSET(L1135, -1, 0, -MIN(ROW()-2, $B1135), 1), OFFSET(L1135, -1, 0, -MIN(ROW()-2, $B1135), 1), "&gt;0"), L1134) + ROUND((L$2 * (LN(1 + $Z1135) ^ U$2) * (U$3 / 100)), 0))</f>
        <v/>
      </c>
      <c r="M1135" s="24">
        <f t="shared" si="2517"/>
        <v>57643</v>
      </c>
      <c r="N1135" s="24" t="str">
        <f t="shared" ref="N1135:O1135" si="2518">IF(N1134="", "", 1 + IFERROR(MINIFS(OFFSET(N1135, -1, 0, -MIN(ROW()-2, $B1135), 1), OFFSET(N1135, -1, 0, -MIN(ROW()-2, $B1135), 1), "&gt;0"), N1134) + ROUND(IFERROR(MINIFS(OFFSET(N1135, -1, 0, -MIN(ROW()-2, $B1135), 1), OFFSET(N1135, -1, 0, -MIN(ROW()-2, $B1135), 1), "&gt;0"), N1134) * ((LN(1 + $Z1135) ^ W$2) * (W$3 / 1000)), 0))</f>
        <v/>
      </c>
      <c r="O1135" s="24" t="str">
        <f t="shared" si="2518"/>
        <v/>
      </c>
      <c r="P1135" s="24">
        <f t="shared" ref="P1135:S1135" si="2519">L1135*$Y$2</f>
        <v>0</v>
      </c>
      <c r="Q1135" s="24">
        <f t="shared" si="2519"/>
        <v>14410.75</v>
      </c>
      <c r="R1135" s="24">
        <f t="shared" si="2519"/>
        <v>0</v>
      </c>
      <c r="S1135" s="24">
        <f t="shared" si="2519"/>
        <v>0</v>
      </c>
      <c r="T1135" s="24">
        <f t="shared" si="4"/>
        <v>24</v>
      </c>
      <c r="Z1135" s="25">
        <f t="shared" si="12"/>
        <v>3026.62095</v>
      </c>
    </row>
    <row r="1136">
      <c r="A1136" s="16" t="s">
        <v>3</v>
      </c>
      <c r="B1136" s="17">
        <v>235.0</v>
      </c>
      <c r="C1136" s="24">
        <f t="shared" si="1820"/>
        <v>25436304.41</v>
      </c>
      <c r="D1136" s="25">
        <v>0.05</v>
      </c>
      <c r="E1136" s="24">
        <f t="shared" si="1821"/>
        <v>1234.870564</v>
      </c>
      <c r="F1136" s="25">
        <v>0.02</v>
      </c>
      <c r="G1136" s="24">
        <f t="shared" si="1822"/>
        <v>3633757.772</v>
      </c>
      <c r="H1136" s="25">
        <v>0.05</v>
      </c>
      <c r="I1136" s="24">
        <f t="shared" si="1823"/>
        <v>1029.058803</v>
      </c>
      <c r="J1136" s="25">
        <v>0.02</v>
      </c>
      <c r="K1136" s="25">
        <v>0.0</v>
      </c>
      <c r="L1136" s="24" t="str">
        <f t="shared" ref="L1136:M1136" si="2520">IF(L1135="", "", 1 + IFERROR(MINIFS(OFFSET(L1136, -1, 0, -MIN(ROW()-2, $B1136), 1), OFFSET(L1136, -1, 0, -MIN(ROW()-2, $B1136), 1), "&gt;0"), L1135) + ROUND((L$2 * (LN(1 + $Z1136) ^ U$2) * (U$3 / 100)), 0))</f>
        <v/>
      </c>
      <c r="M1136" s="24">
        <f t="shared" si="2520"/>
        <v>57653</v>
      </c>
      <c r="N1136" s="24" t="str">
        <f t="shared" ref="N1136:O1136" si="2521">IF(N1135="", "", 1 + IFERROR(MINIFS(OFFSET(N1136, -1, 0, -MIN(ROW()-2, $B1136), 1), OFFSET(N1136, -1, 0, -MIN(ROW()-2, $B1136), 1), "&gt;0"), N1135) + ROUND(IFERROR(MINIFS(OFFSET(N1136, -1, 0, -MIN(ROW()-2, $B1136), 1), OFFSET(N1136, -1, 0, -MIN(ROW()-2, $B1136), 1), "&gt;0"), N1135) * ((LN(1 + $Z1136) ^ W$2) * (W$3 / 1000)), 0))</f>
        <v/>
      </c>
      <c r="O1136" s="24" t="str">
        <f t="shared" si="2521"/>
        <v/>
      </c>
      <c r="P1136" s="24">
        <f t="shared" ref="P1136:S1136" si="2522">L1136*$Y$2</f>
        <v>0</v>
      </c>
      <c r="Q1136" s="24">
        <f t="shared" si="2522"/>
        <v>14413.25</v>
      </c>
      <c r="R1136" s="24">
        <f t="shared" si="2522"/>
        <v>0</v>
      </c>
      <c r="S1136" s="24">
        <f t="shared" si="2522"/>
        <v>0</v>
      </c>
      <c r="T1136" s="24">
        <f t="shared" si="4"/>
        <v>25</v>
      </c>
      <c r="Z1136" s="25">
        <f t="shared" si="12"/>
        <v>3132.587683</v>
      </c>
    </row>
    <row r="1137">
      <c r="A1137" s="16" t="s">
        <v>3</v>
      </c>
      <c r="B1137" s="17">
        <v>236.0</v>
      </c>
      <c r="C1137" s="24">
        <f t="shared" si="1820"/>
        <v>26708119.63</v>
      </c>
      <c r="D1137" s="25">
        <v>0.05</v>
      </c>
      <c r="E1137" s="24">
        <f t="shared" si="1821"/>
        <v>1259.567975</v>
      </c>
      <c r="F1137" s="25">
        <v>0.02</v>
      </c>
      <c r="G1137" s="24">
        <f t="shared" si="1822"/>
        <v>3815445.661</v>
      </c>
      <c r="H1137" s="25">
        <v>0.05</v>
      </c>
      <c r="I1137" s="24">
        <f t="shared" si="1823"/>
        <v>1049.639979</v>
      </c>
      <c r="J1137" s="25">
        <v>0.02</v>
      </c>
      <c r="K1137" s="25">
        <v>0.0</v>
      </c>
      <c r="L1137" s="24" t="str">
        <f t="shared" ref="L1137:M1137" si="2523">IF(L1136="", "", 1 + IFERROR(MINIFS(OFFSET(L1137, -1, 0, -MIN(ROW()-2, $B1137), 1), OFFSET(L1137, -1, 0, -MIN(ROW()-2, $B1137), 1), "&gt;0"), L1136) + ROUND((L$2 * (LN(1 + $Z1137) ^ U$2) * (U$3 / 100)), 0))</f>
        <v/>
      </c>
      <c r="M1137" s="24">
        <f t="shared" si="2523"/>
        <v>57663</v>
      </c>
      <c r="N1137" s="24" t="str">
        <f t="shared" ref="N1137:O1137" si="2524">IF(N1136="", "", 1 + IFERROR(MINIFS(OFFSET(N1137, -1, 0, -MIN(ROW()-2, $B1137), 1), OFFSET(N1137, -1, 0, -MIN(ROW()-2, $B1137), 1), "&gt;0"), N1136) + ROUND(IFERROR(MINIFS(OFFSET(N1137, -1, 0, -MIN(ROW()-2, $B1137), 1), OFFSET(N1137, -1, 0, -MIN(ROW()-2, $B1137), 1), "&gt;0"), N1136) * ((LN(1 + $Z1137) ^ W$2) * (W$3 / 1000)), 0))</f>
        <v/>
      </c>
      <c r="O1137" s="24" t="str">
        <f t="shared" si="2524"/>
        <v/>
      </c>
      <c r="P1137" s="24">
        <f t="shared" ref="P1137:S1137" si="2525">L1137*$Y$2</f>
        <v>0</v>
      </c>
      <c r="Q1137" s="24">
        <f t="shared" si="2525"/>
        <v>14415.75</v>
      </c>
      <c r="R1137" s="24">
        <f t="shared" si="2525"/>
        <v>0</v>
      </c>
      <c r="S1137" s="24">
        <f t="shared" si="2525"/>
        <v>0</v>
      </c>
      <c r="T1137" s="24">
        <f t="shared" si="4"/>
        <v>25</v>
      </c>
      <c r="Z1137" s="25">
        <f t="shared" si="12"/>
        <v>3242.263252</v>
      </c>
    </row>
    <row r="1138">
      <c r="A1138" s="16" t="s">
        <v>3</v>
      </c>
      <c r="B1138" s="17">
        <v>237.0</v>
      </c>
      <c r="C1138" s="24">
        <f t="shared" si="1820"/>
        <v>28043525.61</v>
      </c>
      <c r="D1138" s="25">
        <v>0.05</v>
      </c>
      <c r="E1138" s="24">
        <f t="shared" si="1821"/>
        <v>1284.759335</v>
      </c>
      <c r="F1138" s="25">
        <v>0.02</v>
      </c>
      <c r="G1138" s="24">
        <f t="shared" si="1822"/>
        <v>4006217.944</v>
      </c>
      <c r="H1138" s="25">
        <v>0.05</v>
      </c>
      <c r="I1138" s="24">
        <f t="shared" si="1823"/>
        <v>1070.632779</v>
      </c>
      <c r="J1138" s="25">
        <v>0.02</v>
      </c>
      <c r="K1138" s="25">
        <v>0.0</v>
      </c>
      <c r="L1138" s="24" t="str">
        <f t="shared" ref="L1138:M1138" si="2526">IF(L1137="", "", 1 + IFERROR(MINIFS(OFFSET(L1138, -1, 0, -MIN(ROW()-2, $B1138), 1), OFFSET(L1138, -1, 0, -MIN(ROW()-2, $B1138), 1), "&gt;0"), L1137) + ROUND((L$2 * (LN(1 + $Z1138) ^ U$2) * (U$3 / 100)), 0))</f>
        <v/>
      </c>
      <c r="M1138" s="24">
        <f t="shared" si="2526"/>
        <v>57673</v>
      </c>
      <c r="N1138" s="24" t="str">
        <f t="shared" ref="N1138:O1138" si="2527">IF(N1137="", "", 1 + IFERROR(MINIFS(OFFSET(N1138, -1, 0, -MIN(ROW()-2, $B1138), 1), OFFSET(N1138, -1, 0, -MIN(ROW()-2, $B1138), 1), "&gt;0"), N1137) + ROUND(IFERROR(MINIFS(OFFSET(N1138, -1, 0, -MIN(ROW()-2, $B1138), 1), OFFSET(N1138, -1, 0, -MIN(ROW()-2, $B1138), 1), "&gt;0"), N1137) * ((LN(1 + $Z1138) ^ W$2) * (W$3 / 1000)), 0))</f>
        <v/>
      </c>
      <c r="O1138" s="24" t="str">
        <f t="shared" si="2527"/>
        <v/>
      </c>
      <c r="P1138" s="24">
        <f t="shared" ref="P1138:S1138" si="2528">L1138*$Y$2</f>
        <v>0</v>
      </c>
      <c r="Q1138" s="24">
        <f t="shared" si="2528"/>
        <v>14418.25</v>
      </c>
      <c r="R1138" s="24">
        <f t="shared" si="2528"/>
        <v>0</v>
      </c>
      <c r="S1138" s="24">
        <f t="shared" si="2528"/>
        <v>0</v>
      </c>
      <c r="T1138" s="24">
        <f t="shared" si="4"/>
        <v>25</v>
      </c>
      <c r="Z1138" s="25">
        <f t="shared" si="12"/>
        <v>3355.777466</v>
      </c>
    </row>
    <row r="1139">
      <c r="A1139" s="16" t="s">
        <v>3</v>
      </c>
      <c r="B1139" s="17">
        <v>238.0</v>
      </c>
      <c r="C1139" s="24">
        <f t="shared" si="1820"/>
        <v>29445701.89</v>
      </c>
      <c r="D1139" s="25">
        <v>0.05</v>
      </c>
      <c r="E1139" s="24">
        <f t="shared" si="1821"/>
        <v>1310.454521</v>
      </c>
      <c r="F1139" s="25">
        <v>0.02</v>
      </c>
      <c r="G1139" s="24">
        <f t="shared" si="1822"/>
        <v>4206528.841</v>
      </c>
      <c r="H1139" s="25">
        <v>0.05</v>
      </c>
      <c r="I1139" s="24">
        <f t="shared" si="1823"/>
        <v>1092.045435</v>
      </c>
      <c r="J1139" s="25">
        <v>0.02</v>
      </c>
      <c r="K1139" s="25">
        <v>0.0</v>
      </c>
      <c r="L1139" s="24" t="str">
        <f t="shared" ref="L1139:M1139" si="2529">IF(L1138="", "", 1 + IFERROR(MINIFS(OFFSET(L1139, -1, 0, -MIN(ROW()-2, $B1139), 1), OFFSET(L1139, -1, 0, -MIN(ROW()-2, $B1139), 1), "&gt;0"), L1138) + ROUND((L$2 * (LN(1 + $Z1139) ^ U$2) * (U$3 / 100)), 0))</f>
        <v/>
      </c>
      <c r="M1139" s="24">
        <f t="shared" si="2529"/>
        <v>57683</v>
      </c>
      <c r="N1139" s="24" t="str">
        <f t="shared" ref="N1139:O1139" si="2530">IF(N1138="", "", 1 + IFERROR(MINIFS(OFFSET(N1139, -1, 0, -MIN(ROW()-2, $B1139), 1), OFFSET(N1139, -1, 0, -MIN(ROW()-2, $B1139), 1), "&gt;0"), N1138) + ROUND(IFERROR(MINIFS(OFFSET(N1139, -1, 0, -MIN(ROW()-2, $B1139), 1), OFFSET(N1139, -1, 0, -MIN(ROW()-2, $B1139), 1), "&gt;0"), N1138) * ((LN(1 + $Z1139) ^ W$2) * (W$3 / 1000)), 0))</f>
        <v/>
      </c>
      <c r="O1139" s="24" t="str">
        <f t="shared" si="2530"/>
        <v/>
      </c>
      <c r="P1139" s="24">
        <f t="shared" ref="P1139:S1139" si="2531">L1139*$Y$2</f>
        <v>0</v>
      </c>
      <c r="Q1139" s="24">
        <f t="shared" si="2531"/>
        <v>14420.75</v>
      </c>
      <c r="R1139" s="24">
        <f t="shared" si="2531"/>
        <v>0</v>
      </c>
      <c r="S1139" s="24">
        <f t="shared" si="2531"/>
        <v>0</v>
      </c>
      <c r="T1139" s="24">
        <f t="shared" si="4"/>
        <v>25</v>
      </c>
      <c r="Z1139" s="25">
        <f t="shared" si="12"/>
        <v>3473.264677</v>
      </c>
    </row>
    <row r="1140">
      <c r="A1140" s="16" t="s">
        <v>3</v>
      </c>
      <c r="B1140" s="17">
        <v>239.0</v>
      </c>
      <c r="C1140" s="24">
        <f t="shared" si="1820"/>
        <v>30917986.98</v>
      </c>
      <c r="D1140" s="25">
        <v>0.05</v>
      </c>
      <c r="E1140" s="24">
        <f t="shared" si="1821"/>
        <v>1336.663612</v>
      </c>
      <c r="F1140" s="25">
        <v>0.02</v>
      </c>
      <c r="G1140" s="24">
        <f t="shared" si="1822"/>
        <v>4416855.283</v>
      </c>
      <c r="H1140" s="25">
        <v>0.05</v>
      </c>
      <c r="I1140" s="24">
        <f t="shared" si="1823"/>
        <v>1113.886343</v>
      </c>
      <c r="J1140" s="25">
        <v>0.02</v>
      </c>
      <c r="K1140" s="25">
        <v>0.0</v>
      </c>
      <c r="L1140" s="24" t="str">
        <f t="shared" ref="L1140:M1140" si="2532">IF(L1139="", "", 1 + IFERROR(MINIFS(OFFSET(L1140, -1, 0, -MIN(ROW()-2, $B1140), 1), OFFSET(L1140, -1, 0, -MIN(ROW()-2, $B1140), 1), "&gt;0"), L1139) + ROUND((L$2 * (LN(1 + $Z1140) ^ U$2) * (U$3 / 100)), 0))</f>
        <v/>
      </c>
      <c r="M1140" s="24">
        <f t="shared" si="2532"/>
        <v>57693</v>
      </c>
      <c r="N1140" s="24" t="str">
        <f t="shared" ref="N1140:O1140" si="2533">IF(N1139="", "", 1 + IFERROR(MINIFS(OFFSET(N1140, -1, 0, -MIN(ROW()-2, $B1140), 1), OFFSET(N1140, -1, 0, -MIN(ROW()-2, $B1140), 1), "&gt;0"), N1139) + ROUND(IFERROR(MINIFS(OFFSET(N1140, -1, 0, -MIN(ROW()-2, $B1140), 1), OFFSET(N1140, -1, 0, -MIN(ROW()-2, $B1140), 1), "&gt;0"), N1139) * ((LN(1 + $Z1140) ^ W$2) * (W$3 / 1000)), 0))</f>
        <v/>
      </c>
      <c r="O1140" s="24" t="str">
        <f t="shared" si="2533"/>
        <v/>
      </c>
      <c r="P1140" s="24">
        <f t="shared" ref="P1140:S1140" si="2534">L1140*$Y$2</f>
        <v>0</v>
      </c>
      <c r="Q1140" s="24">
        <f t="shared" si="2534"/>
        <v>14423.25</v>
      </c>
      <c r="R1140" s="24">
        <f t="shared" si="2534"/>
        <v>0</v>
      </c>
      <c r="S1140" s="24">
        <f t="shared" si="2534"/>
        <v>0</v>
      </c>
      <c r="T1140" s="24">
        <f t="shared" si="4"/>
        <v>25</v>
      </c>
      <c r="Z1140" s="25">
        <f t="shared" si="12"/>
        <v>3594.863941</v>
      </c>
    </row>
    <row r="1141">
      <c r="A1141" s="16" t="s">
        <v>3</v>
      </c>
      <c r="B1141" s="17">
        <v>240.0</v>
      </c>
      <c r="C1141" s="24">
        <f t="shared" si="1820"/>
        <v>32463886.33</v>
      </c>
      <c r="D1141" s="25">
        <v>0.05</v>
      </c>
      <c r="E1141" s="24">
        <f t="shared" si="1821"/>
        <v>1363.396884</v>
      </c>
      <c r="F1141" s="25">
        <v>0.02</v>
      </c>
      <c r="G1141" s="24">
        <f t="shared" si="1822"/>
        <v>4637698.047</v>
      </c>
      <c r="H1141" s="25">
        <v>0.05</v>
      </c>
      <c r="I1141" s="24">
        <f t="shared" si="1823"/>
        <v>1136.16407</v>
      </c>
      <c r="J1141" s="25">
        <v>0.02</v>
      </c>
      <c r="K1141" s="25">
        <v>0.0</v>
      </c>
      <c r="L1141" s="24" t="str">
        <f t="shared" ref="L1141:M1141" si="2535">IF(L1140="", "", 1 + IFERROR(MINIFS(OFFSET(L1141, -1, 0, -MIN(ROW()-2, $B1141), 1), OFFSET(L1141, -1, 0, -MIN(ROW()-2, $B1141), 1), "&gt;0"), L1140) + ROUND((L$2 * (LN(1 + $Z1141) ^ U$2) * (U$3 / 100)), 0))</f>
        <v/>
      </c>
      <c r="M1141" s="24">
        <f t="shared" si="2535"/>
        <v>57703</v>
      </c>
      <c r="N1141" s="24" t="str">
        <f t="shared" ref="N1141:O1141" si="2536">IF(N1140="", "", 1 + IFERROR(MINIFS(OFFSET(N1141, -1, 0, -MIN(ROW()-2, $B1141), 1), OFFSET(N1141, -1, 0, -MIN(ROW()-2, $B1141), 1), "&gt;0"), N1140) + ROUND(IFERROR(MINIFS(OFFSET(N1141, -1, 0, -MIN(ROW()-2, $B1141), 1), OFFSET(N1141, -1, 0, -MIN(ROW()-2, $B1141), 1), "&gt;0"), N1140) * ((LN(1 + $Z1141) ^ W$2) * (W$3 / 1000)), 0))</f>
        <v/>
      </c>
      <c r="O1141" s="24" t="str">
        <f t="shared" si="2536"/>
        <v/>
      </c>
      <c r="P1141" s="24">
        <f t="shared" ref="P1141:S1141" si="2537">L1141*$Y$2</f>
        <v>0</v>
      </c>
      <c r="Q1141" s="24">
        <f t="shared" si="2537"/>
        <v>14425.75</v>
      </c>
      <c r="R1141" s="24">
        <f t="shared" si="2537"/>
        <v>0</v>
      </c>
      <c r="S1141" s="24">
        <f t="shared" si="2537"/>
        <v>0</v>
      </c>
      <c r="T1141" s="24">
        <f t="shared" si="4"/>
        <v>25</v>
      </c>
      <c r="Z1141" s="25">
        <f t="shared" si="12"/>
        <v>3720.719179</v>
      </c>
    </row>
    <row r="1142">
      <c r="A1142" s="16" t="s">
        <v>3</v>
      </c>
      <c r="B1142" s="17">
        <v>241.0</v>
      </c>
      <c r="C1142" s="24">
        <f t="shared" si="1820"/>
        <v>34087080.65</v>
      </c>
      <c r="D1142" s="25">
        <v>0.05</v>
      </c>
      <c r="E1142" s="24">
        <f t="shared" si="1821"/>
        <v>1390.664822</v>
      </c>
      <c r="F1142" s="25">
        <v>0.02</v>
      </c>
      <c r="G1142" s="24">
        <f t="shared" si="1822"/>
        <v>4869582.95</v>
      </c>
      <c r="H1142" s="25">
        <v>0.05</v>
      </c>
      <c r="I1142" s="24">
        <f t="shared" si="1823"/>
        <v>1158.887352</v>
      </c>
      <c r="J1142" s="25">
        <v>0.02</v>
      </c>
      <c r="K1142" s="25">
        <v>0.0</v>
      </c>
      <c r="L1142" s="24" t="str">
        <f t="shared" ref="L1142:M1142" si="2538">IF(L1141="", "", 1 + IFERROR(MINIFS(OFFSET(L1142, -1, 0, -MIN(ROW()-2, $B1142), 1), OFFSET(L1142, -1, 0, -MIN(ROW()-2, $B1142), 1), "&gt;0"), L1141) + ROUND((L$2 * (LN(1 + $Z1142) ^ U$2) * (U$3 / 100)), 0))</f>
        <v/>
      </c>
      <c r="M1142" s="24">
        <f t="shared" si="2538"/>
        <v>57713</v>
      </c>
      <c r="N1142" s="24" t="str">
        <f t="shared" ref="N1142:O1142" si="2539">IF(N1141="", "", 1 + IFERROR(MINIFS(OFFSET(N1142, -1, 0, -MIN(ROW()-2, $B1142), 1), OFFSET(N1142, -1, 0, -MIN(ROW()-2, $B1142), 1), "&gt;0"), N1141) + ROUND(IFERROR(MINIFS(OFFSET(N1142, -1, 0, -MIN(ROW()-2, $B1142), 1), OFFSET(N1142, -1, 0, -MIN(ROW()-2, $B1142), 1), "&gt;0"), N1141) * ((LN(1 + $Z1142) ^ W$2) * (W$3 / 1000)), 0))</f>
        <v/>
      </c>
      <c r="O1142" s="24" t="str">
        <f t="shared" si="2539"/>
        <v/>
      </c>
      <c r="P1142" s="24">
        <f t="shared" ref="P1142:S1142" si="2540">L1142*$Y$2</f>
        <v>0</v>
      </c>
      <c r="Q1142" s="24">
        <f t="shared" si="2540"/>
        <v>14428.25</v>
      </c>
      <c r="R1142" s="24">
        <f t="shared" si="2540"/>
        <v>0</v>
      </c>
      <c r="S1142" s="24">
        <f t="shared" si="2540"/>
        <v>0</v>
      </c>
      <c r="T1142" s="24">
        <f t="shared" si="4"/>
        <v>25</v>
      </c>
      <c r="Z1142" s="25">
        <f t="shared" si="12"/>
        <v>3850.97935</v>
      </c>
    </row>
    <row r="1143">
      <c r="A1143" s="16" t="s">
        <v>3</v>
      </c>
      <c r="B1143" s="17">
        <v>242.0</v>
      </c>
      <c r="C1143" s="24">
        <f t="shared" si="1820"/>
        <v>35791434.68</v>
      </c>
      <c r="D1143" s="25">
        <v>0.05</v>
      </c>
      <c r="E1143" s="24">
        <f t="shared" si="1821"/>
        <v>1418.478118</v>
      </c>
      <c r="F1143" s="25">
        <v>0.02</v>
      </c>
      <c r="G1143" s="24">
        <f t="shared" si="1822"/>
        <v>5113062.097</v>
      </c>
      <c r="H1143" s="25">
        <v>0.05</v>
      </c>
      <c r="I1143" s="24">
        <f t="shared" si="1823"/>
        <v>1182.065099</v>
      </c>
      <c r="J1143" s="25">
        <v>0.02</v>
      </c>
      <c r="K1143" s="25">
        <v>0.0</v>
      </c>
      <c r="L1143" s="24" t="str">
        <f t="shared" ref="L1143:M1143" si="2541">IF(L1142="", "", 1 + IFERROR(MINIFS(OFFSET(L1143, -1, 0, -MIN(ROW()-2, $B1143), 1), OFFSET(L1143, -1, 0, -MIN(ROW()-2, $B1143), 1), "&gt;0"), L1142) + ROUND((L$2 * (LN(1 + $Z1143) ^ U$2) * (U$3 / 100)), 0))</f>
        <v/>
      </c>
      <c r="M1143" s="24">
        <f t="shared" si="2541"/>
        <v>57723</v>
      </c>
      <c r="N1143" s="24" t="str">
        <f t="shared" ref="N1143:O1143" si="2542">IF(N1142="", "", 1 + IFERROR(MINIFS(OFFSET(N1143, -1, 0, -MIN(ROW()-2, $B1143), 1), OFFSET(N1143, -1, 0, -MIN(ROW()-2, $B1143), 1), "&gt;0"), N1142) + ROUND(IFERROR(MINIFS(OFFSET(N1143, -1, 0, -MIN(ROW()-2, $B1143), 1), OFFSET(N1143, -1, 0, -MIN(ROW()-2, $B1143), 1), "&gt;0"), N1142) * ((LN(1 + $Z1143) ^ W$2) * (W$3 / 1000)), 0))</f>
        <v/>
      </c>
      <c r="O1143" s="24" t="str">
        <f t="shared" si="2542"/>
        <v/>
      </c>
      <c r="P1143" s="24">
        <f t="shared" ref="P1143:S1143" si="2543">L1143*$Y$2</f>
        <v>0</v>
      </c>
      <c r="Q1143" s="24">
        <f t="shared" si="2543"/>
        <v>14430.75</v>
      </c>
      <c r="R1143" s="24">
        <f t="shared" si="2543"/>
        <v>0</v>
      </c>
      <c r="S1143" s="24">
        <f t="shared" si="2543"/>
        <v>0</v>
      </c>
      <c r="T1143" s="24">
        <f t="shared" si="4"/>
        <v>25</v>
      </c>
      <c r="Z1143" s="25">
        <f t="shared" si="12"/>
        <v>3985.798628</v>
      </c>
    </row>
    <row r="1144">
      <c r="A1144" s="16" t="s">
        <v>3</v>
      </c>
      <c r="B1144" s="17">
        <v>243.0</v>
      </c>
      <c r="C1144" s="24">
        <f t="shared" si="1820"/>
        <v>37581006.41</v>
      </c>
      <c r="D1144" s="25">
        <v>0.05</v>
      </c>
      <c r="E1144" s="24">
        <f t="shared" si="1821"/>
        <v>1446.847681</v>
      </c>
      <c r="F1144" s="25">
        <v>0.02</v>
      </c>
      <c r="G1144" s="24">
        <f t="shared" si="1822"/>
        <v>5368715.202</v>
      </c>
      <c r="H1144" s="25">
        <v>0.05</v>
      </c>
      <c r="I1144" s="24">
        <f t="shared" si="1823"/>
        <v>1205.706401</v>
      </c>
      <c r="J1144" s="25">
        <v>0.02</v>
      </c>
      <c r="K1144" s="25">
        <v>0.0</v>
      </c>
      <c r="L1144" s="24" t="str">
        <f t="shared" ref="L1144:M1144" si="2544">IF(L1143="", "", 1 + IFERROR(MINIFS(OFFSET(L1144, -1, 0, -MIN(ROW()-2, $B1144), 1), OFFSET(L1144, -1, 0, -MIN(ROW()-2, $B1144), 1), "&gt;0"), L1143) + ROUND((L$2 * (LN(1 + $Z1144) ^ U$2) * (U$3 / 100)), 0))</f>
        <v/>
      </c>
      <c r="M1144" s="24">
        <f t="shared" si="2544"/>
        <v>57733</v>
      </c>
      <c r="N1144" s="24" t="str">
        <f t="shared" ref="N1144:O1144" si="2545">IF(N1143="", "", 1 + IFERROR(MINIFS(OFFSET(N1144, -1, 0, -MIN(ROW()-2, $B1144), 1), OFFSET(N1144, -1, 0, -MIN(ROW()-2, $B1144), 1), "&gt;0"), N1143) + ROUND(IFERROR(MINIFS(OFFSET(N1144, -1, 0, -MIN(ROW()-2, $B1144), 1), OFFSET(N1144, -1, 0, -MIN(ROW()-2, $B1144), 1), "&gt;0"), N1143) * ((LN(1 + $Z1144) ^ W$2) * (W$3 / 1000)), 0))</f>
        <v/>
      </c>
      <c r="O1144" s="24" t="str">
        <f t="shared" si="2545"/>
        <v/>
      </c>
      <c r="P1144" s="24">
        <f t="shared" ref="P1144:S1144" si="2546">L1144*$Y$2</f>
        <v>0</v>
      </c>
      <c r="Q1144" s="24">
        <f t="shared" si="2546"/>
        <v>14433.25</v>
      </c>
      <c r="R1144" s="24">
        <f t="shared" si="2546"/>
        <v>0</v>
      </c>
      <c r="S1144" s="24">
        <f t="shared" si="2546"/>
        <v>0</v>
      </c>
      <c r="T1144" s="24">
        <f t="shared" si="4"/>
        <v>25</v>
      </c>
      <c r="Z1144" s="25">
        <f t="shared" si="12"/>
        <v>4125.33658</v>
      </c>
    </row>
    <row r="1145">
      <c r="A1145" s="16" t="s">
        <v>3</v>
      </c>
      <c r="B1145" s="17">
        <v>244.0</v>
      </c>
      <c r="C1145" s="24">
        <f t="shared" si="1820"/>
        <v>39460056.73</v>
      </c>
      <c r="D1145" s="25">
        <v>0.05</v>
      </c>
      <c r="E1145" s="24">
        <f t="shared" si="1821"/>
        <v>1475.784634</v>
      </c>
      <c r="F1145" s="25">
        <v>0.02</v>
      </c>
      <c r="G1145" s="24">
        <f t="shared" si="1822"/>
        <v>5637150.962</v>
      </c>
      <c r="H1145" s="25">
        <v>0.05</v>
      </c>
      <c r="I1145" s="24">
        <f t="shared" si="1823"/>
        <v>1229.820529</v>
      </c>
      <c r="J1145" s="25">
        <v>0.02</v>
      </c>
      <c r="K1145" s="25">
        <v>0.0</v>
      </c>
      <c r="L1145" s="24" t="str">
        <f t="shared" ref="L1145:M1145" si="2547">IF(L1144="", "", 1 + IFERROR(MINIFS(OFFSET(L1145, -1, 0, -MIN(ROW()-2, $B1145), 1), OFFSET(L1145, -1, 0, -MIN(ROW()-2, $B1145), 1), "&gt;0"), L1144) + ROUND((L$2 * (LN(1 + $Z1145) ^ U$2) * (U$3 / 100)), 0))</f>
        <v/>
      </c>
      <c r="M1145" s="24">
        <f t="shared" si="2547"/>
        <v>57743</v>
      </c>
      <c r="N1145" s="24" t="str">
        <f t="shared" ref="N1145:O1145" si="2548">IF(N1144="", "", 1 + IFERROR(MINIFS(OFFSET(N1145, -1, 0, -MIN(ROW()-2, $B1145), 1), OFFSET(N1145, -1, 0, -MIN(ROW()-2, $B1145), 1), "&gt;0"), N1144) + ROUND(IFERROR(MINIFS(OFFSET(N1145, -1, 0, -MIN(ROW()-2, $B1145), 1), OFFSET(N1145, -1, 0, -MIN(ROW()-2, $B1145), 1), "&gt;0"), N1144) * ((LN(1 + $Z1145) ^ W$2) * (W$3 / 1000)), 0))</f>
        <v/>
      </c>
      <c r="O1145" s="24" t="str">
        <f t="shared" si="2548"/>
        <v/>
      </c>
      <c r="P1145" s="24">
        <f t="shared" ref="P1145:S1145" si="2549">L1145*$Y$2</f>
        <v>0</v>
      </c>
      <c r="Q1145" s="24">
        <f t="shared" si="2549"/>
        <v>14435.75</v>
      </c>
      <c r="R1145" s="24">
        <f t="shared" si="2549"/>
        <v>0</v>
      </c>
      <c r="S1145" s="24">
        <f t="shared" si="2549"/>
        <v>0</v>
      </c>
      <c r="T1145" s="24">
        <f t="shared" si="4"/>
        <v>25</v>
      </c>
      <c r="Z1145" s="25">
        <f t="shared" si="12"/>
        <v>4269.75836</v>
      </c>
    </row>
    <row r="1146">
      <c r="A1146" s="16" t="s">
        <v>3</v>
      </c>
      <c r="B1146" s="17">
        <v>245.0</v>
      </c>
      <c r="C1146" s="24">
        <f t="shared" si="1820"/>
        <v>41433059.57</v>
      </c>
      <c r="D1146" s="25">
        <v>0.05</v>
      </c>
      <c r="E1146" s="24">
        <f t="shared" si="1821"/>
        <v>1505.300327</v>
      </c>
      <c r="F1146" s="25">
        <v>0.02</v>
      </c>
      <c r="G1146" s="24">
        <f t="shared" si="1822"/>
        <v>5919008.51</v>
      </c>
      <c r="H1146" s="25">
        <v>0.05</v>
      </c>
      <c r="I1146" s="24">
        <f t="shared" si="1823"/>
        <v>1254.416939</v>
      </c>
      <c r="J1146" s="25">
        <v>0.02</v>
      </c>
      <c r="K1146" s="25">
        <v>0.0</v>
      </c>
      <c r="L1146" s="24" t="str">
        <f t="shared" ref="L1146:M1146" si="2550">IF(L1145="", "", 1 + IFERROR(MINIFS(OFFSET(L1146, -1, 0, -MIN(ROW()-2, $B1146), 1), OFFSET(L1146, -1, 0, -MIN(ROW()-2, $B1146), 1), "&gt;0"), L1145) + ROUND((L$2 * (LN(1 + $Z1146) ^ U$2) * (U$3 / 100)), 0))</f>
        <v/>
      </c>
      <c r="M1146" s="24">
        <f t="shared" si="2550"/>
        <v>57753</v>
      </c>
      <c r="N1146" s="24" t="str">
        <f t="shared" ref="N1146:O1146" si="2551">IF(N1145="", "", 1 + IFERROR(MINIFS(OFFSET(N1146, -1, 0, -MIN(ROW()-2, $B1146), 1), OFFSET(N1146, -1, 0, -MIN(ROW()-2, $B1146), 1), "&gt;0"), N1145) + ROUND(IFERROR(MINIFS(OFFSET(N1146, -1, 0, -MIN(ROW()-2, $B1146), 1), OFFSET(N1146, -1, 0, -MIN(ROW()-2, $B1146), 1), "&gt;0"), N1145) * ((LN(1 + $Z1146) ^ W$2) * (W$3 / 1000)), 0))</f>
        <v/>
      </c>
      <c r="O1146" s="24" t="str">
        <f t="shared" si="2551"/>
        <v/>
      </c>
      <c r="P1146" s="24">
        <f t="shared" ref="P1146:S1146" si="2552">L1146*$Y$2</f>
        <v>0</v>
      </c>
      <c r="Q1146" s="24">
        <f t="shared" si="2552"/>
        <v>14438.25</v>
      </c>
      <c r="R1146" s="24">
        <f t="shared" si="2552"/>
        <v>0</v>
      </c>
      <c r="S1146" s="24">
        <f t="shared" si="2552"/>
        <v>0</v>
      </c>
      <c r="T1146" s="24">
        <f t="shared" si="4"/>
        <v>26</v>
      </c>
      <c r="Z1146" s="25">
        <f t="shared" si="12"/>
        <v>4419.234903</v>
      </c>
    </row>
    <row r="1147">
      <c r="A1147" s="16" t="s">
        <v>3</v>
      </c>
      <c r="B1147" s="17">
        <v>246.0</v>
      </c>
      <c r="C1147" s="24">
        <f t="shared" si="1820"/>
        <v>43504712.55</v>
      </c>
      <c r="D1147" s="25">
        <v>0.05</v>
      </c>
      <c r="E1147" s="24">
        <f t="shared" si="1821"/>
        <v>1535.406333</v>
      </c>
      <c r="F1147" s="25">
        <v>0.02</v>
      </c>
      <c r="G1147" s="24">
        <f t="shared" si="1822"/>
        <v>6214958.936</v>
      </c>
      <c r="H1147" s="25">
        <v>0.05</v>
      </c>
      <c r="I1147" s="24">
        <f t="shared" si="1823"/>
        <v>1279.505278</v>
      </c>
      <c r="J1147" s="25">
        <v>0.02</v>
      </c>
      <c r="K1147" s="25">
        <v>0.0</v>
      </c>
      <c r="L1147" s="24" t="str">
        <f t="shared" ref="L1147:M1147" si="2553">IF(L1146="", "", 1 + IFERROR(MINIFS(OFFSET(L1147, -1, 0, -MIN(ROW()-2, $B1147), 1), OFFSET(L1147, -1, 0, -MIN(ROW()-2, $B1147), 1), "&gt;0"), L1146) + ROUND((L$2 * (LN(1 + $Z1147) ^ U$2) * (U$3 / 100)), 0))</f>
        <v/>
      </c>
      <c r="M1147" s="24">
        <f t="shared" si="2553"/>
        <v>57763</v>
      </c>
      <c r="N1147" s="24" t="str">
        <f t="shared" ref="N1147:O1147" si="2554">IF(N1146="", "", 1 + IFERROR(MINIFS(OFFSET(N1147, -1, 0, -MIN(ROW()-2, $B1147), 1), OFFSET(N1147, -1, 0, -MIN(ROW()-2, $B1147), 1), "&gt;0"), N1146) + ROUND(IFERROR(MINIFS(OFFSET(N1147, -1, 0, -MIN(ROW()-2, $B1147), 1), OFFSET(N1147, -1, 0, -MIN(ROW()-2, $B1147), 1), "&gt;0"), N1146) * ((LN(1 + $Z1147) ^ W$2) * (W$3 / 1000)), 0))</f>
        <v/>
      </c>
      <c r="O1147" s="24" t="str">
        <f t="shared" si="2554"/>
        <v/>
      </c>
      <c r="P1147" s="24">
        <f t="shared" ref="P1147:S1147" si="2555">L1147*$Y$2</f>
        <v>0</v>
      </c>
      <c r="Q1147" s="24">
        <f t="shared" si="2555"/>
        <v>14440.75</v>
      </c>
      <c r="R1147" s="24">
        <f t="shared" si="2555"/>
        <v>0</v>
      </c>
      <c r="S1147" s="24">
        <f t="shared" si="2555"/>
        <v>0</v>
      </c>
      <c r="T1147" s="24">
        <f t="shared" si="4"/>
        <v>26</v>
      </c>
      <c r="Z1147" s="25">
        <f t="shared" si="12"/>
        <v>4573.943124</v>
      </c>
    </row>
    <row r="1148">
      <c r="A1148" s="16" t="s">
        <v>3</v>
      </c>
      <c r="B1148" s="17">
        <v>247.0</v>
      </c>
      <c r="C1148" s="24">
        <f t="shared" si="1820"/>
        <v>45679948.18</v>
      </c>
      <c r="D1148" s="25">
        <v>0.05</v>
      </c>
      <c r="E1148" s="24">
        <f t="shared" si="1821"/>
        <v>1566.11446</v>
      </c>
      <c r="F1148" s="25">
        <v>0.02</v>
      </c>
      <c r="G1148" s="24">
        <f t="shared" si="1822"/>
        <v>6525706.883</v>
      </c>
      <c r="H1148" s="25">
        <v>0.05</v>
      </c>
      <c r="I1148" s="24">
        <f t="shared" si="1823"/>
        <v>1305.095383</v>
      </c>
      <c r="J1148" s="25">
        <v>0.02</v>
      </c>
      <c r="K1148" s="25">
        <v>0.0</v>
      </c>
      <c r="L1148" s="24" t="str">
        <f t="shared" ref="L1148:M1148" si="2556">IF(L1147="", "", 1 + IFERROR(MINIFS(OFFSET(L1148, -1, 0, -MIN(ROW()-2, $B1148), 1), OFFSET(L1148, -1, 0, -MIN(ROW()-2, $B1148), 1), "&gt;0"), L1147) + ROUND((L$2 * (LN(1 + $Z1148) ^ U$2) * (U$3 / 100)), 0))</f>
        <v/>
      </c>
      <c r="M1148" s="24">
        <f t="shared" si="2556"/>
        <v>57773</v>
      </c>
      <c r="N1148" s="24" t="str">
        <f t="shared" ref="N1148:O1148" si="2557">IF(N1147="", "", 1 + IFERROR(MINIFS(OFFSET(N1148, -1, 0, -MIN(ROW()-2, $B1148), 1), OFFSET(N1148, -1, 0, -MIN(ROW()-2, $B1148), 1), "&gt;0"), N1147) + ROUND(IFERROR(MINIFS(OFFSET(N1148, -1, 0, -MIN(ROW()-2, $B1148), 1), OFFSET(N1148, -1, 0, -MIN(ROW()-2, $B1148), 1), "&gt;0"), N1147) * ((LN(1 + $Z1148) ^ W$2) * (W$3 / 1000)), 0))</f>
        <v/>
      </c>
      <c r="O1148" s="24" t="str">
        <f t="shared" si="2557"/>
        <v/>
      </c>
      <c r="P1148" s="24">
        <f t="shared" ref="P1148:S1148" si="2558">L1148*$Y$2</f>
        <v>0</v>
      </c>
      <c r="Q1148" s="24">
        <f t="shared" si="2558"/>
        <v>14443.25</v>
      </c>
      <c r="R1148" s="24">
        <f t="shared" si="2558"/>
        <v>0</v>
      </c>
      <c r="S1148" s="24">
        <f t="shared" si="2558"/>
        <v>0</v>
      </c>
      <c r="T1148" s="24">
        <f t="shared" si="4"/>
        <v>26</v>
      </c>
      <c r="Z1148" s="25">
        <f t="shared" si="12"/>
        <v>4734.066133</v>
      </c>
    </row>
    <row r="1149">
      <c r="A1149" s="16" t="s">
        <v>3</v>
      </c>
      <c r="B1149" s="17">
        <v>248.0</v>
      </c>
      <c r="C1149" s="24">
        <f t="shared" si="1820"/>
        <v>47963945.59</v>
      </c>
      <c r="D1149" s="25">
        <v>0.05</v>
      </c>
      <c r="E1149" s="24">
        <f t="shared" si="1821"/>
        <v>1597.436749</v>
      </c>
      <c r="F1149" s="25">
        <v>0.02</v>
      </c>
      <c r="G1149" s="24">
        <f t="shared" si="1822"/>
        <v>6851992.227</v>
      </c>
      <c r="H1149" s="25">
        <v>0.05</v>
      </c>
      <c r="I1149" s="24">
        <f t="shared" si="1823"/>
        <v>1331.197291</v>
      </c>
      <c r="J1149" s="25">
        <v>0.02</v>
      </c>
      <c r="K1149" s="25">
        <v>0.0</v>
      </c>
      <c r="L1149" s="24" t="str">
        <f t="shared" ref="L1149:M1149" si="2559">IF(L1148="", "", 1 + IFERROR(MINIFS(OFFSET(L1149, -1, 0, -MIN(ROW()-2, $B1149), 1), OFFSET(L1149, -1, 0, -MIN(ROW()-2, $B1149), 1), "&gt;0"), L1148) + ROUND((L$2 * (LN(1 + $Z1149) ^ U$2) * (U$3 / 100)), 0))</f>
        <v/>
      </c>
      <c r="M1149" s="24">
        <f t="shared" si="2559"/>
        <v>57783</v>
      </c>
      <c r="N1149" s="24" t="str">
        <f t="shared" ref="N1149:O1149" si="2560">IF(N1148="", "", 1 + IFERROR(MINIFS(OFFSET(N1149, -1, 0, -MIN(ROW()-2, $B1149), 1), OFFSET(N1149, -1, 0, -MIN(ROW()-2, $B1149), 1), "&gt;0"), N1148) + ROUND(IFERROR(MINIFS(OFFSET(N1149, -1, 0, -MIN(ROW()-2, $B1149), 1), OFFSET(N1149, -1, 0, -MIN(ROW()-2, $B1149), 1), "&gt;0"), N1148) * ((LN(1 + $Z1149) ^ W$2) * (W$3 / 1000)), 0))</f>
        <v/>
      </c>
      <c r="O1149" s="24" t="str">
        <f t="shared" si="2560"/>
        <v/>
      </c>
      <c r="P1149" s="24">
        <f t="shared" ref="P1149:S1149" si="2561">L1149*$Y$2</f>
        <v>0</v>
      </c>
      <c r="Q1149" s="24">
        <f t="shared" si="2561"/>
        <v>14445.75</v>
      </c>
      <c r="R1149" s="24">
        <f t="shared" si="2561"/>
        <v>0</v>
      </c>
      <c r="S1149" s="24">
        <f t="shared" si="2561"/>
        <v>0</v>
      </c>
      <c r="T1149" s="24">
        <f t="shared" si="4"/>
        <v>26</v>
      </c>
      <c r="Z1149" s="25">
        <f t="shared" si="12"/>
        <v>4899.793448</v>
      </c>
    </row>
    <row r="1150">
      <c r="A1150" s="16" t="s">
        <v>3</v>
      </c>
      <c r="B1150" s="17">
        <v>249.0</v>
      </c>
      <c r="C1150" s="24">
        <f t="shared" si="1820"/>
        <v>50362142.87</v>
      </c>
      <c r="D1150" s="25">
        <v>0.05</v>
      </c>
      <c r="E1150" s="24">
        <f t="shared" si="1821"/>
        <v>1629.385484</v>
      </c>
      <c r="F1150" s="25">
        <v>0.02</v>
      </c>
      <c r="G1150" s="24">
        <f t="shared" si="1822"/>
        <v>7194591.838</v>
      </c>
      <c r="H1150" s="25">
        <v>0.05</v>
      </c>
      <c r="I1150" s="24">
        <f t="shared" si="1823"/>
        <v>1357.821237</v>
      </c>
      <c r="J1150" s="25">
        <v>0.02</v>
      </c>
      <c r="K1150" s="25">
        <v>0.0</v>
      </c>
      <c r="L1150" s="24" t="str">
        <f t="shared" ref="L1150:M1150" si="2562">IF(L1149="", "", 1 + IFERROR(MINIFS(OFFSET(L1150, -1, 0, -MIN(ROW()-2, $B1150), 1), OFFSET(L1150, -1, 0, -MIN(ROW()-2, $B1150), 1), "&gt;0"), L1149) + ROUND((L$2 * (LN(1 + $Z1150) ^ U$2) * (U$3 / 100)), 0))</f>
        <v/>
      </c>
      <c r="M1150" s="24">
        <f t="shared" si="2562"/>
        <v>57793</v>
      </c>
      <c r="N1150" s="24" t="str">
        <f t="shared" ref="N1150:O1150" si="2563">IF(N1149="", "", 1 + IFERROR(MINIFS(OFFSET(N1150, -1, 0, -MIN(ROW()-2, $B1150), 1), OFFSET(N1150, -1, 0, -MIN(ROW()-2, $B1150), 1), "&gt;0"), N1149) + ROUND(IFERROR(MINIFS(OFFSET(N1150, -1, 0, -MIN(ROW()-2, $B1150), 1), OFFSET(N1150, -1, 0, -MIN(ROW()-2, $B1150), 1), "&gt;0"), N1149) * ((LN(1 + $Z1150) ^ W$2) * (W$3 / 1000)), 0))</f>
        <v/>
      </c>
      <c r="O1150" s="24" t="str">
        <f t="shared" si="2563"/>
        <v/>
      </c>
      <c r="P1150" s="24">
        <f t="shared" ref="P1150:S1150" si="2564">L1150*$Y$2</f>
        <v>0</v>
      </c>
      <c r="Q1150" s="24">
        <f t="shared" si="2564"/>
        <v>14448.25</v>
      </c>
      <c r="R1150" s="24">
        <f t="shared" si="2564"/>
        <v>0</v>
      </c>
      <c r="S1150" s="24">
        <f t="shared" si="2564"/>
        <v>0</v>
      </c>
      <c r="T1150" s="24">
        <f t="shared" si="4"/>
        <v>26</v>
      </c>
      <c r="Z1150" s="25">
        <f t="shared" si="12"/>
        <v>5071.321219</v>
      </c>
    </row>
    <row r="1151">
      <c r="A1151" s="16" t="s">
        <v>3</v>
      </c>
      <c r="B1151" s="17">
        <v>250.0</v>
      </c>
      <c r="C1151" s="24">
        <f t="shared" si="1820"/>
        <v>52880250.01</v>
      </c>
      <c r="D1151" s="25">
        <v>0.05</v>
      </c>
      <c r="E1151" s="24">
        <f t="shared" si="1821"/>
        <v>1661.973194</v>
      </c>
      <c r="F1151" s="25">
        <v>0.02</v>
      </c>
      <c r="G1151" s="24">
        <f t="shared" si="1822"/>
        <v>7554321.43</v>
      </c>
      <c r="H1151" s="25">
        <v>0.05</v>
      </c>
      <c r="I1151" s="24">
        <f t="shared" si="1823"/>
        <v>1384.977662</v>
      </c>
      <c r="J1151" s="25">
        <v>0.02</v>
      </c>
      <c r="K1151" s="25">
        <v>0.0</v>
      </c>
      <c r="L1151" s="24" t="str">
        <f t="shared" ref="L1151:M1151" si="2565">IF(L1150="", "", 1 + IFERROR(MINIFS(OFFSET(L1151, -1, 0, -MIN(ROW()-2, $B1151), 1), OFFSET(L1151, -1, 0, -MIN(ROW()-2, $B1151), 1), "&gt;0"), L1150) + ROUND((L$2 * (LN(1 + $Z1151) ^ U$2) * (U$3 / 100)), 0))</f>
        <v/>
      </c>
      <c r="M1151" s="24">
        <f t="shared" si="2565"/>
        <v>57803</v>
      </c>
      <c r="N1151" s="24" t="str">
        <f t="shared" ref="N1151:O1151" si="2566">IF(N1150="", "", 1 + IFERROR(MINIFS(OFFSET(N1151, -1, 0, -MIN(ROW()-2, $B1151), 1), OFFSET(N1151, -1, 0, -MIN(ROW()-2, $B1151), 1), "&gt;0"), N1150) + ROUND(IFERROR(MINIFS(OFFSET(N1151, -1, 0, -MIN(ROW()-2, $B1151), 1), OFFSET(N1151, -1, 0, -MIN(ROW()-2, $B1151), 1), "&gt;0"), N1150) * ((LN(1 + $Z1151) ^ W$2) * (W$3 / 1000)), 0))</f>
        <v/>
      </c>
      <c r="O1151" s="24" t="str">
        <f t="shared" si="2566"/>
        <v/>
      </c>
      <c r="P1151" s="24">
        <f t="shared" ref="P1151:S1151" si="2567">L1151*$Y$2</f>
        <v>0</v>
      </c>
      <c r="Q1151" s="24">
        <f t="shared" si="2567"/>
        <v>14450.75</v>
      </c>
      <c r="R1151" s="24">
        <f t="shared" si="2567"/>
        <v>0</v>
      </c>
      <c r="S1151" s="24">
        <f t="shared" si="2567"/>
        <v>0</v>
      </c>
      <c r="T1151" s="24">
        <f t="shared" si="4"/>
        <v>26</v>
      </c>
      <c r="Z1151" s="25">
        <f t="shared" si="12"/>
        <v>5248.852461</v>
      </c>
    </row>
    <row r="1152">
      <c r="A1152" s="16" t="s">
        <v>3</v>
      </c>
      <c r="B1152" s="17">
        <v>251.0</v>
      </c>
      <c r="C1152" s="24">
        <f t="shared" si="1820"/>
        <v>55524262.51</v>
      </c>
      <c r="D1152" s="25">
        <v>0.05</v>
      </c>
      <c r="E1152" s="24">
        <f t="shared" si="1821"/>
        <v>1695.212658</v>
      </c>
      <c r="F1152" s="25">
        <v>0.02</v>
      </c>
      <c r="G1152" s="24">
        <f t="shared" si="1822"/>
        <v>7932037.501</v>
      </c>
      <c r="H1152" s="25">
        <v>0.05</v>
      </c>
      <c r="I1152" s="24">
        <f t="shared" si="1823"/>
        <v>1412.677215</v>
      </c>
      <c r="J1152" s="25">
        <v>0.02</v>
      </c>
      <c r="K1152" s="25">
        <v>0.0</v>
      </c>
      <c r="L1152" s="24" t="str">
        <f t="shared" ref="L1152:M1152" si="2568">IF(L1151="", "", 1 + IFERROR(MINIFS(OFFSET(L1152, -1, 0, -MIN(ROW()-2, $B1152), 1), OFFSET(L1152, -1, 0, -MIN(ROW()-2, $B1152), 1), "&gt;0"), L1151) + ROUND((L$2 * (LN(1 + $Z1152) ^ U$2) * (U$3 / 100)), 0))</f>
        <v/>
      </c>
      <c r="M1152" s="24">
        <f t="shared" si="2568"/>
        <v>57813</v>
      </c>
      <c r="N1152" s="24" t="str">
        <f t="shared" ref="N1152:O1152" si="2569">IF(N1151="", "", 1 + IFERROR(MINIFS(OFFSET(N1152, -1, 0, -MIN(ROW()-2, $B1152), 1), OFFSET(N1152, -1, 0, -MIN(ROW()-2, $B1152), 1), "&gt;0"), N1151) + ROUND(IFERROR(MINIFS(OFFSET(N1152, -1, 0, -MIN(ROW()-2, $B1152), 1), OFFSET(N1152, -1, 0, -MIN(ROW()-2, $B1152), 1), "&gt;0"), N1151) * ((LN(1 + $Z1152) ^ W$2) * (W$3 / 1000)), 0))</f>
        <v/>
      </c>
      <c r="O1152" s="24" t="str">
        <f t="shared" si="2569"/>
        <v/>
      </c>
      <c r="P1152" s="24">
        <f t="shared" ref="P1152:S1152" si="2570">L1152*$Y$2</f>
        <v>0</v>
      </c>
      <c r="Q1152" s="24">
        <f t="shared" si="2570"/>
        <v>14453.25</v>
      </c>
      <c r="R1152" s="24">
        <f t="shared" si="2570"/>
        <v>0</v>
      </c>
      <c r="S1152" s="24">
        <f t="shared" si="2570"/>
        <v>0</v>
      </c>
      <c r="T1152" s="24">
        <f t="shared" si="4"/>
        <v>26</v>
      </c>
      <c r="Z1152" s="25">
        <f t="shared" si="12"/>
        <v>5432.597298</v>
      </c>
    </row>
    <row r="1153">
      <c r="A1153" s="16" t="s">
        <v>3</v>
      </c>
      <c r="B1153" s="17">
        <v>252.0</v>
      </c>
      <c r="C1153" s="24">
        <f t="shared" si="1820"/>
        <v>58300475.64</v>
      </c>
      <c r="D1153" s="25">
        <v>0.05</v>
      </c>
      <c r="E1153" s="24">
        <f t="shared" si="1821"/>
        <v>1729.116911</v>
      </c>
      <c r="F1153" s="25">
        <v>0.02</v>
      </c>
      <c r="G1153" s="24">
        <f t="shared" si="1822"/>
        <v>8328639.376</v>
      </c>
      <c r="H1153" s="25">
        <v>0.05</v>
      </c>
      <c r="I1153" s="24">
        <f t="shared" si="1823"/>
        <v>1440.930759</v>
      </c>
      <c r="J1153" s="25">
        <v>0.02</v>
      </c>
      <c r="K1153" s="25">
        <v>0.0</v>
      </c>
      <c r="L1153" s="24" t="str">
        <f t="shared" ref="L1153:M1153" si="2571">IF(L1152="", "", 1 + IFERROR(MINIFS(OFFSET(L1153, -1, 0, -MIN(ROW()-2, $B1153), 1), OFFSET(L1153, -1, 0, -MIN(ROW()-2, $B1153), 1), "&gt;0"), L1152) + ROUND((L$2 * (LN(1 + $Z1153) ^ U$2) * (U$3 / 100)), 0))</f>
        <v/>
      </c>
      <c r="M1153" s="24">
        <f t="shared" si="2571"/>
        <v>57823</v>
      </c>
      <c r="N1153" s="24" t="str">
        <f t="shared" ref="N1153:O1153" si="2572">IF(N1152="", "", 1 + IFERROR(MINIFS(OFFSET(N1153, -1, 0, -MIN(ROW()-2, $B1153), 1), OFFSET(N1153, -1, 0, -MIN(ROW()-2, $B1153), 1), "&gt;0"), N1152) + ROUND(IFERROR(MINIFS(OFFSET(N1153, -1, 0, -MIN(ROW()-2, $B1153), 1), OFFSET(N1153, -1, 0, -MIN(ROW()-2, $B1153), 1), "&gt;0"), N1152) * ((LN(1 + $Z1153) ^ W$2) * (W$3 / 1000)), 0))</f>
        <v/>
      </c>
      <c r="O1153" s="24" t="str">
        <f t="shared" si="2572"/>
        <v/>
      </c>
      <c r="P1153" s="24">
        <f t="shared" ref="P1153:S1153" si="2573">L1153*$Y$2</f>
        <v>0</v>
      </c>
      <c r="Q1153" s="24">
        <f t="shared" si="2573"/>
        <v>14455.75</v>
      </c>
      <c r="R1153" s="24">
        <f t="shared" si="2573"/>
        <v>0</v>
      </c>
      <c r="S1153" s="24">
        <f t="shared" si="2573"/>
        <v>0</v>
      </c>
      <c r="T1153" s="24">
        <f t="shared" si="4"/>
        <v>26</v>
      </c>
      <c r="Z1153" s="25">
        <f t="shared" si="12"/>
        <v>5622.773203</v>
      </c>
    </row>
    <row r="1154">
      <c r="A1154" s="16" t="s">
        <v>3</v>
      </c>
      <c r="B1154" s="17">
        <v>253.0</v>
      </c>
      <c r="C1154" s="24">
        <f t="shared" si="1820"/>
        <v>61215499.42</v>
      </c>
      <c r="D1154" s="25">
        <v>0.05</v>
      </c>
      <c r="E1154" s="24">
        <f t="shared" si="1821"/>
        <v>1763.699249</v>
      </c>
      <c r="F1154" s="25">
        <v>0.02</v>
      </c>
      <c r="G1154" s="24">
        <f t="shared" si="1822"/>
        <v>8745071.345</v>
      </c>
      <c r="H1154" s="25">
        <v>0.05</v>
      </c>
      <c r="I1154" s="24">
        <f t="shared" si="1823"/>
        <v>1469.749374</v>
      </c>
      <c r="J1154" s="25">
        <v>0.02</v>
      </c>
      <c r="K1154" s="25">
        <v>0.0</v>
      </c>
      <c r="L1154" s="24" t="str">
        <f t="shared" ref="L1154:M1154" si="2574">IF(L1153="", "", 1 + IFERROR(MINIFS(OFFSET(L1154, -1, 0, -MIN(ROW()-2, $B1154), 1), OFFSET(L1154, -1, 0, -MIN(ROW()-2, $B1154), 1), "&gt;0"), L1153) + ROUND((L$2 * (LN(1 + $Z1154) ^ U$2) * (U$3 / 100)), 0))</f>
        <v/>
      </c>
      <c r="M1154" s="24">
        <f t="shared" si="2574"/>
        <v>57833</v>
      </c>
      <c r="N1154" s="24" t="str">
        <f t="shared" ref="N1154:O1154" si="2575">IF(N1153="", "", 1 + IFERROR(MINIFS(OFFSET(N1154, -1, 0, -MIN(ROW()-2, $B1154), 1), OFFSET(N1154, -1, 0, -MIN(ROW()-2, $B1154), 1), "&gt;0"), N1153) + ROUND(IFERROR(MINIFS(OFFSET(N1154, -1, 0, -MIN(ROW()-2, $B1154), 1), OFFSET(N1154, -1, 0, -MIN(ROW()-2, $B1154), 1), "&gt;0"), N1153) * ((LN(1 + $Z1154) ^ W$2) * (W$3 / 1000)), 0))</f>
        <v/>
      </c>
      <c r="O1154" s="24" t="str">
        <f t="shared" si="2575"/>
        <v/>
      </c>
      <c r="P1154" s="24">
        <f t="shared" ref="P1154:S1154" si="2576">L1154*$Y$2</f>
        <v>0</v>
      </c>
      <c r="Q1154" s="24">
        <f t="shared" si="2576"/>
        <v>14458.25</v>
      </c>
      <c r="R1154" s="24">
        <f t="shared" si="2576"/>
        <v>0</v>
      </c>
      <c r="S1154" s="24">
        <f t="shared" si="2576"/>
        <v>0</v>
      </c>
      <c r="T1154" s="24">
        <f t="shared" si="4"/>
        <v>26</v>
      </c>
      <c r="Z1154" s="25">
        <f t="shared" si="12"/>
        <v>5819.605265</v>
      </c>
    </row>
    <row r="1155">
      <c r="A1155" s="16" t="s">
        <v>3</v>
      </c>
      <c r="B1155" s="17">
        <v>254.0</v>
      </c>
      <c r="C1155" s="24">
        <f t="shared" si="1820"/>
        <v>64276274.39</v>
      </c>
      <c r="D1155" s="25">
        <v>0.05</v>
      </c>
      <c r="E1155" s="24">
        <f t="shared" si="1821"/>
        <v>1798.973234</v>
      </c>
      <c r="F1155" s="25">
        <v>0.02</v>
      </c>
      <c r="G1155" s="24">
        <f t="shared" si="1822"/>
        <v>9182324.913</v>
      </c>
      <c r="H1155" s="25">
        <v>0.05</v>
      </c>
      <c r="I1155" s="24">
        <f t="shared" si="1823"/>
        <v>1499.144362</v>
      </c>
      <c r="J1155" s="25">
        <v>0.02</v>
      </c>
      <c r="K1155" s="25">
        <v>0.0</v>
      </c>
      <c r="L1155" s="24" t="str">
        <f t="shared" ref="L1155:M1155" si="2577">IF(L1154="", "", 1 + IFERROR(MINIFS(OFFSET(L1155, -1, 0, -MIN(ROW()-2, $B1155), 1), OFFSET(L1155, -1, 0, -MIN(ROW()-2, $B1155), 1), "&gt;0"), L1154) + ROUND((L$2 * (LN(1 + $Z1155) ^ U$2) * (U$3 / 100)), 0))</f>
        <v/>
      </c>
      <c r="M1155" s="24">
        <f t="shared" si="2577"/>
        <v>57843</v>
      </c>
      <c r="N1155" s="24" t="str">
        <f t="shared" ref="N1155:O1155" si="2578">IF(N1154="", "", 1 + IFERROR(MINIFS(OFFSET(N1155, -1, 0, -MIN(ROW()-2, $B1155), 1), OFFSET(N1155, -1, 0, -MIN(ROW()-2, $B1155), 1), "&gt;0"), N1154) + ROUND(IFERROR(MINIFS(OFFSET(N1155, -1, 0, -MIN(ROW()-2, $B1155), 1), OFFSET(N1155, -1, 0, -MIN(ROW()-2, $B1155), 1), "&gt;0"), N1154) * ((LN(1 + $Z1155) ^ W$2) * (W$3 / 1000)), 0))</f>
        <v/>
      </c>
      <c r="O1155" s="24" t="str">
        <f t="shared" si="2578"/>
        <v/>
      </c>
      <c r="P1155" s="24">
        <f t="shared" ref="P1155:S1155" si="2579">L1155*$Y$2</f>
        <v>0</v>
      </c>
      <c r="Q1155" s="24">
        <f t="shared" si="2579"/>
        <v>14460.75</v>
      </c>
      <c r="R1155" s="24">
        <f t="shared" si="2579"/>
        <v>0</v>
      </c>
      <c r="S1155" s="24">
        <f t="shared" si="2579"/>
        <v>0</v>
      </c>
      <c r="T1155" s="24">
        <f t="shared" si="4"/>
        <v>26</v>
      </c>
      <c r="Z1155" s="25">
        <f t="shared" si="12"/>
        <v>6023.326449</v>
      </c>
    </row>
    <row r="1156">
      <c r="A1156" s="16" t="s">
        <v>3</v>
      </c>
      <c r="B1156" s="17">
        <v>255.0</v>
      </c>
      <c r="C1156" s="24">
        <f t="shared" si="1820"/>
        <v>67490088.11</v>
      </c>
      <c r="D1156" s="25">
        <v>0.05</v>
      </c>
      <c r="E1156" s="24">
        <f t="shared" si="1821"/>
        <v>1834.952699</v>
      </c>
      <c r="F1156" s="25">
        <v>0.02</v>
      </c>
      <c r="G1156" s="24">
        <f t="shared" si="1822"/>
        <v>9641441.158</v>
      </c>
      <c r="H1156" s="25">
        <v>0.05</v>
      </c>
      <c r="I1156" s="24">
        <f t="shared" si="1823"/>
        <v>1529.127249</v>
      </c>
      <c r="J1156" s="25">
        <v>0.02</v>
      </c>
      <c r="K1156" s="25">
        <v>0.0</v>
      </c>
      <c r="L1156" s="24" t="str">
        <f t="shared" ref="L1156:M1156" si="2580">IF(L1155="", "", 1 + IFERROR(MINIFS(OFFSET(L1156, -1, 0, -MIN(ROW()-2, $B1156), 1), OFFSET(L1156, -1, 0, -MIN(ROW()-2, $B1156), 1), "&gt;0"), L1155) + ROUND((L$2 * (LN(1 + $Z1156) ^ U$2) * (U$3 / 100)), 0))</f>
        <v/>
      </c>
      <c r="M1156" s="24">
        <f t="shared" si="2580"/>
        <v>57853</v>
      </c>
      <c r="N1156" s="24" t="str">
        <f t="shared" ref="N1156:O1156" si="2581">IF(N1155="", "", 1 + IFERROR(MINIFS(OFFSET(N1156, -1, 0, -MIN(ROW()-2, $B1156), 1), OFFSET(N1156, -1, 0, -MIN(ROW()-2, $B1156), 1), "&gt;0"), N1155) + ROUND(IFERROR(MINIFS(OFFSET(N1156, -1, 0, -MIN(ROW()-2, $B1156), 1), OFFSET(N1156, -1, 0, -MIN(ROW()-2, $B1156), 1), "&gt;0"), N1155) * ((LN(1 + $Z1156) ^ W$2) * (W$3 / 1000)), 0))</f>
        <v/>
      </c>
      <c r="O1156" s="24" t="str">
        <f t="shared" si="2581"/>
        <v/>
      </c>
      <c r="P1156" s="24">
        <f t="shared" ref="P1156:S1156" si="2582">L1156*$Y$2</f>
        <v>0</v>
      </c>
      <c r="Q1156" s="24">
        <f t="shared" si="2582"/>
        <v>14463.25</v>
      </c>
      <c r="R1156" s="24">
        <f t="shared" si="2582"/>
        <v>0</v>
      </c>
      <c r="S1156" s="24">
        <f t="shared" si="2582"/>
        <v>0</v>
      </c>
      <c r="T1156" s="24">
        <f t="shared" si="4"/>
        <v>27</v>
      </c>
      <c r="Z1156" s="25">
        <f t="shared" si="12"/>
        <v>6234.177875</v>
      </c>
    </row>
    <row r="1157">
      <c r="A1157" s="16" t="s">
        <v>3</v>
      </c>
      <c r="B1157" s="17">
        <v>256.0</v>
      </c>
      <c r="C1157" s="24">
        <f t="shared" si="1820"/>
        <v>70864592.51</v>
      </c>
      <c r="D1157" s="25">
        <v>0.05</v>
      </c>
      <c r="E1157" s="24">
        <f t="shared" si="1821"/>
        <v>1871.651753</v>
      </c>
      <c r="F1157" s="25">
        <v>0.02</v>
      </c>
      <c r="G1157" s="24">
        <f t="shared" si="1822"/>
        <v>10123513.22</v>
      </c>
      <c r="H1157" s="25">
        <v>0.05</v>
      </c>
      <c r="I1157" s="24">
        <f t="shared" si="1823"/>
        <v>1559.709794</v>
      </c>
      <c r="J1157" s="25">
        <v>0.02</v>
      </c>
      <c r="K1157" s="25">
        <v>0.0</v>
      </c>
      <c r="L1157" s="24" t="str">
        <f t="shared" ref="L1157:M1157" si="2583">IF(L1156="", "", 1 + IFERROR(MINIFS(OFFSET(L1157, -1, 0, -MIN(ROW()-2, $B1157), 1), OFFSET(L1157, -1, 0, -MIN(ROW()-2, $B1157), 1), "&gt;0"), L1156) + ROUND((L$2 * (LN(1 + $Z1157) ^ U$2) * (U$3 / 100)), 0))</f>
        <v/>
      </c>
      <c r="M1157" s="24">
        <f t="shared" si="2583"/>
        <v>57863</v>
      </c>
      <c r="N1157" s="24" t="str">
        <f t="shared" ref="N1157:O1157" si="2584">IF(N1156="", "", 1 + IFERROR(MINIFS(OFFSET(N1157, -1, 0, -MIN(ROW()-2, $B1157), 1), OFFSET(N1157, -1, 0, -MIN(ROW()-2, $B1157), 1), "&gt;0"), N1156) + ROUND(IFERROR(MINIFS(OFFSET(N1157, -1, 0, -MIN(ROW()-2, $B1157), 1), OFFSET(N1157, -1, 0, -MIN(ROW()-2, $B1157), 1), "&gt;0"), N1156) * ((LN(1 + $Z1157) ^ W$2) * (W$3 / 1000)), 0))</f>
        <v/>
      </c>
      <c r="O1157" s="24" t="str">
        <f t="shared" si="2584"/>
        <v/>
      </c>
      <c r="P1157" s="24">
        <f t="shared" ref="P1157:S1157" si="2585">L1157*$Y$2</f>
        <v>0</v>
      </c>
      <c r="Q1157" s="24">
        <f t="shared" si="2585"/>
        <v>14465.75</v>
      </c>
      <c r="R1157" s="24">
        <f t="shared" si="2585"/>
        <v>0</v>
      </c>
      <c r="S1157" s="24">
        <f t="shared" si="2585"/>
        <v>0</v>
      </c>
      <c r="T1157" s="24">
        <f t="shared" si="4"/>
        <v>27</v>
      </c>
      <c r="Z1157" s="25">
        <f t="shared" si="12"/>
        <v>6452.409101</v>
      </c>
    </row>
    <row r="1158">
      <c r="A1158" s="16" t="s">
        <v>3</v>
      </c>
      <c r="B1158" s="17">
        <v>257.0</v>
      </c>
      <c r="C1158" s="24">
        <f t="shared" si="1820"/>
        <v>74407822.14</v>
      </c>
      <c r="D1158" s="25">
        <v>0.05</v>
      </c>
      <c r="E1158" s="24">
        <f t="shared" si="1821"/>
        <v>1909.084788</v>
      </c>
      <c r="F1158" s="25">
        <v>0.02</v>
      </c>
      <c r="G1158" s="24">
        <f t="shared" si="1822"/>
        <v>10629688.88</v>
      </c>
      <c r="H1158" s="25">
        <v>0.05</v>
      </c>
      <c r="I1158" s="24">
        <f t="shared" si="1823"/>
        <v>1590.90399</v>
      </c>
      <c r="J1158" s="25">
        <v>0.02</v>
      </c>
      <c r="K1158" s="25">
        <v>0.0</v>
      </c>
      <c r="L1158" s="24" t="str">
        <f t="shared" ref="L1158:M1158" si="2586">IF(L1157="", "", 1 + IFERROR(MINIFS(OFFSET(L1158, -1, 0, -MIN(ROW()-2, $B1158), 1), OFFSET(L1158, -1, 0, -MIN(ROW()-2, $B1158), 1), "&gt;0"), L1157) + ROUND((L$2 * (LN(1 + $Z1158) ^ U$2) * (U$3 / 100)), 0))</f>
        <v/>
      </c>
      <c r="M1158" s="24">
        <f t="shared" si="2586"/>
        <v>57873</v>
      </c>
      <c r="N1158" s="24" t="str">
        <f t="shared" ref="N1158:O1158" si="2587">IF(N1157="", "", 1 + IFERROR(MINIFS(OFFSET(N1158, -1, 0, -MIN(ROW()-2, $B1158), 1), OFFSET(N1158, -1, 0, -MIN(ROW()-2, $B1158), 1), "&gt;0"), N1157) + ROUND(IFERROR(MINIFS(OFFSET(N1158, -1, 0, -MIN(ROW()-2, $B1158), 1), OFFSET(N1158, -1, 0, -MIN(ROW()-2, $B1158), 1), "&gt;0"), N1157) * ((LN(1 + $Z1158) ^ W$2) * (W$3 / 1000)), 0))</f>
        <v/>
      </c>
      <c r="O1158" s="24" t="str">
        <f t="shared" si="2587"/>
        <v/>
      </c>
      <c r="P1158" s="24">
        <f t="shared" ref="P1158:S1158" si="2588">L1158*$Y$2</f>
        <v>0</v>
      </c>
      <c r="Q1158" s="24">
        <f t="shared" si="2588"/>
        <v>14468.25</v>
      </c>
      <c r="R1158" s="24">
        <f t="shared" si="2588"/>
        <v>0</v>
      </c>
      <c r="S1158" s="24">
        <f t="shared" si="2588"/>
        <v>0</v>
      </c>
      <c r="T1158" s="24">
        <f t="shared" si="4"/>
        <v>27</v>
      </c>
      <c r="Z1158" s="25">
        <f t="shared" si="12"/>
        <v>6678.278419</v>
      </c>
    </row>
    <row r="1159">
      <c r="A1159" s="16" t="s">
        <v>3</v>
      </c>
      <c r="B1159" s="17">
        <v>258.0</v>
      </c>
      <c r="C1159" s="24">
        <f t="shared" si="1820"/>
        <v>78128213.25</v>
      </c>
      <c r="D1159" s="25">
        <v>0.05</v>
      </c>
      <c r="E1159" s="24">
        <f t="shared" si="1821"/>
        <v>1947.266484</v>
      </c>
      <c r="F1159" s="25">
        <v>0.02</v>
      </c>
      <c r="G1159" s="24">
        <f t="shared" si="1822"/>
        <v>11161173.32</v>
      </c>
      <c r="H1159" s="25">
        <v>0.05</v>
      </c>
      <c r="I1159" s="24">
        <f t="shared" si="1823"/>
        <v>1622.72207</v>
      </c>
      <c r="J1159" s="25">
        <v>0.02</v>
      </c>
      <c r="K1159" s="25">
        <v>0.0</v>
      </c>
      <c r="L1159" s="24" t="str">
        <f t="shared" ref="L1159:M1159" si="2589">IF(L1158="", "", 1 + IFERROR(MINIFS(OFFSET(L1159, -1, 0, -MIN(ROW()-2, $B1159), 1), OFFSET(L1159, -1, 0, -MIN(ROW()-2, $B1159), 1), "&gt;0"), L1158) + ROUND((L$2 * (LN(1 + $Z1159) ^ U$2) * (U$3 / 100)), 0))</f>
        <v/>
      </c>
      <c r="M1159" s="24">
        <f t="shared" si="2589"/>
        <v>57883</v>
      </c>
      <c r="N1159" s="24" t="str">
        <f t="shared" ref="N1159:O1159" si="2590">IF(N1158="", "", 1 + IFERROR(MINIFS(OFFSET(N1159, -1, 0, -MIN(ROW()-2, $B1159), 1), OFFSET(N1159, -1, 0, -MIN(ROW()-2, $B1159), 1), "&gt;0"), N1158) + ROUND(IFERROR(MINIFS(OFFSET(N1159, -1, 0, -MIN(ROW()-2, $B1159), 1), OFFSET(N1159, -1, 0, -MIN(ROW()-2, $B1159), 1), "&gt;0"), N1158) * ((LN(1 + $Z1159) ^ W$2) * (W$3 / 1000)), 0))</f>
        <v/>
      </c>
      <c r="O1159" s="24" t="str">
        <f t="shared" si="2590"/>
        <v/>
      </c>
      <c r="P1159" s="24">
        <f t="shared" ref="P1159:S1159" si="2591">L1159*$Y$2</f>
        <v>0</v>
      </c>
      <c r="Q1159" s="24">
        <f t="shared" si="2591"/>
        <v>14470.75</v>
      </c>
      <c r="R1159" s="24">
        <f t="shared" si="2591"/>
        <v>0</v>
      </c>
      <c r="S1159" s="24">
        <f t="shared" si="2591"/>
        <v>0</v>
      </c>
      <c r="T1159" s="24">
        <f t="shared" si="4"/>
        <v>27</v>
      </c>
      <c r="Z1159" s="25">
        <f t="shared" si="12"/>
        <v>6912.053164</v>
      </c>
    </row>
    <row r="1160">
      <c r="A1160" s="16" t="s">
        <v>3</v>
      </c>
      <c r="B1160" s="17">
        <v>259.0</v>
      </c>
      <c r="C1160" s="24">
        <f t="shared" si="1820"/>
        <v>82034623.91</v>
      </c>
      <c r="D1160" s="25">
        <v>0.05</v>
      </c>
      <c r="E1160" s="24">
        <f t="shared" si="1821"/>
        <v>1986.211813</v>
      </c>
      <c r="F1160" s="25">
        <v>0.02</v>
      </c>
      <c r="G1160" s="24">
        <f t="shared" si="1822"/>
        <v>11719231.99</v>
      </c>
      <c r="H1160" s="25">
        <v>0.05</v>
      </c>
      <c r="I1160" s="24">
        <f t="shared" si="1823"/>
        <v>1655.176511</v>
      </c>
      <c r="J1160" s="25">
        <v>0.02</v>
      </c>
      <c r="K1160" s="25">
        <v>0.0</v>
      </c>
      <c r="L1160" s="24" t="str">
        <f t="shared" ref="L1160:M1160" si="2592">IF(L1159="", "", 1 + IFERROR(MINIFS(OFFSET(L1160, -1, 0, -MIN(ROW()-2, $B1160), 1), OFFSET(L1160, -1, 0, -MIN(ROW()-2, $B1160), 1), "&gt;0"), L1159) + ROUND((L$2 * (LN(1 + $Z1160) ^ U$2) * (U$3 / 100)), 0))</f>
        <v/>
      </c>
      <c r="M1160" s="24">
        <f t="shared" si="2592"/>
        <v>57893</v>
      </c>
      <c r="N1160" s="24" t="str">
        <f t="shared" ref="N1160:O1160" si="2593">IF(N1159="", "", 1 + IFERROR(MINIFS(OFFSET(N1160, -1, 0, -MIN(ROW()-2, $B1160), 1), OFFSET(N1160, -1, 0, -MIN(ROW()-2, $B1160), 1), "&gt;0"), N1159) + ROUND(IFERROR(MINIFS(OFFSET(N1160, -1, 0, -MIN(ROW()-2, $B1160), 1), OFFSET(N1160, -1, 0, -MIN(ROW()-2, $B1160), 1), "&gt;0"), N1159) * ((LN(1 + $Z1160) ^ W$2) * (W$3 / 1000)), 0))</f>
        <v/>
      </c>
      <c r="O1160" s="24" t="str">
        <f t="shared" si="2593"/>
        <v/>
      </c>
      <c r="P1160" s="24">
        <f t="shared" ref="P1160:S1160" si="2594">L1160*$Y$2</f>
        <v>0</v>
      </c>
      <c r="Q1160" s="24">
        <f t="shared" si="2594"/>
        <v>14473.25</v>
      </c>
      <c r="R1160" s="24">
        <f t="shared" si="2594"/>
        <v>0</v>
      </c>
      <c r="S1160" s="24">
        <f t="shared" si="2594"/>
        <v>0</v>
      </c>
      <c r="T1160" s="24">
        <f t="shared" si="4"/>
        <v>27</v>
      </c>
      <c r="Z1160" s="25">
        <f t="shared" si="12"/>
        <v>7154.010025</v>
      </c>
    </row>
    <row r="1161">
      <c r="A1161" s="16" t="s">
        <v>3</v>
      </c>
      <c r="B1161" s="17">
        <v>260.0</v>
      </c>
      <c r="C1161" s="24">
        <f t="shared" si="1820"/>
        <v>86136355.1</v>
      </c>
      <c r="D1161" s="25">
        <v>0.05</v>
      </c>
      <c r="E1161" s="24">
        <f t="shared" si="1821"/>
        <v>2025.93605</v>
      </c>
      <c r="F1161" s="25">
        <v>0.02</v>
      </c>
      <c r="G1161" s="24">
        <f t="shared" si="1822"/>
        <v>12305193.59</v>
      </c>
      <c r="H1161" s="25">
        <v>0.05</v>
      </c>
      <c r="I1161" s="24">
        <f t="shared" si="1823"/>
        <v>1688.280041</v>
      </c>
      <c r="J1161" s="25">
        <v>0.02</v>
      </c>
      <c r="K1161" s="25">
        <v>0.0</v>
      </c>
      <c r="L1161" s="24" t="str">
        <f t="shared" ref="L1161:M1161" si="2595">IF(L1160="", "", 1 + IFERROR(MINIFS(OFFSET(L1161, -1, 0, -MIN(ROW()-2, $B1161), 1), OFFSET(L1161, -1, 0, -MIN(ROW()-2, $B1161), 1), "&gt;0"), L1160) + ROUND((L$2 * (LN(1 + $Z1161) ^ U$2) * (U$3 / 100)), 0))</f>
        <v/>
      </c>
      <c r="M1161" s="24">
        <f t="shared" si="2595"/>
        <v>57903</v>
      </c>
      <c r="N1161" s="24" t="str">
        <f t="shared" ref="N1161:O1161" si="2596">IF(N1160="", "", 1 + IFERROR(MINIFS(OFFSET(N1161, -1, 0, -MIN(ROW()-2, $B1161), 1), OFFSET(N1161, -1, 0, -MIN(ROW()-2, $B1161), 1), "&gt;0"), N1160) + ROUND(IFERROR(MINIFS(OFFSET(N1161, -1, 0, -MIN(ROW()-2, $B1161), 1), OFFSET(N1161, -1, 0, -MIN(ROW()-2, $B1161), 1), "&gt;0"), N1160) * ((LN(1 + $Z1161) ^ W$2) * (W$3 / 1000)), 0))</f>
        <v/>
      </c>
      <c r="O1161" s="24" t="str">
        <f t="shared" si="2596"/>
        <v/>
      </c>
      <c r="P1161" s="24">
        <f t="shared" ref="P1161:S1161" si="2597">L1161*$Y$2</f>
        <v>0</v>
      </c>
      <c r="Q1161" s="24">
        <f t="shared" si="2597"/>
        <v>14475.75</v>
      </c>
      <c r="R1161" s="24">
        <f t="shared" si="2597"/>
        <v>0</v>
      </c>
      <c r="S1161" s="24">
        <f t="shared" si="2597"/>
        <v>0</v>
      </c>
      <c r="T1161" s="24">
        <f t="shared" si="4"/>
        <v>27</v>
      </c>
      <c r="Z1161" s="25">
        <f t="shared" si="12"/>
        <v>7404.435376</v>
      </c>
    </row>
    <row r="1162">
      <c r="A1162" s="16" t="s">
        <v>3</v>
      </c>
      <c r="B1162" s="17">
        <v>261.0</v>
      </c>
      <c r="C1162" s="24">
        <f t="shared" si="1820"/>
        <v>90443172.86</v>
      </c>
      <c r="D1162" s="25">
        <v>0.05</v>
      </c>
      <c r="E1162" s="24">
        <f t="shared" si="1821"/>
        <v>2066.454771</v>
      </c>
      <c r="F1162" s="25">
        <v>0.02</v>
      </c>
      <c r="G1162" s="24">
        <f t="shared" si="1822"/>
        <v>12920453.27</v>
      </c>
      <c r="H1162" s="25">
        <v>0.05</v>
      </c>
      <c r="I1162" s="24">
        <f t="shared" si="1823"/>
        <v>1722.045642</v>
      </c>
      <c r="J1162" s="25">
        <v>0.02</v>
      </c>
      <c r="K1162" s="25">
        <v>0.0</v>
      </c>
      <c r="L1162" s="24" t="str">
        <f t="shared" ref="L1162:M1162" si="2598">IF(L1161="", "", 1 + IFERROR(MINIFS(OFFSET(L1162, -1, 0, -MIN(ROW()-2, $B1162), 1), OFFSET(L1162, -1, 0, -MIN(ROW()-2, $B1162), 1), "&gt;0"), L1161) + ROUND((L$2 * (LN(1 + $Z1162) ^ U$2) * (U$3 / 100)), 0))</f>
        <v/>
      </c>
      <c r="M1162" s="24">
        <f t="shared" si="2598"/>
        <v>57913</v>
      </c>
      <c r="N1162" s="24" t="str">
        <f t="shared" ref="N1162:O1162" si="2599">IF(N1161="", "", 1 + IFERROR(MINIFS(OFFSET(N1162, -1, 0, -MIN(ROW()-2, $B1162), 1), OFFSET(N1162, -1, 0, -MIN(ROW()-2, $B1162), 1), "&gt;0"), N1161) + ROUND(IFERROR(MINIFS(OFFSET(N1162, -1, 0, -MIN(ROW()-2, $B1162), 1), OFFSET(N1162, -1, 0, -MIN(ROW()-2, $B1162), 1), "&gt;0"), N1161) * ((LN(1 + $Z1162) ^ W$2) * (W$3 / 1000)), 0))</f>
        <v/>
      </c>
      <c r="O1162" s="24" t="str">
        <f t="shared" si="2599"/>
        <v/>
      </c>
      <c r="P1162" s="24">
        <f t="shared" ref="P1162:S1162" si="2600">L1162*$Y$2</f>
        <v>0</v>
      </c>
      <c r="Q1162" s="24">
        <f t="shared" si="2600"/>
        <v>14478.25</v>
      </c>
      <c r="R1162" s="24">
        <f t="shared" si="2600"/>
        <v>0</v>
      </c>
      <c r="S1162" s="24">
        <f t="shared" si="2600"/>
        <v>0</v>
      </c>
      <c r="T1162" s="24">
        <f t="shared" si="4"/>
        <v>27</v>
      </c>
      <c r="Z1162" s="25">
        <f t="shared" si="12"/>
        <v>7663.625614</v>
      </c>
    </row>
    <row r="1163">
      <c r="A1163" s="16" t="s">
        <v>3</v>
      </c>
      <c r="B1163" s="17">
        <v>262.0</v>
      </c>
      <c r="C1163" s="24">
        <f t="shared" si="1820"/>
        <v>94965331.5</v>
      </c>
      <c r="D1163" s="25">
        <v>0.05</v>
      </c>
      <c r="E1163" s="24">
        <f t="shared" si="1821"/>
        <v>2107.783866</v>
      </c>
      <c r="F1163" s="25">
        <v>0.02</v>
      </c>
      <c r="G1163" s="24">
        <f t="shared" si="1822"/>
        <v>13566475.93</v>
      </c>
      <c r="H1163" s="25">
        <v>0.05</v>
      </c>
      <c r="I1163" s="24">
        <f t="shared" si="1823"/>
        <v>1756.486555</v>
      </c>
      <c r="J1163" s="25">
        <v>0.02</v>
      </c>
      <c r="K1163" s="25">
        <v>0.0</v>
      </c>
      <c r="L1163" s="24" t="str">
        <f t="shared" ref="L1163:M1163" si="2601">IF(L1162="", "", 1 + IFERROR(MINIFS(OFFSET(L1163, -1, 0, -MIN(ROW()-2, $B1163), 1), OFFSET(L1163, -1, 0, -MIN(ROW()-2, $B1163), 1), "&gt;0"), L1162) + ROUND((L$2 * (LN(1 + $Z1163) ^ U$2) * (U$3 / 100)), 0))</f>
        <v/>
      </c>
      <c r="M1163" s="24">
        <f t="shared" si="2601"/>
        <v>57923</v>
      </c>
      <c r="N1163" s="24" t="str">
        <f t="shared" ref="N1163:O1163" si="2602">IF(N1162="", "", 1 + IFERROR(MINIFS(OFFSET(N1163, -1, 0, -MIN(ROW()-2, $B1163), 1), OFFSET(N1163, -1, 0, -MIN(ROW()-2, $B1163), 1), "&gt;0"), N1162) + ROUND(IFERROR(MINIFS(OFFSET(N1163, -1, 0, -MIN(ROW()-2, $B1163), 1), OFFSET(N1163, -1, 0, -MIN(ROW()-2, $B1163), 1), "&gt;0"), N1162) * ((LN(1 + $Z1163) ^ W$2) * (W$3 / 1000)), 0))</f>
        <v/>
      </c>
      <c r="O1163" s="24" t="str">
        <f t="shared" si="2602"/>
        <v/>
      </c>
      <c r="P1163" s="24">
        <f t="shared" ref="P1163:S1163" si="2603">L1163*$Y$2</f>
        <v>0</v>
      </c>
      <c r="Q1163" s="24">
        <f t="shared" si="2603"/>
        <v>14480.75</v>
      </c>
      <c r="R1163" s="24">
        <f t="shared" si="2603"/>
        <v>0</v>
      </c>
      <c r="S1163" s="24">
        <f t="shared" si="2603"/>
        <v>0</v>
      </c>
      <c r="T1163" s="24">
        <f t="shared" si="4"/>
        <v>27</v>
      </c>
      <c r="Z1163" s="25">
        <f t="shared" si="12"/>
        <v>7931.88751</v>
      </c>
    </row>
    <row r="1164">
      <c r="A1164" s="16" t="s">
        <v>3</v>
      </c>
      <c r="B1164" s="17">
        <v>263.0</v>
      </c>
      <c r="C1164" s="24">
        <f t="shared" si="1820"/>
        <v>99713598.08</v>
      </c>
      <c r="D1164" s="25">
        <v>0.05</v>
      </c>
      <c r="E1164" s="24">
        <f t="shared" si="1821"/>
        <v>2149.939543</v>
      </c>
      <c r="F1164" s="25">
        <v>0.02</v>
      </c>
      <c r="G1164" s="24">
        <f t="shared" si="1822"/>
        <v>14244799.73</v>
      </c>
      <c r="H1164" s="25">
        <v>0.05</v>
      </c>
      <c r="I1164" s="24">
        <f t="shared" si="1823"/>
        <v>1791.616286</v>
      </c>
      <c r="J1164" s="25">
        <v>0.02</v>
      </c>
      <c r="K1164" s="25">
        <v>0.0</v>
      </c>
      <c r="L1164" s="24" t="str">
        <f t="shared" ref="L1164:M1164" si="2604">IF(L1163="", "", 1 + IFERROR(MINIFS(OFFSET(L1164, -1, 0, -MIN(ROW()-2, $B1164), 1), OFFSET(L1164, -1, 0, -MIN(ROW()-2, $B1164), 1), "&gt;0"), L1163) + ROUND((L$2 * (LN(1 + $Z1164) ^ U$2) * (U$3 / 100)), 0))</f>
        <v/>
      </c>
      <c r="M1164" s="24">
        <f t="shared" si="2604"/>
        <v>57933</v>
      </c>
      <c r="N1164" s="24" t="str">
        <f t="shared" ref="N1164:O1164" si="2605">IF(N1163="", "", 1 + IFERROR(MINIFS(OFFSET(N1164, -1, 0, -MIN(ROW()-2, $B1164), 1), OFFSET(N1164, -1, 0, -MIN(ROW()-2, $B1164), 1), "&gt;0"), N1163) + ROUND(IFERROR(MINIFS(OFFSET(N1164, -1, 0, -MIN(ROW()-2, $B1164), 1), OFFSET(N1164, -1, 0, -MIN(ROW()-2, $B1164), 1), "&gt;0"), N1163) * ((LN(1 + $Z1164) ^ W$2) * (W$3 / 1000)), 0))</f>
        <v/>
      </c>
      <c r="O1164" s="24" t="str">
        <f t="shared" si="2605"/>
        <v/>
      </c>
      <c r="P1164" s="24">
        <f t="shared" ref="P1164:S1164" si="2606">L1164*$Y$2</f>
        <v>0</v>
      </c>
      <c r="Q1164" s="24">
        <f t="shared" si="2606"/>
        <v>14483.25</v>
      </c>
      <c r="R1164" s="24">
        <f t="shared" si="2606"/>
        <v>0</v>
      </c>
      <c r="S1164" s="24">
        <f t="shared" si="2606"/>
        <v>0</v>
      </c>
      <c r="T1164" s="24">
        <f t="shared" si="4"/>
        <v>27</v>
      </c>
      <c r="Z1164" s="25">
        <f t="shared" si="12"/>
        <v>8209.538573</v>
      </c>
    </row>
    <row r="1165">
      <c r="A1165" s="16" t="s">
        <v>3</v>
      </c>
      <c r="B1165" s="17">
        <v>264.0</v>
      </c>
      <c r="C1165" s="24">
        <f t="shared" si="1820"/>
        <v>104699278</v>
      </c>
      <c r="D1165" s="25">
        <v>0.05</v>
      </c>
      <c r="E1165" s="24">
        <f t="shared" si="1821"/>
        <v>2192.938334</v>
      </c>
      <c r="F1165" s="25">
        <v>0.02</v>
      </c>
      <c r="G1165" s="24">
        <f t="shared" si="1822"/>
        <v>14957039.71</v>
      </c>
      <c r="H1165" s="25">
        <v>0.05</v>
      </c>
      <c r="I1165" s="24">
        <f t="shared" si="1823"/>
        <v>1827.448612</v>
      </c>
      <c r="J1165" s="25">
        <v>0.02</v>
      </c>
      <c r="K1165" s="25">
        <v>0.0</v>
      </c>
      <c r="L1165" s="24" t="str">
        <f t="shared" ref="L1165:M1165" si="2607">IF(L1164="", "", 1 + IFERROR(MINIFS(OFFSET(L1165, -1, 0, -MIN(ROW()-2, $B1165), 1), OFFSET(L1165, -1, 0, -MIN(ROW()-2, $B1165), 1), "&gt;0"), L1164) + ROUND((L$2 * (LN(1 + $Z1165) ^ U$2) * (U$3 / 100)), 0))</f>
        <v/>
      </c>
      <c r="M1165" s="24">
        <f t="shared" si="2607"/>
        <v>57943</v>
      </c>
      <c r="N1165" s="24" t="str">
        <f t="shared" ref="N1165:O1165" si="2608">IF(N1164="", "", 1 + IFERROR(MINIFS(OFFSET(N1165, -1, 0, -MIN(ROW()-2, $B1165), 1), OFFSET(N1165, -1, 0, -MIN(ROW()-2, $B1165), 1), "&gt;0"), N1164) + ROUND(IFERROR(MINIFS(OFFSET(N1165, -1, 0, -MIN(ROW()-2, $B1165), 1), OFFSET(N1165, -1, 0, -MIN(ROW()-2, $B1165), 1), "&gt;0"), N1164) * ((LN(1 + $Z1165) ^ W$2) * (W$3 / 1000)), 0))</f>
        <v/>
      </c>
      <c r="O1165" s="24" t="str">
        <f t="shared" si="2608"/>
        <v/>
      </c>
      <c r="P1165" s="24">
        <f t="shared" ref="P1165:S1165" si="2609">L1165*$Y$2</f>
        <v>0</v>
      </c>
      <c r="Q1165" s="24">
        <f t="shared" si="2609"/>
        <v>14485.75</v>
      </c>
      <c r="R1165" s="24">
        <f t="shared" si="2609"/>
        <v>0</v>
      </c>
      <c r="S1165" s="24">
        <f t="shared" si="2609"/>
        <v>0</v>
      </c>
      <c r="T1165" s="24">
        <f t="shared" si="4"/>
        <v>27</v>
      </c>
      <c r="Z1165" s="25">
        <f t="shared" si="12"/>
        <v>8496.907423</v>
      </c>
    </row>
    <row r="1166">
      <c r="A1166" s="16" t="s">
        <v>3</v>
      </c>
      <c r="B1166" s="17">
        <v>265.0</v>
      </c>
      <c r="C1166" s="24">
        <f t="shared" si="1820"/>
        <v>109934241.9</v>
      </c>
      <c r="D1166" s="25">
        <v>0.05</v>
      </c>
      <c r="E1166" s="24">
        <f t="shared" si="1821"/>
        <v>2236.797101</v>
      </c>
      <c r="F1166" s="25">
        <v>0.02</v>
      </c>
      <c r="G1166" s="24">
        <f t="shared" si="1822"/>
        <v>15704891.7</v>
      </c>
      <c r="H1166" s="25">
        <v>0.05</v>
      </c>
      <c r="I1166" s="24">
        <f t="shared" si="1823"/>
        <v>1863.997584</v>
      </c>
      <c r="J1166" s="25">
        <v>0.02</v>
      </c>
      <c r="K1166" s="25">
        <v>0.0</v>
      </c>
      <c r="L1166" s="24" t="str">
        <f t="shared" ref="L1166:M1166" si="2610">IF(L1165="", "", 1 + IFERROR(MINIFS(OFFSET(L1166, -1, 0, -MIN(ROW()-2, $B1166), 1), OFFSET(L1166, -1, 0, -MIN(ROW()-2, $B1166), 1), "&gt;0"), L1165) + ROUND((L$2 * (LN(1 + $Z1166) ^ U$2) * (U$3 / 100)), 0))</f>
        <v/>
      </c>
      <c r="M1166" s="24">
        <f t="shared" si="2610"/>
        <v>57953</v>
      </c>
      <c r="N1166" s="24" t="str">
        <f t="shared" ref="N1166:O1166" si="2611">IF(N1165="", "", 1 + IFERROR(MINIFS(OFFSET(N1166, -1, 0, -MIN(ROW()-2, $B1166), 1), OFFSET(N1166, -1, 0, -MIN(ROW()-2, $B1166), 1), "&gt;0"), N1165) + ROUND(IFERROR(MINIFS(OFFSET(N1166, -1, 0, -MIN(ROW()-2, $B1166), 1), OFFSET(N1166, -1, 0, -MIN(ROW()-2, $B1166), 1), "&gt;0"), N1165) * ((LN(1 + $Z1166) ^ W$2) * (W$3 / 1000)), 0))</f>
        <v/>
      </c>
      <c r="O1166" s="24" t="str">
        <f t="shared" si="2611"/>
        <v/>
      </c>
      <c r="P1166" s="24">
        <f t="shared" ref="P1166:S1166" si="2612">L1166*$Y$2</f>
        <v>0</v>
      </c>
      <c r="Q1166" s="24">
        <f t="shared" si="2612"/>
        <v>14488.25</v>
      </c>
      <c r="R1166" s="24">
        <f t="shared" si="2612"/>
        <v>0</v>
      </c>
      <c r="S1166" s="24">
        <f t="shared" si="2612"/>
        <v>0</v>
      </c>
      <c r="T1166" s="24">
        <f t="shared" si="4"/>
        <v>28</v>
      </c>
      <c r="Z1166" s="25">
        <f t="shared" si="12"/>
        <v>8794.334183</v>
      </c>
    </row>
    <row r="1167">
      <c r="A1167" s="16" t="s">
        <v>3</v>
      </c>
      <c r="B1167" s="17">
        <v>266.0</v>
      </c>
      <c r="C1167" s="24">
        <f t="shared" si="1820"/>
        <v>115430954</v>
      </c>
      <c r="D1167" s="25">
        <v>0.05</v>
      </c>
      <c r="E1167" s="24">
        <f t="shared" si="1821"/>
        <v>2281.533043</v>
      </c>
      <c r="F1167" s="25">
        <v>0.02</v>
      </c>
      <c r="G1167" s="24">
        <f t="shared" si="1822"/>
        <v>16490136.28</v>
      </c>
      <c r="H1167" s="25">
        <v>0.05</v>
      </c>
      <c r="I1167" s="24">
        <f t="shared" si="1823"/>
        <v>1901.277536</v>
      </c>
      <c r="J1167" s="25">
        <v>0.02</v>
      </c>
      <c r="K1167" s="25">
        <v>0.0</v>
      </c>
      <c r="L1167" s="24" t="str">
        <f t="shared" ref="L1167:M1167" si="2613">IF(L1166="", "", 1 + IFERROR(MINIFS(OFFSET(L1167, -1, 0, -MIN(ROW()-2, $B1167), 1), OFFSET(L1167, -1, 0, -MIN(ROW()-2, $B1167), 1), "&gt;0"), L1166) + ROUND((L$2 * (LN(1 + $Z1167) ^ U$2) * (U$3 / 100)), 0))</f>
        <v/>
      </c>
      <c r="M1167" s="24">
        <f t="shared" si="2613"/>
        <v>57963</v>
      </c>
      <c r="N1167" s="24" t="str">
        <f t="shared" ref="N1167:O1167" si="2614">IF(N1166="", "", 1 + IFERROR(MINIFS(OFFSET(N1167, -1, 0, -MIN(ROW()-2, $B1167), 1), OFFSET(N1167, -1, 0, -MIN(ROW()-2, $B1167), 1), "&gt;0"), N1166) + ROUND(IFERROR(MINIFS(OFFSET(N1167, -1, 0, -MIN(ROW()-2, $B1167), 1), OFFSET(N1167, -1, 0, -MIN(ROW()-2, $B1167), 1), "&gt;0"), N1166) * ((LN(1 + $Z1167) ^ W$2) * (W$3 / 1000)), 0))</f>
        <v/>
      </c>
      <c r="O1167" s="24" t="str">
        <f t="shared" si="2614"/>
        <v/>
      </c>
      <c r="P1167" s="24">
        <f t="shared" ref="P1167:S1167" si="2615">L1167*$Y$2</f>
        <v>0</v>
      </c>
      <c r="Q1167" s="24">
        <f t="shared" si="2615"/>
        <v>14490.75</v>
      </c>
      <c r="R1167" s="24">
        <f t="shared" si="2615"/>
        <v>0</v>
      </c>
      <c r="S1167" s="24">
        <f t="shared" si="2615"/>
        <v>0</v>
      </c>
      <c r="T1167" s="24">
        <f t="shared" si="4"/>
        <v>28</v>
      </c>
      <c r="Z1167" s="25">
        <f t="shared" si="12"/>
        <v>9102.170879</v>
      </c>
    </row>
    <row r="1168">
      <c r="A1168" s="16" t="s">
        <v>3</v>
      </c>
      <c r="B1168" s="17">
        <v>267.0</v>
      </c>
      <c r="C1168" s="24">
        <f t="shared" si="1820"/>
        <v>121202501.7</v>
      </c>
      <c r="D1168" s="25">
        <v>0.05</v>
      </c>
      <c r="E1168" s="24">
        <f t="shared" si="1821"/>
        <v>2327.163704</v>
      </c>
      <c r="F1168" s="25">
        <v>0.02</v>
      </c>
      <c r="G1168" s="24">
        <f t="shared" si="1822"/>
        <v>17314643.1</v>
      </c>
      <c r="H1168" s="25">
        <v>0.05</v>
      </c>
      <c r="I1168" s="24">
        <f t="shared" si="1823"/>
        <v>1939.303087</v>
      </c>
      <c r="J1168" s="25">
        <v>0.02</v>
      </c>
      <c r="K1168" s="25">
        <v>0.0</v>
      </c>
      <c r="L1168" s="24" t="str">
        <f t="shared" ref="L1168:M1168" si="2616">IF(L1167="", "", 1 + IFERROR(MINIFS(OFFSET(L1168, -1, 0, -MIN(ROW()-2, $B1168), 1), OFFSET(L1168, -1, 0, -MIN(ROW()-2, $B1168), 1), "&gt;0"), L1167) + ROUND((L$2 * (LN(1 + $Z1168) ^ U$2) * (U$3 / 100)), 0))</f>
        <v/>
      </c>
      <c r="M1168" s="24">
        <f t="shared" si="2616"/>
        <v>57973</v>
      </c>
      <c r="N1168" s="24" t="str">
        <f t="shared" ref="N1168:O1168" si="2617">IF(N1167="", "", 1 + IFERROR(MINIFS(OFFSET(N1168, -1, 0, -MIN(ROW()-2, $B1168), 1), OFFSET(N1168, -1, 0, -MIN(ROW()-2, $B1168), 1), "&gt;0"), N1167) + ROUND(IFERROR(MINIFS(OFFSET(N1168, -1, 0, -MIN(ROW()-2, $B1168), 1), OFFSET(N1168, -1, 0, -MIN(ROW()-2, $B1168), 1), "&gt;0"), N1167) * ((LN(1 + $Z1168) ^ W$2) * (W$3 / 1000)), 0))</f>
        <v/>
      </c>
      <c r="O1168" s="24" t="str">
        <f t="shared" si="2617"/>
        <v/>
      </c>
      <c r="P1168" s="24">
        <f t="shared" ref="P1168:S1168" si="2618">L1168*$Y$2</f>
        <v>0</v>
      </c>
      <c r="Q1168" s="24">
        <f t="shared" si="2618"/>
        <v>14493.25</v>
      </c>
      <c r="R1168" s="24">
        <f t="shared" si="2618"/>
        <v>0</v>
      </c>
      <c r="S1168" s="24">
        <f t="shared" si="2618"/>
        <v>0</v>
      </c>
      <c r="T1168" s="24">
        <f t="shared" si="4"/>
        <v>28</v>
      </c>
      <c r="Z1168" s="25">
        <f t="shared" si="12"/>
        <v>9420.78186</v>
      </c>
    </row>
    <row r="1169">
      <c r="A1169" s="16" t="s">
        <v>3</v>
      </c>
      <c r="B1169" s="17">
        <v>268.0</v>
      </c>
      <c r="C1169" s="24">
        <f t="shared" si="1820"/>
        <v>127262626.8</v>
      </c>
      <c r="D1169" s="25">
        <v>0.05</v>
      </c>
      <c r="E1169" s="24">
        <f t="shared" si="1821"/>
        <v>2373.706978</v>
      </c>
      <c r="F1169" s="25">
        <v>0.02</v>
      </c>
      <c r="G1169" s="24">
        <f t="shared" si="1822"/>
        <v>18180375.25</v>
      </c>
      <c r="H1169" s="25">
        <v>0.05</v>
      </c>
      <c r="I1169" s="24">
        <f t="shared" si="1823"/>
        <v>1978.089148</v>
      </c>
      <c r="J1169" s="25">
        <v>0.02</v>
      </c>
      <c r="K1169" s="25">
        <v>0.0</v>
      </c>
      <c r="L1169" s="24" t="str">
        <f t="shared" ref="L1169:M1169" si="2619">IF(L1168="", "", 1 + IFERROR(MINIFS(OFFSET(L1169, -1, 0, -MIN(ROW()-2, $B1169), 1), OFFSET(L1169, -1, 0, -MIN(ROW()-2, $B1169), 1), "&gt;0"), L1168) + ROUND((L$2 * (LN(1 + $Z1169) ^ U$2) * (U$3 / 100)), 0))</f>
        <v/>
      </c>
      <c r="M1169" s="24">
        <f t="shared" si="2619"/>
        <v>57983</v>
      </c>
      <c r="N1169" s="24" t="str">
        <f t="shared" ref="N1169:O1169" si="2620">IF(N1168="", "", 1 + IFERROR(MINIFS(OFFSET(N1169, -1, 0, -MIN(ROW()-2, $B1169), 1), OFFSET(N1169, -1, 0, -MIN(ROW()-2, $B1169), 1), "&gt;0"), N1168) + ROUND(IFERROR(MINIFS(OFFSET(N1169, -1, 0, -MIN(ROW()-2, $B1169), 1), OFFSET(N1169, -1, 0, -MIN(ROW()-2, $B1169), 1), "&gt;0"), N1168) * ((LN(1 + $Z1169) ^ W$2) * (W$3 / 1000)), 0))</f>
        <v/>
      </c>
      <c r="O1169" s="24" t="str">
        <f t="shared" si="2620"/>
        <v/>
      </c>
      <c r="P1169" s="24">
        <f t="shared" ref="P1169:S1169" si="2621">L1169*$Y$2</f>
        <v>0</v>
      </c>
      <c r="Q1169" s="24">
        <f t="shared" si="2621"/>
        <v>14495.75</v>
      </c>
      <c r="R1169" s="24">
        <f t="shared" si="2621"/>
        <v>0</v>
      </c>
      <c r="S1169" s="24">
        <f t="shared" si="2621"/>
        <v>0</v>
      </c>
      <c r="T1169" s="24">
        <f t="shared" si="4"/>
        <v>28</v>
      </c>
      <c r="Z1169" s="25">
        <f t="shared" si="12"/>
        <v>9750.544225</v>
      </c>
    </row>
    <row r="1170">
      <c r="A1170" s="16" t="s">
        <v>3</v>
      </c>
      <c r="B1170" s="17">
        <v>269.0</v>
      </c>
      <c r="C1170" s="24">
        <f t="shared" si="1820"/>
        <v>133625758.1</v>
      </c>
      <c r="D1170" s="25">
        <v>0.05</v>
      </c>
      <c r="E1170" s="24">
        <f t="shared" si="1821"/>
        <v>2421.181117</v>
      </c>
      <c r="F1170" s="25">
        <v>0.02</v>
      </c>
      <c r="G1170" s="24">
        <f t="shared" si="1822"/>
        <v>19089394.01</v>
      </c>
      <c r="H1170" s="25">
        <v>0.05</v>
      </c>
      <c r="I1170" s="24">
        <f t="shared" si="1823"/>
        <v>2017.650931</v>
      </c>
      <c r="J1170" s="25">
        <v>0.02</v>
      </c>
      <c r="K1170" s="25">
        <v>0.0</v>
      </c>
      <c r="L1170" s="24" t="str">
        <f t="shared" ref="L1170:M1170" si="2622">IF(L1169="", "", 1 + IFERROR(MINIFS(OFFSET(L1170, -1, 0, -MIN(ROW()-2, $B1170), 1), OFFSET(L1170, -1, 0, -MIN(ROW()-2, $B1170), 1), "&gt;0"), L1169) + ROUND((L$2 * (LN(1 + $Z1170) ^ U$2) * (U$3 / 100)), 0))</f>
        <v/>
      </c>
      <c r="M1170" s="24">
        <f t="shared" si="2622"/>
        <v>57993</v>
      </c>
      <c r="N1170" s="24" t="str">
        <f t="shared" ref="N1170:O1170" si="2623">IF(N1169="", "", 1 + IFERROR(MINIFS(OFFSET(N1170, -1, 0, -MIN(ROW()-2, $B1170), 1), OFFSET(N1170, -1, 0, -MIN(ROW()-2, $B1170), 1), "&gt;0"), N1169) + ROUND(IFERROR(MINIFS(OFFSET(N1170, -1, 0, -MIN(ROW()-2, $B1170), 1), OFFSET(N1170, -1, 0, -MIN(ROW()-2, $B1170), 1), "&gt;0"), N1169) * ((LN(1 + $Z1170) ^ W$2) * (W$3 / 1000)), 0))</f>
        <v/>
      </c>
      <c r="O1170" s="24" t="str">
        <f t="shared" si="2623"/>
        <v/>
      </c>
      <c r="P1170" s="24">
        <f t="shared" ref="P1170:S1170" si="2624">L1170*$Y$2</f>
        <v>0</v>
      </c>
      <c r="Q1170" s="24">
        <f t="shared" si="2624"/>
        <v>14498.25</v>
      </c>
      <c r="R1170" s="24">
        <f t="shared" si="2624"/>
        <v>0</v>
      </c>
      <c r="S1170" s="24">
        <f t="shared" si="2624"/>
        <v>0</v>
      </c>
      <c r="T1170" s="24">
        <f t="shared" si="4"/>
        <v>28</v>
      </c>
      <c r="Z1170" s="25">
        <f t="shared" si="12"/>
        <v>10091.84827</v>
      </c>
    </row>
    <row r="1171">
      <c r="A1171" s="16" t="s">
        <v>3</v>
      </c>
      <c r="B1171" s="17">
        <v>270.0</v>
      </c>
      <c r="C1171" s="24">
        <f t="shared" si="1820"/>
        <v>140307046</v>
      </c>
      <c r="D1171" s="25">
        <v>0.05</v>
      </c>
      <c r="E1171" s="24">
        <f t="shared" si="1821"/>
        <v>2469.60474</v>
      </c>
      <c r="F1171" s="25">
        <v>0.02</v>
      </c>
      <c r="G1171" s="24">
        <f t="shared" si="1822"/>
        <v>20043863.71</v>
      </c>
      <c r="H1171" s="25">
        <v>0.05</v>
      </c>
      <c r="I1171" s="24">
        <f t="shared" si="1823"/>
        <v>2058.00395</v>
      </c>
      <c r="J1171" s="25">
        <v>0.02</v>
      </c>
      <c r="K1171" s="25">
        <v>0.0</v>
      </c>
      <c r="L1171" s="24" t="str">
        <f t="shared" ref="L1171:M1171" si="2625">IF(L1170="", "", 1 + IFERROR(MINIFS(OFFSET(L1171, -1, 0, -MIN(ROW()-2, $B1171), 1), OFFSET(L1171, -1, 0, -MIN(ROW()-2, $B1171), 1), "&gt;0"), L1170) + ROUND((L$2 * (LN(1 + $Z1171) ^ U$2) * (U$3 / 100)), 0))</f>
        <v/>
      </c>
      <c r="M1171" s="24">
        <f t="shared" si="2625"/>
        <v>58003</v>
      </c>
      <c r="N1171" s="24" t="str">
        <f t="shared" ref="N1171:O1171" si="2626">IF(N1170="", "", 1 + IFERROR(MINIFS(OFFSET(N1171, -1, 0, -MIN(ROW()-2, $B1171), 1), OFFSET(N1171, -1, 0, -MIN(ROW()-2, $B1171), 1), "&gt;0"), N1170) + ROUND(IFERROR(MINIFS(OFFSET(N1171, -1, 0, -MIN(ROW()-2, $B1171), 1), OFFSET(N1171, -1, 0, -MIN(ROW()-2, $B1171), 1), "&gt;0"), N1170) * ((LN(1 + $Z1171) ^ W$2) * (W$3 / 1000)), 0))</f>
        <v/>
      </c>
      <c r="O1171" s="24" t="str">
        <f t="shared" si="2626"/>
        <v/>
      </c>
      <c r="P1171" s="24">
        <f t="shared" ref="P1171:S1171" si="2627">L1171*$Y$2</f>
        <v>0</v>
      </c>
      <c r="Q1171" s="24">
        <f t="shared" si="2627"/>
        <v>14500.75</v>
      </c>
      <c r="R1171" s="24">
        <f t="shared" si="2627"/>
        <v>0</v>
      </c>
      <c r="S1171" s="24">
        <f t="shared" si="2627"/>
        <v>0</v>
      </c>
      <c r="T1171" s="24">
        <f t="shared" si="4"/>
        <v>28</v>
      </c>
      <c r="Z1171" s="25">
        <f t="shared" si="12"/>
        <v>10445.09796</v>
      </c>
    </row>
    <row r="1172">
      <c r="A1172" s="16" t="s">
        <v>3</v>
      </c>
      <c r="B1172" s="17">
        <v>271.0</v>
      </c>
      <c r="C1172" s="24">
        <f t="shared" si="1820"/>
        <v>147322398.3</v>
      </c>
      <c r="D1172" s="25">
        <v>0.05</v>
      </c>
      <c r="E1172" s="24">
        <f t="shared" si="1821"/>
        <v>2518.996835</v>
      </c>
      <c r="F1172" s="25">
        <v>0.02</v>
      </c>
      <c r="G1172" s="24">
        <f t="shared" si="1822"/>
        <v>21046056.9</v>
      </c>
      <c r="H1172" s="25">
        <v>0.05</v>
      </c>
      <c r="I1172" s="24">
        <f t="shared" si="1823"/>
        <v>2099.164029</v>
      </c>
      <c r="J1172" s="25">
        <v>0.02</v>
      </c>
      <c r="K1172" s="25">
        <v>0.0</v>
      </c>
      <c r="L1172" s="24" t="str">
        <f t="shared" ref="L1172:M1172" si="2628">IF(L1171="", "", 1 + IFERROR(MINIFS(OFFSET(L1172, -1, 0, -MIN(ROW()-2, $B1172), 1), OFFSET(L1172, -1, 0, -MIN(ROW()-2, $B1172), 1), "&gt;0"), L1171) + ROUND((L$2 * (LN(1 + $Z1172) ^ U$2) * (U$3 / 100)), 0))</f>
        <v/>
      </c>
      <c r="M1172" s="24">
        <f t="shared" si="2628"/>
        <v>58014</v>
      </c>
      <c r="N1172" s="24" t="str">
        <f t="shared" ref="N1172:O1172" si="2629">IF(N1171="", "", 1 + IFERROR(MINIFS(OFFSET(N1172, -1, 0, -MIN(ROW()-2, $B1172), 1), OFFSET(N1172, -1, 0, -MIN(ROW()-2, $B1172), 1), "&gt;0"), N1171) + ROUND(IFERROR(MINIFS(OFFSET(N1172, -1, 0, -MIN(ROW()-2, $B1172), 1), OFFSET(N1172, -1, 0, -MIN(ROW()-2, $B1172), 1), "&gt;0"), N1171) * ((LN(1 + $Z1172) ^ W$2) * (W$3 / 1000)), 0))</f>
        <v/>
      </c>
      <c r="O1172" s="24" t="str">
        <f t="shared" si="2629"/>
        <v/>
      </c>
      <c r="P1172" s="24">
        <f t="shared" ref="P1172:S1172" si="2630">L1172*$Y$2</f>
        <v>0</v>
      </c>
      <c r="Q1172" s="24">
        <f t="shared" si="2630"/>
        <v>14503.5</v>
      </c>
      <c r="R1172" s="24">
        <f t="shared" si="2630"/>
        <v>0</v>
      </c>
      <c r="S1172" s="24">
        <f t="shared" si="2630"/>
        <v>0</v>
      </c>
      <c r="T1172" s="24">
        <f t="shared" si="4"/>
        <v>28</v>
      </c>
      <c r="Z1172" s="25">
        <f t="shared" si="12"/>
        <v>10810.71139</v>
      </c>
    </row>
    <row r="1173">
      <c r="A1173" s="16" t="s">
        <v>3</v>
      </c>
      <c r="B1173" s="17">
        <v>272.0</v>
      </c>
      <c r="C1173" s="24">
        <f t="shared" si="1820"/>
        <v>154688518.2</v>
      </c>
      <c r="D1173" s="25">
        <v>0.05</v>
      </c>
      <c r="E1173" s="24">
        <f t="shared" si="1821"/>
        <v>2569.376771</v>
      </c>
      <c r="F1173" s="25">
        <v>0.02</v>
      </c>
      <c r="G1173" s="24">
        <f t="shared" si="1822"/>
        <v>22098359.74</v>
      </c>
      <c r="H1173" s="25">
        <v>0.05</v>
      </c>
      <c r="I1173" s="24">
        <f t="shared" si="1823"/>
        <v>2141.147309</v>
      </c>
      <c r="J1173" s="25">
        <v>0.02</v>
      </c>
      <c r="K1173" s="25">
        <v>0.0</v>
      </c>
      <c r="L1173" s="24" t="str">
        <f t="shared" ref="L1173:M1173" si="2631">IF(L1172="", "", 1 + IFERROR(MINIFS(OFFSET(L1173, -1, 0, -MIN(ROW()-2, $B1173), 1), OFFSET(L1173, -1, 0, -MIN(ROW()-2, $B1173), 1), "&gt;0"), L1172) + ROUND((L$2 * (LN(1 + $Z1173) ^ U$2) * (U$3 / 100)), 0))</f>
        <v/>
      </c>
      <c r="M1173" s="24">
        <f t="shared" si="2631"/>
        <v>58025</v>
      </c>
      <c r="N1173" s="24" t="str">
        <f t="shared" ref="N1173:O1173" si="2632">IF(N1172="", "", 1 + IFERROR(MINIFS(OFFSET(N1173, -1, 0, -MIN(ROW()-2, $B1173), 1), OFFSET(N1173, -1, 0, -MIN(ROW()-2, $B1173), 1), "&gt;0"), N1172) + ROUND(IFERROR(MINIFS(OFFSET(N1173, -1, 0, -MIN(ROW()-2, $B1173), 1), OFFSET(N1173, -1, 0, -MIN(ROW()-2, $B1173), 1), "&gt;0"), N1172) * ((LN(1 + $Z1173) ^ W$2) * (W$3 / 1000)), 0))</f>
        <v/>
      </c>
      <c r="O1173" s="24" t="str">
        <f t="shared" si="2632"/>
        <v/>
      </c>
      <c r="P1173" s="24">
        <f t="shared" ref="P1173:S1173" si="2633">L1173*$Y$2</f>
        <v>0</v>
      </c>
      <c r="Q1173" s="24">
        <f t="shared" si="2633"/>
        <v>14506.25</v>
      </c>
      <c r="R1173" s="24">
        <f t="shared" si="2633"/>
        <v>0</v>
      </c>
      <c r="S1173" s="24">
        <f t="shared" si="2633"/>
        <v>0</v>
      </c>
      <c r="T1173" s="24">
        <f t="shared" si="4"/>
        <v>28</v>
      </c>
      <c r="Z1173" s="25">
        <f t="shared" si="12"/>
        <v>11189.12129</v>
      </c>
    </row>
    <row r="1174">
      <c r="A1174" s="16" t="s">
        <v>3</v>
      </c>
      <c r="B1174" s="17">
        <v>273.0</v>
      </c>
      <c r="C1174" s="24">
        <f t="shared" si="1820"/>
        <v>162422944.1</v>
      </c>
      <c r="D1174" s="25">
        <v>0.05</v>
      </c>
      <c r="E1174" s="24">
        <f t="shared" si="1821"/>
        <v>2620.764307</v>
      </c>
      <c r="F1174" s="25">
        <v>0.02</v>
      </c>
      <c r="G1174" s="24">
        <f t="shared" si="1822"/>
        <v>23203277.73</v>
      </c>
      <c r="H1174" s="25">
        <v>0.05</v>
      </c>
      <c r="I1174" s="24">
        <f t="shared" si="1823"/>
        <v>2183.970256</v>
      </c>
      <c r="J1174" s="25">
        <v>0.02</v>
      </c>
      <c r="K1174" s="25">
        <v>0.0</v>
      </c>
      <c r="L1174" s="24" t="str">
        <f t="shared" ref="L1174:M1174" si="2634">IF(L1173="", "", 1 + IFERROR(MINIFS(OFFSET(L1174, -1, 0, -MIN(ROW()-2, $B1174), 1), OFFSET(L1174, -1, 0, -MIN(ROW()-2, $B1174), 1), "&gt;0"), L1173) + ROUND((L$2 * (LN(1 + $Z1174) ^ U$2) * (U$3 / 100)), 0))</f>
        <v/>
      </c>
      <c r="M1174" s="24">
        <f t="shared" si="2634"/>
        <v>58036</v>
      </c>
      <c r="N1174" s="24" t="str">
        <f t="shared" ref="N1174:O1174" si="2635">IF(N1173="", "", 1 + IFERROR(MINIFS(OFFSET(N1174, -1, 0, -MIN(ROW()-2, $B1174), 1), OFFSET(N1174, -1, 0, -MIN(ROW()-2, $B1174), 1), "&gt;0"), N1173) + ROUND(IFERROR(MINIFS(OFFSET(N1174, -1, 0, -MIN(ROW()-2, $B1174), 1), OFFSET(N1174, -1, 0, -MIN(ROW()-2, $B1174), 1), "&gt;0"), N1173) * ((LN(1 + $Z1174) ^ W$2) * (W$3 / 1000)), 0))</f>
        <v/>
      </c>
      <c r="O1174" s="24" t="str">
        <f t="shared" si="2635"/>
        <v/>
      </c>
      <c r="P1174" s="24">
        <f t="shared" ref="P1174:S1174" si="2636">L1174*$Y$2</f>
        <v>0</v>
      </c>
      <c r="Q1174" s="24">
        <f t="shared" si="2636"/>
        <v>14509</v>
      </c>
      <c r="R1174" s="24">
        <f t="shared" si="2636"/>
        <v>0</v>
      </c>
      <c r="S1174" s="24">
        <f t="shared" si="2636"/>
        <v>0</v>
      </c>
      <c r="T1174" s="24">
        <f t="shared" si="4"/>
        <v>28</v>
      </c>
      <c r="Z1174" s="25">
        <f t="shared" si="12"/>
        <v>11580.77554</v>
      </c>
    </row>
    <row r="1175">
      <c r="A1175" s="16" t="s">
        <v>3</v>
      </c>
      <c r="B1175" s="17">
        <v>274.0</v>
      </c>
      <c r="C1175" s="24">
        <f t="shared" si="1820"/>
        <v>170544091.3</v>
      </c>
      <c r="D1175" s="25">
        <v>0.05</v>
      </c>
      <c r="E1175" s="24">
        <f t="shared" si="1821"/>
        <v>2673.179593</v>
      </c>
      <c r="F1175" s="25">
        <v>0.02</v>
      </c>
      <c r="G1175" s="24">
        <f t="shared" si="1822"/>
        <v>24363441.62</v>
      </c>
      <c r="H1175" s="25">
        <v>0.05</v>
      </c>
      <c r="I1175" s="24">
        <f t="shared" si="1823"/>
        <v>2227.649661</v>
      </c>
      <c r="J1175" s="25">
        <v>0.02</v>
      </c>
      <c r="K1175" s="25">
        <v>0.0</v>
      </c>
      <c r="L1175" s="24" t="str">
        <f t="shared" ref="L1175:M1175" si="2637">IF(L1174="", "", 1 + IFERROR(MINIFS(OFFSET(L1175, -1, 0, -MIN(ROW()-2, $B1175), 1), OFFSET(L1175, -1, 0, -MIN(ROW()-2, $B1175), 1), "&gt;0"), L1174) + ROUND((L$2 * (LN(1 + $Z1175) ^ U$2) * (U$3 / 100)), 0))</f>
        <v/>
      </c>
      <c r="M1175" s="24">
        <f t="shared" si="2637"/>
        <v>58047</v>
      </c>
      <c r="N1175" s="24" t="str">
        <f t="shared" ref="N1175:O1175" si="2638">IF(N1174="", "", 1 + IFERROR(MINIFS(OFFSET(N1175, -1, 0, -MIN(ROW()-2, $B1175), 1), OFFSET(N1175, -1, 0, -MIN(ROW()-2, $B1175), 1), "&gt;0"), N1174) + ROUND(IFERROR(MINIFS(OFFSET(N1175, -1, 0, -MIN(ROW()-2, $B1175), 1), OFFSET(N1175, -1, 0, -MIN(ROW()-2, $B1175), 1), "&gt;0"), N1174) * ((LN(1 + $Z1175) ^ W$2) * (W$3 / 1000)), 0))</f>
        <v/>
      </c>
      <c r="O1175" s="24" t="str">
        <f t="shared" si="2638"/>
        <v/>
      </c>
      <c r="P1175" s="24">
        <f t="shared" ref="P1175:S1175" si="2639">L1175*$Y$2</f>
        <v>0</v>
      </c>
      <c r="Q1175" s="24">
        <f t="shared" si="2639"/>
        <v>14511.75</v>
      </c>
      <c r="R1175" s="24">
        <f t="shared" si="2639"/>
        <v>0</v>
      </c>
      <c r="S1175" s="24">
        <f t="shared" si="2639"/>
        <v>0</v>
      </c>
      <c r="T1175" s="24">
        <f t="shared" si="4"/>
        <v>28</v>
      </c>
      <c r="Z1175" s="25">
        <f t="shared" si="12"/>
        <v>11986.13768</v>
      </c>
    </row>
    <row r="1176">
      <c r="A1176" s="16" t="s">
        <v>3</v>
      </c>
      <c r="B1176" s="17">
        <v>275.0</v>
      </c>
      <c r="C1176" s="24">
        <f t="shared" si="1820"/>
        <v>179071295.9</v>
      </c>
      <c r="D1176" s="25">
        <v>0.05</v>
      </c>
      <c r="E1176" s="24">
        <f t="shared" si="1821"/>
        <v>2726.643185</v>
      </c>
      <c r="F1176" s="25">
        <v>0.02</v>
      </c>
      <c r="G1176" s="24">
        <f t="shared" si="1822"/>
        <v>25581613.7</v>
      </c>
      <c r="H1176" s="25">
        <v>0.05</v>
      </c>
      <c r="I1176" s="24">
        <f t="shared" si="1823"/>
        <v>2272.202654</v>
      </c>
      <c r="J1176" s="25">
        <v>0.02</v>
      </c>
      <c r="K1176" s="25">
        <v>0.0</v>
      </c>
      <c r="L1176" s="24" t="str">
        <f t="shared" ref="L1176:M1176" si="2640">IF(L1175="", "", 1 + IFERROR(MINIFS(OFFSET(L1176, -1, 0, -MIN(ROW()-2, $B1176), 1), OFFSET(L1176, -1, 0, -MIN(ROW()-2, $B1176), 1), "&gt;0"), L1175) + ROUND((L$2 * (LN(1 + $Z1176) ^ U$2) * (U$3 / 100)), 0))</f>
        <v/>
      </c>
      <c r="M1176" s="24">
        <f t="shared" si="2640"/>
        <v>58058</v>
      </c>
      <c r="N1176" s="24" t="str">
        <f t="shared" ref="N1176:O1176" si="2641">IF(N1175="", "", 1 + IFERROR(MINIFS(OFFSET(N1176, -1, 0, -MIN(ROW()-2, $B1176), 1), OFFSET(N1176, -1, 0, -MIN(ROW()-2, $B1176), 1), "&gt;0"), N1175) + ROUND(IFERROR(MINIFS(OFFSET(N1176, -1, 0, -MIN(ROW()-2, $B1176), 1), OFFSET(N1176, -1, 0, -MIN(ROW()-2, $B1176), 1), "&gt;0"), N1175) * ((LN(1 + $Z1176) ^ W$2) * (W$3 / 1000)), 0))</f>
        <v/>
      </c>
      <c r="O1176" s="24" t="str">
        <f t="shared" si="2641"/>
        <v/>
      </c>
      <c r="P1176" s="24">
        <f t="shared" ref="P1176:S1176" si="2642">L1176*$Y$2</f>
        <v>0</v>
      </c>
      <c r="Q1176" s="24">
        <f t="shared" si="2642"/>
        <v>14514.5</v>
      </c>
      <c r="R1176" s="24">
        <f t="shared" si="2642"/>
        <v>0</v>
      </c>
      <c r="S1176" s="24">
        <f t="shared" si="2642"/>
        <v>0</v>
      </c>
      <c r="T1176" s="24">
        <f t="shared" si="4"/>
        <v>29</v>
      </c>
      <c r="Z1176" s="25">
        <f t="shared" si="12"/>
        <v>12405.6875</v>
      </c>
    </row>
    <row r="1177">
      <c r="A1177" s="16" t="s">
        <v>3</v>
      </c>
      <c r="B1177" s="17">
        <v>276.0</v>
      </c>
      <c r="C1177" s="24">
        <f t="shared" si="1820"/>
        <v>188024860.7</v>
      </c>
      <c r="D1177" s="25">
        <v>0.05</v>
      </c>
      <c r="E1177" s="24">
        <f t="shared" si="1821"/>
        <v>2781.176048</v>
      </c>
      <c r="F1177" s="25">
        <v>0.02</v>
      </c>
      <c r="G1177" s="24">
        <f t="shared" si="1822"/>
        <v>26860694.38</v>
      </c>
      <c r="H1177" s="25">
        <v>0.05</v>
      </c>
      <c r="I1177" s="24">
        <f t="shared" si="1823"/>
        <v>2317.646707</v>
      </c>
      <c r="J1177" s="25">
        <v>0.02</v>
      </c>
      <c r="K1177" s="25">
        <v>0.0</v>
      </c>
      <c r="L1177" s="24" t="str">
        <f t="shared" ref="L1177:M1177" si="2643">IF(L1176="", "", 1 + IFERROR(MINIFS(OFFSET(L1177, -1, 0, -MIN(ROW()-2, $B1177), 1), OFFSET(L1177, -1, 0, -MIN(ROW()-2, $B1177), 1), "&gt;0"), L1176) + ROUND((L$2 * (LN(1 + $Z1177) ^ U$2) * (U$3 / 100)), 0))</f>
        <v/>
      </c>
      <c r="M1177" s="24">
        <f t="shared" si="2643"/>
        <v>58069</v>
      </c>
      <c r="N1177" s="24" t="str">
        <f t="shared" ref="N1177:O1177" si="2644">IF(N1176="", "", 1 + IFERROR(MINIFS(OFFSET(N1177, -1, 0, -MIN(ROW()-2, $B1177), 1), OFFSET(N1177, -1, 0, -MIN(ROW()-2, $B1177), 1), "&gt;0"), N1176) + ROUND(IFERROR(MINIFS(OFFSET(N1177, -1, 0, -MIN(ROW()-2, $B1177), 1), OFFSET(N1177, -1, 0, -MIN(ROW()-2, $B1177), 1), "&gt;0"), N1176) * ((LN(1 + $Z1177) ^ W$2) * (W$3 / 1000)), 0))</f>
        <v/>
      </c>
      <c r="O1177" s="24" t="str">
        <f t="shared" si="2644"/>
        <v/>
      </c>
      <c r="P1177" s="24">
        <f t="shared" ref="P1177:S1177" si="2645">L1177*$Y$2</f>
        <v>0</v>
      </c>
      <c r="Q1177" s="24">
        <f t="shared" si="2645"/>
        <v>14517.25</v>
      </c>
      <c r="R1177" s="24">
        <f t="shared" si="2645"/>
        <v>0</v>
      </c>
      <c r="S1177" s="24">
        <f t="shared" si="2645"/>
        <v>0</v>
      </c>
      <c r="T1177" s="24">
        <f t="shared" si="4"/>
        <v>29</v>
      </c>
      <c r="Z1177" s="25">
        <f t="shared" si="12"/>
        <v>12839.92156</v>
      </c>
    </row>
    <row r="1178">
      <c r="A1178" s="16" t="s">
        <v>3</v>
      </c>
      <c r="B1178" s="17">
        <v>277.0</v>
      </c>
      <c r="C1178" s="24">
        <f t="shared" si="1820"/>
        <v>197426103.7</v>
      </c>
      <c r="D1178" s="25">
        <v>0.05</v>
      </c>
      <c r="E1178" s="24">
        <f t="shared" si="1821"/>
        <v>2836.799569</v>
      </c>
      <c r="F1178" s="25">
        <v>0.02</v>
      </c>
      <c r="G1178" s="24">
        <f t="shared" si="1822"/>
        <v>28203729.1</v>
      </c>
      <c r="H1178" s="25">
        <v>0.05</v>
      </c>
      <c r="I1178" s="24">
        <f t="shared" si="1823"/>
        <v>2363.999641</v>
      </c>
      <c r="J1178" s="25">
        <v>0.02</v>
      </c>
      <c r="K1178" s="25">
        <v>0.0</v>
      </c>
      <c r="L1178" s="24" t="str">
        <f t="shared" ref="L1178:M1178" si="2646">IF(L1177="", "", 1 + IFERROR(MINIFS(OFFSET(L1178, -1, 0, -MIN(ROW()-2, $B1178), 1), OFFSET(L1178, -1, 0, -MIN(ROW()-2, $B1178), 1), "&gt;0"), L1177) + ROUND((L$2 * (LN(1 + $Z1178) ^ U$2) * (U$3 / 100)), 0))</f>
        <v/>
      </c>
      <c r="M1178" s="24">
        <f t="shared" si="2646"/>
        <v>58080</v>
      </c>
      <c r="N1178" s="24" t="str">
        <f t="shared" ref="N1178:O1178" si="2647">IF(N1177="", "", 1 + IFERROR(MINIFS(OFFSET(N1178, -1, 0, -MIN(ROW()-2, $B1178), 1), OFFSET(N1178, -1, 0, -MIN(ROW()-2, $B1178), 1), "&gt;0"), N1177) + ROUND(IFERROR(MINIFS(OFFSET(N1178, -1, 0, -MIN(ROW()-2, $B1178), 1), OFFSET(N1178, -1, 0, -MIN(ROW()-2, $B1178), 1), "&gt;0"), N1177) * ((LN(1 + $Z1178) ^ W$2) * (W$3 / 1000)), 0))</f>
        <v/>
      </c>
      <c r="O1178" s="24" t="str">
        <f t="shared" si="2647"/>
        <v/>
      </c>
      <c r="P1178" s="24">
        <f t="shared" ref="P1178:S1178" si="2648">L1178*$Y$2</f>
        <v>0</v>
      </c>
      <c r="Q1178" s="24">
        <f t="shared" si="2648"/>
        <v>14520</v>
      </c>
      <c r="R1178" s="24">
        <f t="shared" si="2648"/>
        <v>0</v>
      </c>
      <c r="S1178" s="24">
        <f t="shared" si="2648"/>
        <v>0</v>
      </c>
      <c r="T1178" s="24">
        <f t="shared" si="4"/>
        <v>29</v>
      </c>
      <c r="Z1178" s="25">
        <f t="shared" si="12"/>
        <v>13289.35381</v>
      </c>
    </row>
    <row r="1179">
      <c r="A1179" s="16" t="s">
        <v>3</v>
      </c>
      <c r="B1179" s="17">
        <v>278.0</v>
      </c>
      <c r="C1179" s="24">
        <f t="shared" si="1820"/>
        <v>207297408.9</v>
      </c>
      <c r="D1179" s="25">
        <v>0.05</v>
      </c>
      <c r="E1179" s="24">
        <f t="shared" si="1821"/>
        <v>2893.535561</v>
      </c>
      <c r="F1179" s="25">
        <v>0.02</v>
      </c>
      <c r="G1179" s="24">
        <f t="shared" si="1822"/>
        <v>29613915.56</v>
      </c>
      <c r="H1179" s="25">
        <v>0.05</v>
      </c>
      <c r="I1179" s="24">
        <f t="shared" si="1823"/>
        <v>2411.279634</v>
      </c>
      <c r="J1179" s="25">
        <v>0.02</v>
      </c>
      <c r="K1179" s="25">
        <v>0.0</v>
      </c>
      <c r="L1179" s="24" t="str">
        <f t="shared" ref="L1179:M1179" si="2649">IF(L1178="", "", 1 + IFERROR(MINIFS(OFFSET(L1179, -1, 0, -MIN(ROW()-2, $B1179), 1), OFFSET(L1179, -1, 0, -MIN(ROW()-2, $B1179), 1), "&gt;0"), L1178) + ROUND((L$2 * (LN(1 + $Z1179) ^ U$2) * (U$3 / 100)), 0))</f>
        <v/>
      </c>
      <c r="M1179" s="24">
        <f t="shared" si="2649"/>
        <v>58091</v>
      </c>
      <c r="N1179" s="24" t="str">
        <f t="shared" ref="N1179:O1179" si="2650">IF(N1178="", "", 1 + IFERROR(MINIFS(OFFSET(N1179, -1, 0, -MIN(ROW()-2, $B1179), 1), OFFSET(N1179, -1, 0, -MIN(ROW()-2, $B1179), 1), "&gt;0"), N1178) + ROUND(IFERROR(MINIFS(OFFSET(N1179, -1, 0, -MIN(ROW()-2, $B1179), 1), OFFSET(N1179, -1, 0, -MIN(ROW()-2, $B1179), 1), "&gt;0"), N1178) * ((LN(1 + $Z1179) ^ W$2) * (W$3 / 1000)), 0))</f>
        <v/>
      </c>
      <c r="O1179" s="24" t="str">
        <f t="shared" si="2650"/>
        <v/>
      </c>
      <c r="P1179" s="24">
        <f t="shared" ref="P1179:S1179" si="2651">L1179*$Y$2</f>
        <v>0</v>
      </c>
      <c r="Q1179" s="24">
        <f t="shared" si="2651"/>
        <v>14522.75</v>
      </c>
      <c r="R1179" s="24">
        <f t="shared" si="2651"/>
        <v>0</v>
      </c>
      <c r="S1179" s="24">
        <f t="shared" si="2651"/>
        <v>0</v>
      </c>
      <c r="T1179" s="24">
        <f t="shared" si="4"/>
        <v>29</v>
      </c>
      <c r="Z1179" s="25">
        <f t="shared" si="12"/>
        <v>13754.5162</v>
      </c>
    </row>
    <row r="1180">
      <c r="A1180" s="16" t="s">
        <v>3</v>
      </c>
      <c r="B1180" s="17">
        <v>279.0</v>
      </c>
      <c r="C1180" s="24">
        <f t="shared" si="1820"/>
        <v>217662279.4</v>
      </c>
      <c r="D1180" s="25">
        <v>0.05</v>
      </c>
      <c r="E1180" s="24">
        <f t="shared" si="1821"/>
        <v>2951.406272</v>
      </c>
      <c r="F1180" s="25">
        <v>0.02</v>
      </c>
      <c r="G1180" s="24">
        <f t="shared" si="1822"/>
        <v>31094611.34</v>
      </c>
      <c r="H1180" s="25">
        <v>0.05</v>
      </c>
      <c r="I1180" s="24">
        <f t="shared" si="1823"/>
        <v>2459.505227</v>
      </c>
      <c r="J1180" s="25">
        <v>0.02</v>
      </c>
      <c r="K1180" s="25">
        <v>0.0</v>
      </c>
      <c r="L1180" s="24" t="str">
        <f t="shared" ref="L1180:M1180" si="2652">IF(L1179="", "", 1 + IFERROR(MINIFS(OFFSET(L1180, -1, 0, -MIN(ROW()-2, $B1180), 1), OFFSET(L1180, -1, 0, -MIN(ROW()-2, $B1180), 1), "&gt;0"), L1179) + ROUND((L$2 * (LN(1 + $Z1180) ^ U$2) * (U$3 / 100)), 0))</f>
        <v/>
      </c>
      <c r="M1180" s="24">
        <f t="shared" si="2652"/>
        <v>58102</v>
      </c>
      <c r="N1180" s="24" t="str">
        <f t="shared" ref="N1180:O1180" si="2653">IF(N1179="", "", 1 + IFERROR(MINIFS(OFFSET(N1180, -1, 0, -MIN(ROW()-2, $B1180), 1), OFFSET(N1180, -1, 0, -MIN(ROW()-2, $B1180), 1), "&gt;0"), N1179) + ROUND(IFERROR(MINIFS(OFFSET(N1180, -1, 0, -MIN(ROW()-2, $B1180), 1), OFFSET(N1180, -1, 0, -MIN(ROW()-2, $B1180), 1), "&gt;0"), N1179) * ((LN(1 + $Z1180) ^ W$2) * (W$3 / 1000)), 0))</f>
        <v/>
      </c>
      <c r="O1180" s="24" t="str">
        <f t="shared" si="2653"/>
        <v/>
      </c>
      <c r="P1180" s="24">
        <f t="shared" ref="P1180:S1180" si="2654">L1180*$Y$2</f>
        <v>0</v>
      </c>
      <c r="Q1180" s="24">
        <f t="shared" si="2654"/>
        <v>14525.5</v>
      </c>
      <c r="R1180" s="24">
        <f t="shared" si="2654"/>
        <v>0</v>
      </c>
      <c r="S1180" s="24">
        <f t="shared" si="2654"/>
        <v>0</v>
      </c>
      <c r="T1180" s="24">
        <f t="shared" si="4"/>
        <v>29</v>
      </c>
      <c r="Z1180" s="25">
        <f t="shared" si="12"/>
        <v>14235.95927</v>
      </c>
    </row>
    <row r="1181">
      <c r="A1181" s="16" t="s">
        <v>3</v>
      </c>
      <c r="B1181" s="17">
        <v>280.0</v>
      </c>
      <c r="C1181" s="24">
        <f t="shared" si="1820"/>
        <v>228545393.3</v>
      </c>
      <c r="D1181" s="25">
        <v>0.05</v>
      </c>
      <c r="E1181" s="24">
        <f t="shared" si="1821"/>
        <v>3010.434397</v>
      </c>
      <c r="F1181" s="25">
        <v>0.02</v>
      </c>
      <c r="G1181" s="24">
        <f t="shared" si="1822"/>
        <v>32649341.9</v>
      </c>
      <c r="H1181" s="25">
        <v>0.05</v>
      </c>
      <c r="I1181" s="24">
        <f t="shared" si="1823"/>
        <v>2508.695331</v>
      </c>
      <c r="J1181" s="25">
        <v>0.02</v>
      </c>
      <c r="K1181" s="25">
        <v>0.0</v>
      </c>
      <c r="L1181" s="24" t="str">
        <f t="shared" ref="L1181:M1181" si="2655">IF(L1180="", "", 1 + IFERROR(MINIFS(OFFSET(L1181, -1, 0, -MIN(ROW()-2, $B1181), 1), OFFSET(L1181, -1, 0, -MIN(ROW()-2, $B1181), 1), "&gt;0"), L1180) + ROUND((L$2 * (LN(1 + $Z1181) ^ U$2) * (U$3 / 100)), 0))</f>
        <v/>
      </c>
      <c r="M1181" s="24">
        <f t="shared" si="2655"/>
        <v>58113</v>
      </c>
      <c r="N1181" s="24" t="str">
        <f t="shared" ref="N1181:O1181" si="2656">IF(N1180="", "", 1 + IFERROR(MINIFS(OFFSET(N1181, -1, 0, -MIN(ROW()-2, $B1181), 1), OFFSET(N1181, -1, 0, -MIN(ROW()-2, $B1181), 1), "&gt;0"), N1180) + ROUND(IFERROR(MINIFS(OFFSET(N1181, -1, 0, -MIN(ROW()-2, $B1181), 1), OFFSET(N1181, -1, 0, -MIN(ROW()-2, $B1181), 1), "&gt;0"), N1180) * ((LN(1 + $Z1181) ^ W$2) * (W$3 / 1000)), 0))</f>
        <v/>
      </c>
      <c r="O1181" s="24" t="str">
        <f t="shared" si="2656"/>
        <v/>
      </c>
      <c r="P1181" s="24">
        <f t="shared" ref="P1181:S1181" si="2657">L1181*$Y$2</f>
        <v>0</v>
      </c>
      <c r="Q1181" s="24">
        <f t="shared" si="2657"/>
        <v>14528.25</v>
      </c>
      <c r="R1181" s="24">
        <f t="shared" si="2657"/>
        <v>0</v>
      </c>
      <c r="S1181" s="24">
        <f t="shared" si="2657"/>
        <v>0</v>
      </c>
      <c r="T1181" s="24">
        <f t="shared" si="4"/>
        <v>29</v>
      </c>
      <c r="Z1181" s="25">
        <f t="shared" si="12"/>
        <v>14734.25284</v>
      </c>
    </row>
    <row r="1182">
      <c r="A1182" s="16" t="s">
        <v>3</v>
      </c>
      <c r="B1182" s="17">
        <v>281.0</v>
      </c>
      <c r="C1182" s="24">
        <f t="shared" si="1820"/>
        <v>239972663</v>
      </c>
      <c r="D1182" s="25">
        <v>0.05</v>
      </c>
      <c r="E1182" s="24">
        <f t="shared" si="1821"/>
        <v>3070.643085</v>
      </c>
      <c r="F1182" s="25">
        <v>0.02</v>
      </c>
      <c r="G1182" s="24">
        <f t="shared" si="1822"/>
        <v>34281809</v>
      </c>
      <c r="H1182" s="25">
        <v>0.05</v>
      </c>
      <c r="I1182" s="24">
        <f t="shared" si="1823"/>
        <v>2558.869238</v>
      </c>
      <c r="J1182" s="25">
        <v>0.02</v>
      </c>
      <c r="K1182" s="25">
        <v>0.0</v>
      </c>
      <c r="L1182" s="24" t="str">
        <f t="shared" ref="L1182:M1182" si="2658">IF(L1181="", "", 1 + IFERROR(MINIFS(OFFSET(L1182, -1, 0, -MIN(ROW()-2, $B1182), 1), OFFSET(L1182, -1, 0, -MIN(ROW()-2, $B1182), 1), "&gt;0"), L1181) + ROUND((L$2 * (LN(1 + $Z1182) ^ U$2) * (U$3 / 100)), 0))</f>
        <v/>
      </c>
      <c r="M1182" s="24">
        <f t="shared" si="2658"/>
        <v>58124</v>
      </c>
      <c r="N1182" s="24" t="str">
        <f t="shared" ref="N1182:O1182" si="2659">IF(N1181="", "", 1 + IFERROR(MINIFS(OFFSET(N1182, -1, 0, -MIN(ROW()-2, $B1182), 1), OFFSET(N1182, -1, 0, -MIN(ROW()-2, $B1182), 1), "&gt;0"), N1181) + ROUND(IFERROR(MINIFS(OFFSET(N1182, -1, 0, -MIN(ROW()-2, $B1182), 1), OFFSET(N1182, -1, 0, -MIN(ROW()-2, $B1182), 1), "&gt;0"), N1181) * ((LN(1 + $Z1182) ^ W$2) * (W$3 / 1000)), 0))</f>
        <v/>
      </c>
      <c r="O1182" s="24" t="str">
        <f t="shared" si="2659"/>
        <v/>
      </c>
      <c r="P1182" s="24">
        <f t="shared" ref="P1182:S1182" si="2660">L1182*$Y$2</f>
        <v>0</v>
      </c>
      <c r="Q1182" s="24">
        <f t="shared" si="2660"/>
        <v>14531</v>
      </c>
      <c r="R1182" s="24">
        <f t="shared" si="2660"/>
        <v>0</v>
      </c>
      <c r="S1182" s="24">
        <f t="shared" si="2660"/>
        <v>0</v>
      </c>
      <c r="T1182" s="24">
        <f t="shared" si="4"/>
        <v>29</v>
      </c>
      <c r="Z1182" s="25">
        <f t="shared" si="12"/>
        <v>15249.98669</v>
      </c>
    </row>
    <row r="1183">
      <c r="A1183" s="16" t="s">
        <v>3</v>
      </c>
      <c r="B1183" s="17">
        <v>282.0</v>
      </c>
      <c r="C1183" s="24">
        <f t="shared" si="1820"/>
        <v>251971296.1</v>
      </c>
      <c r="D1183" s="25">
        <v>0.05</v>
      </c>
      <c r="E1183" s="24">
        <f t="shared" si="1821"/>
        <v>3132.055947</v>
      </c>
      <c r="F1183" s="25">
        <v>0.02</v>
      </c>
      <c r="G1183" s="24">
        <f t="shared" si="1822"/>
        <v>35995899.45</v>
      </c>
      <c r="H1183" s="25">
        <v>0.05</v>
      </c>
      <c r="I1183" s="24">
        <f t="shared" si="1823"/>
        <v>2610.046623</v>
      </c>
      <c r="J1183" s="25">
        <v>0.02</v>
      </c>
      <c r="K1183" s="25">
        <v>0.0</v>
      </c>
      <c r="L1183" s="24" t="str">
        <f t="shared" ref="L1183:M1183" si="2661">IF(L1182="", "", 1 + IFERROR(MINIFS(OFFSET(L1183, -1, 0, -MIN(ROW()-2, $B1183), 1), OFFSET(L1183, -1, 0, -MIN(ROW()-2, $B1183), 1), "&gt;0"), L1182) + ROUND((L$2 * (LN(1 + $Z1183) ^ U$2) * (U$3 / 100)), 0))</f>
        <v/>
      </c>
      <c r="M1183" s="24">
        <f t="shared" si="2661"/>
        <v>58135</v>
      </c>
      <c r="N1183" s="24" t="str">
        <f t="shared" ref="N1183:O1183" si="2662">IF(N1182="", "", 1 + IFERROR(MINIFS(OFFSET(N1183, -1, 0, -MIN(ROW()-2, $B1183), 1), OFFSET(N1183, -1, 0, -MIN(ROW()-2, $B1183), 1), "&gt;0"), N1182) + ROUND(IFERROR(MINIFS(OFFSET(N1183, -1, 0, -MIN(ROW()-2, $B1183), 1), OFFSET(N1183, -1, 0, -MIN(ROW()-2, $B1183), 1), "&gt;0"), N1182) * ((LN(1 + $Z1183) ^ W$2) * (W$3 / 1000)), 0))</f>
        <v/>
      </c>
      <c r="O1183" s="24" t="str">
        <f t="shared" si="2662"/>
        <v/>
      </c>
      <c r="P1183" s="24">
        <f t="shared" ref="P1183:S1183" si="2663">L1183*$Y$2</f>
        <v>0</v>
      </c>
      <c r="Q1183" s="24">
        <f t="shared" si="2663"/>
        <v>14533.75</v>
      </c>
      <c r="R1183" s="24">
        <f t="shared" si="2663"/>
        <v>0</v>
      </c>
      <c r="S1183" s="24">
        <f t="shared" si="2663"/>
        <v>0</v>
      </c>
      <c r="T1183" s="24">
        <f t="shared" si="4"/>
        <v>29</v>
      </c>
      <c r="Z1183" s="25">
        <f t="shared" si="12"/>
        <v>15783.77122</v>
      </c>
    </row>
    <row r="1184">
      <c r="A1184" s="16" t="s">
        <v>3</v>
      </c>
      <c r="B1184" s="17">
        <v>283.0</v>
      </c>
      <c r="C1184" s="24">
        <f t="shared" si="1820"/>
        <v>264569860.9</v>
      </c>
      <c r="D1184" s="25">
        <v>0.05</v>
      </c>
      <c r="E1184" s="24">
        <f t="shared" si="1821"/>
        <v>3194.697066</v>
      </c>
      <c r="F1184" s="25">
        <v>0.02</v>
      </c>
      <c r="G1184" s="24">
        <f t="shared" si="1822"/>
        <v>37795694.42</v>
      </c>
      <c r="H1184" s="25">
        <v>0.05</v>
      </c>
      <c r="I1184" s="24">
        <f t="shared" si="1823"/>
        <v>2662.247555</v>
      </c>
      <c r="J1184" s="25">
        <v>0.02</v>
      </c>
      <c r="K1184" s="25">
        <v>0.0</v>
      </c>
      <c r="L1184" s="24" t="str">
        <f t="shared" ref="L1184:M1184" si="2664">IF(L1183="", "", 1 + IFERROR(MINIFS(OFFSET(L1184, -1, 0, -MIN(ROW()-2, $B1184), 1), OFFSET(L1184, -1, 0, -MIN(ROW()-2, $B1184), 1), "&gt;0"), L1183) + ROUND((L$2 * (LN(1 + $Z1184) ^ U$2) * (U$3 / 100)), 0))</f>
        <v/>
      </c>
      <c r="M1184" s="24">
        <f t="shared" si="2664"/>
        <v>58146</v>
      </c>
      <c r="N1184" s="24" t="str">
        <f t="shared" ref="N1184:O1184" si="2665">IF(N1183="", "", 1 + IFERROR(MINIFS(OFFSET(N1184, -1, 0, -MIN(ROW()-2, $B1184), 1), OFFSET(N1184, -1, 0, -MIN(ROW()-2, $B1184), 1), "&gt;0"), N1183) + ROUND(IFERROR(MINIFS(OFFSET(N1184, -1, 0, -MIN(ROW()-2, $B1184), 1), OFFSET(N1184, -1, 0, -MIN(ROW()-2, $B1184), 1), "&gt;0"), N1183) * ((LN(1 + $Z1184) ^ W$2) * (W$3 / 1000)), 0))</f>
        <v/>
      </c>
      <c r="O1184" s="24" t="str">
        <f t="shared" si="2665"/>
        <v/>
      </c>
      <c r="P1184" s="24">
        <f t="shared" ref="P1184:S1184" si="2666">L1184*$Y$2</f>
        <v>0</v>
      </c>
      <c r="Q1184" s="24">
        <f t="shared" si="2666"/>
        <v>14536.5</v>
      </c>
      <c r="R1184" s="24">
        <f t="shared" si="2666"/>
        <v>0</v>
      </c>
      <c r="S1184" s="24">
        <f t="shared" si="2666"/>
        <v>0</v>
      </c>
      <c r="T1184" s="24">
        <f t="shared" si="4"/>
        <v>29</v>
      </c>
      <c r="Z1184" s="25">
        <f t="shared" si="12"/>
        <v>16336.23822</v>
      </c>
    </row>
    <row r="1185">
      <c r="A1185" s="16" t="s">
        <v>3</v>
      </c>
      <c r="B1185" s="17">
        <v>284.0</v>
      </c>
      <c r="C1185" s="24">
        <f t="shared" si="1820"/>
        <v>277798354</v>
      </c>
      <c r="D1185" s="25">
        <v>0.05</v>
      </c>
      <c r="E1185" s="24">
        <f t="shared" si="1821"/>
        <v>3258.591007</v>
      </c>
      <c r="F1185" s="25">
        <v>0.02</v>
      </c>
      <c r="G1185" s="24">
        <f t="shared" si="1822"/>
        <v>39685479.14</v>
      </c>
      <c r="H1185" s="25">
        <v>0.05</v>
      </c>
      <c r="I1185" s="24">
        <f t="shared" si="1823"/>
        <v>2715.492506</v>
      </c>
      <c r="J1185" s="25">
        <v>0.02</v>
      </c>
      <c r="K1185" s="25">
        <v>0.0</v>
      </c>
      <c r="L1185" s="24" t="str">
        <f t="shared" ref="L1185:M1185" si="2667">IF(L1184="", "", 1 + IFERROR(MINIFS(OFFSET(L1185, -1, 0, -MIN(ROW()-2, $B1185), 1), OFFSET(L1185, -1, 0, -MIN(ROW()-2, $B1185), 1), "&gt;0"), L1184) + ROUND((L$2 * (LN(1 + $Z1185) ^ U$2) * (U$3 / 100)), 0))</f>
        <v/>
      </c>
      <c r="M1185" s="24">
        <f t="shared" si="2667"/>
        <v>58157</v>
      </c>
      <c r="N1185" s="24" t="str">
        <f t="shared" ref="N1185:O1185" si="2668">IF(N1184="", "", 1 + IFERROR(MINIFS(OFFSET(N1185, -1, 0, -MIN(ROW()-2, $B1185), 1), OFFSET(N1185, -1, 0, -MIN(ROW()-2, $B1185), 1), "&gt;0"), N1184) + ROUND(IFERROR(MINIFS(OFFSET(N1185, -1, 0, -MIN(ROW()-2, $B1185), 1), OFFSET(N1185, -1, 0, -MIN(ROW()-2, $B1185), 1), "&gt;0"), N1184) * ((LN(1 + $Z1185) ^ W$2) * (W$3 / 1000)), 0))</f>
        <v/>
      </c>
      <c r="O1185" s="24" t="str">
        <f t="shared" si="2668"/>
        <v/>
      </c>
      <c r="P1185" s="24">
        <f t="shared" ref="P1185:S1185" si="2669">L1185*$Y$2</f>
        <v>0</v>
      </c>
      <c r="Q1185" s="24">
        <f t="shared" si="2669"/>
        <v>14539.25</v>
      </c>
      <c r="R1185" s="24">
        <f t="shared" si="2669"/>
        <v>0</v>
      </c>
      <c r="S1185" s="24">
        <f t="shared" si="2669"/>
        <v>0</v>
      </c>
      <c r="T1185" s="24">
        <f t="shared" si="4"/>
        <v>29</v>
      </c>
      <c r="Z1185" s="25">
        <f t="shared" si="12"/>
        <v>16908.04155</v>
      </c>
    </row>
    <row r="1186">
      <c r="A1186" s="16" t="s">
        <v>3</v>
      </c>
      <c r="B1186" s="17">
        <v>285.0</v>
      </c>
      <c r="C1186" s="24">
        <f t="shared" si="1820"/>
        <v>291688271.7</v>
      </c>
      <c r="D1186" s="25">
        <v>0.05</v>
      </c>
      <c r="E1186" s="24">
        <f t="shared" si="1821"/>
        <v>3323.762828</v>
      </c>
      <c r="F1186" s="25">
        <v>0.02</v>
      </c>
      <c r="G1186" s="24">
        <f t="shared" si="1822"/>
        <v>41669753.1</v>
      </c>
      <c r="H1186" s="25">
        <v>0.05</v>
      </c>
      <c r="I1186" s="24">
        <f t="shared" si="1823"/>
        <v>2769.802356</v>
      </c>
      <c r="J1186" s="25">
        <v>0.02</v>
      </c>
      <c r="K1186" s="25">
        <v>0.0</v>
      </c>
      <c r="L1186" s="24" t="str">
        <f t="shared" ref="L1186:M1186" si="2670">IF(L1185="", "", 1 + IFERROR(MINIFS(OFFSET(L1186, -1, 0, -MIN(ROW()-2, $B1186), 1), OFFSET(L1186, -1, 0, -MIN(ROW()-2, $B1186), 1), "&gt;0"), L1185) + ROUND((L$2 * (LN(1 + $Z1186) ^ U$2) * (U$3 / 100)), 0))</f>
        <v/>
      </c>
      <c r="M1186" s="24">
        <f t="shared" si="2670"/>
        <v>58168</v>
      </c>
      <c r="N1186" s="24" t="str">
        <f t="shared" ref="N1186:O1186" si="2671">IF(N1185="", "", 1 + IFERROR(MINIFS(OFFSET(N1186, -1, 0, -MIN(ROW()-2, $B1186), 1), OFFSET(N1186, -1, 0, -MIN(ROW()-2, $B1186), 1), "&gt;0"), N1185) + ROUND(IFERROR(MINIFS(OFFSET(N1186, -1, 0, -MIN(ROW()-2, $B1186), 1), OFFSET(N1186, -1, 0, -MIN(ROW()-2, $B1186), 1), "&gt;0"), N1185) * ((LN(1 + $Z1186) ^ W$2) * (W$3 / 1000)), 0))</f>
        <v/>
      </c>
      <c r="O1186" s="24" t="str">
        <f t="shared" si="2671"/>
        <v/>
      </c>
      <c r="P1186" s="24">
        <f t="shared" ref="P1186:S1186" si="2672">L1186*$Y$2</f>
        <v>0</v>
      </c>
      <c r="Q1186" s="24">
        <f t="shared" si="2672"/>
        <v>14542</v>
      </c>
      <c r="R1186" s="24">
        <f t="shared" si="2672"/>
        <v>0</v>
      </c>
      <c r="S1186" s="24">
        <f t="shared" si="2672"/>
        <v>0</v>
      </c>
      <c r="T1186" s="24">
        <f t="shared" si="4"/>
        <v>30</v>
      </c>
      <c r="Z1186" s="25">
        <f t="shared" si="12"/>
        <v>17499.85801</v>
      </c>
    </row>
    <row r="1187">
      <c r="A1187" s="16" t="s">
        <v>3</v>
      </c>
      <c r="B1187" s="17">
        <v>286.0</v>
      </c>
      <c r="C1187" s="24">
        <f t="shared" si="1820"/>
        <v>306272685.3</v>
      </c>
      <c r="D1187" s="25">
        <v>0.05</v>
      </c>
      <c r="E1187" s="24">
        <f t="shared" si="1821"/>
        <v>3390.238084</v>
      </c>
      <c r="F1187" s="25">
        <v>0.02</v>
      </c>
      <c r="G1187" s="24">
        <f t="shared" si="1822"/>
        <v>43753240.75</v>
      </c>
      <c r="H1187" s="25">
        <v>0.05</v>
      </c>
      <c r="I1187" s="24">
        <f t="shared" si="1823"/>
        <v>2825.198403</v>
      </c>
      <c r="J1187" s="25">
        <v>0.02</v>
      </c>
      <c r="K1187" s="25">
        <v>0.0</v>
      </c>
      <c r="L1187" s="24" t="str">
        <f t="shared" ref="L1187:M1187" si="2673">IF(L1186="", "", 1 + IFERROR(MINIFS(OFFSET(L1187, -1, 0, -MIN(ROW()-2, $B1187), 1), OFFSET(L1187, -1, 0, -MIN(ROW()-2, $B1187), 1), "&gt;0"), L1186) + ROUND((L$2 * (LN(1 + $Z1187) ^ U$2) * (U$3 / 100)), 0))</f>
        <v/>
      </c>
      <c r="M1187" s="24">
        <f t="shared" si="2673"/>
        <v>58179</v>
      </c>
      <c r="N1187" s="24" t="str">
        <f t="shared" ref="N1187:O1187" si="2674">IF(N1186="", "", 1 + IFERROR(MINIFS(OFFSET(N1187, -1, 0, -MIN(ROW()-2, $B1187), 1), OFFSET(N1187, -1, 0, -MIN(ROW()-2, $B1187), 1), "&gt;0"), N1186) + ROUND(IFERROR(MINIFS(OFFSET(N1187, -1, 0, -MIN(ROW()-2, $B1187), 1), OFFSET(N1187, -1, 0, -MIN(ROW()-2, $B1187), 1), "&gt;0"), N1186) * ((LN(1 + $Z1187) ^ W$2) * (W$3 / 1000)), 0))</f>
        <v/>
      </c>
      <c r="O1187" s="24" t="str">
        <f t="shared" si="2674"/>
        <v/>
      </c>
      <c r="P1187" s="24">
        <f t="shared" ref="P1187:S1187" si="2675">L1187*$Y$2</f>
        <v>0</v>
      </c>
      <c r="Q1187" s="24">
        <f t="shared" si="2675"/>
        <v>14544.75</v>
      </c>
      <c r="R1187" s="24">
        <f t="shared" si="2675"/>
        <v>0</v>
      </c>
      <c r="S1187" s="24">
        <f t="shared" si="2675"/>
        <v>0</v>
      </c>
      <c r="T1187" s="24">
        <f t="shared" si="4"/>
        <v>30</v>
      </c>
      <c r="Z1187" s="25">
        <f t="shared" si="12"/>
        <v>18112.38804</v>
      </c>
    </row>
    <row r="1188">
      <c r="A1188" s="16" t="s">
        <v>3</v>
      </c>
      <c r="B1188" s="17">
        <v>287.0</v>
      </c>
      <c r="C1188" s="24">
        <f t="shared" si="1820"/>
        <v>321586319.5</v>
      </c>
      <c r="D1188" s="25">
        <v>0.05</v>
      </c>
      <c r="E1188" s="24">
        <f t="shared" si="1821"/>
        <v>3458.042846</v>
      </c>
      <c r="F1188" s="25">
        <v>0.02</v>
      </c>
      <c r="G1188" s="24">
        <f t="shared" si="1822"/>
        <v>45940902.79</v>
      </c>
      <c r="H1188" s="25">
        <v>0.05</v>
      </c>
      <c r="I1188" s="24">
        <f t="shared" si="1823"/>
        <v>2881.702371</v>
      </c>
      <c r="J1188" s="25">
        <v>0.02</v>
      </c>
      <c r="K1188" s="25">
        <v>0.0</v>
      </c>
      <c r="L1188" s="24" t="str">
        <f t="shared" ref="L1188:M1188" si="2676">IF(L1187="", "", 1 + IFERROR(MINIFS(OFFSET(L1188, -1, 0, -MIN(ROW()-2, $B1188), 1), OFFSET(L1188, -1, 0, -MIN(ROW()-2, $B1188), 1), "&gt;0"), L1187) + ROUND((L$2 * (LN(1 + $Z1188) ^ U$2) * (U$3 / 100)), 0))</f>
        <v/>
      </c>
      <c r="M1188" s="24">
        <f t="shared" si="2676"/>
        <v>58190</v>
      </c>
      <c r="N1188" s="24" t="str">
        <f t="shared" ref="N1188:O1188" si="2677">IF(N1187="", "", 1 + IFERROR(MINIFS(OFFSET(N1188, -1, 0, -MIN(ROW()-2, $B1188), 1), OFFSET(N1188, -1, 0, -MIN(ROW()-2, $B1188), 1), "&gt;0"), N1187) + ROUND(IFERROR(MINIFS(OFFSET(N1188, -1, 0, -MIN(ROW()-2, $B1188), 1), OFFSET(N1188, -1, 0, -MIN(ROW()-2, $B1188), 1), "&gt;0"), N1187) * ((LN(1 + $Z1188) ^ W$2) * (W$3 / 1000)), 0))</f>
        <v/>
      </c>
      <c r="O1188" s="24" t="str">
        <f t="shared" si="2677"/>
        <v/>
      </c>
      <c r="P1188" s="24">
        <f t="shared" ref="P1188:S1188" si="2678">L1188*$Y$2</f>
        <v>0</v>
      </c>
      <c r="Q1188" s="24">
        <f t="shared" si="2678"/>
        <v>14547.5</v>
      </c>
      <c r="R1188" s="24">
        <f t="shared" si="2678"/>
        <v>0</v>
      </c>
      <c r="S1188" s="24">
        <f t="shared" si="2678"/>
        <v>0</v>
      </c>
      <c r="T1188" s="24">
        <f t="shared" si="4"/>
        <v>30</v>
      </c>
      <c r="Z1188" s="25">
        <f t="shared" si="12"/>
        <v>18746.35662</v>
      </c>
    </row>
    <row r="1189">
      <c r="A1189" s="16" t="s">
        <v>3</v>
      </c>
      <c r="B1189" s="17">
        <v>288.0</v>
      </c>
      <c r="C1189" s="24">
        <f t="shared" si="1820"/>
        <v>337665635.5</v>
      </c>
      <c r="D1189" s="25">
        <v>0.05</v>
      </c>
      <c r="E1189" s="24">
        <f t="shared" si="1821"/>
        <v>3527.203703</v>
      </c>
      <c r="F1189" s="25">
        <v>0.02</v>
      </c>
      <c r="G1189" s="24">
        <f t="shared" si="1822"/>
        <v>48237947.93</v>
      </c>
      <c r="H1189" s="25">
        <v>0.05</v>
      </c>
      <c r="I1189" s="24">
        <f t="shared" si="1823"/>
        <v>2939.336419</v>
      </c>
      <c r="J1189" s="25">
        <v>0.02</v>
      </c>
      <c r="K1189" s="25">
        <v>0.0</v>
      </c>
      <c r="L1189" s="24" t="str">
        <f t="shared" ref="L1189:M1189" si="2679">IF(L1188="", "", 1 + IFERROR(MINIFS(OFFSET(L1189, -1, 0, -MIN(ROW()-2, $B1189), 1), OFFSET(L1189, -1, 0, -MIN(ROW()-2, $B1189), 1), "&gt;0"), L1188) + ROUND((L$2 * (LN(1 + $Z1189) ^ U$2) * (U$3 / 100)), 0))</f>
        <v/>
      </c>
      <c r="M1189" s="24">
        <f t="shared" si="2679"/>
        <v>58201</v>
      </c>
      <c r="N1189" s="24" t="str">
        <f t="shared" ref="N1189:O1189" si="2680">IF(N1188="", "", 1 + IFERROR(MINIFS(OFFSET(N1189, -1, 0, -MIN(ROW()-2, $B1189), 1), OFFSET(N1189, -1, 0, -MIN(ROW()-2, $B1189), 1), "&gt;0"), N1188) + ROUND(IFERROR(MINIFS(OFFSET(N1189, -1, 0, -MIN(ROW()-2, $B1189), 1), OFFSET(N1189, -1, 0, -MIN(ROW()-2, $B1189), 1), "&gt;0"), N1188) * ((LN(1 + $Z1189) ^ W$2) * (W$3 / 1000)), 0))</f>
        <v/>
      </c>
      <c r="O1189" s="24" t="str">
        <f t="shared" si="2680"/>
        <v/>
      </c>
      <c r="P1189" s="24">
        <f t="shared" ref="P1189:S1189" si="2681">L1189*$Y$2</f>
        <v>0</v>
      </c>
      <c r="Q1189" s="24">
        <f t="shared" si="2681"/>
        <v>14550.25</v>
      </c>
      <c r="R1189" s="24">
        <f t="shared" si="2681"/>
        <v>0</v>
      </c>
      <c r="S1189" s="24">
        <f t="shared" si="2681"/>
        <v>0</v>
      </c>
      <c r="T1189" s="24">
        <f t="shared" si="4"/>
        <v>30</v>
      </c>
      <c r="Z1189" s="25">
        <f t="shared" si="12"/>
        <v>19402.5141</v>
      </c>
    </row>
    <row r="1190">
      <c r="A1190" s="16" t="s">
        <v>3</v>
      </c>
      <c r="B1190" s="17">
        <v>289.0</v>
      </c>
      <c r="C1190" s="24">
        <f t="shared" si="1820"/>
        <v>354548917.3</v>
      </c>
      <c r="D1190" s="25">
        <v>0.05</v>
      </c>
      <c r="E1190" s="24">
        <f t="shared" si="1821"/>
        <v>3597.747777</v>
      </c>
      <c r="F1190" s="25">
        <v>0.02</v>
      </c>
      <c r="G1190" s="24">
        <f t="shared" si="1822"/>
        <v>50649845.33</v>
      </c>
      <c r="H1190" s="25">
        <v>0.05</v>
      </c>
      <c r="I1190" s="24">
        <f t="shared" si="1823"/>
        <v>2998.123147</v>
      </c>
      <c r="J1190" s="25">
        <v>0.02</v>
      </c>
      <c r="K1190" s="25">
        <v>0.0</v>
      </c>
      <c r="L1190" s="24" t="str">
        <f t="shared" ref="L1190:M1190" si="2682">IF(L1189="", "", 1 + IFERROR(MINIFS(OFFSET(L1190, -1, 0, -MIN(ROW()-2, $B1190), 1), OFFSET(L1190, -1, 0, -MIN(ROW()-2, $B1190), 1), "&gt;0"), L1189) + ROUND((L$2 * (LN(1 + $Z1190) ^ U$2) * (U$3 / 100)), 0))</f>
        <v/>
      </c>
      <c r="M1190" s="24">
        <f t="shared" si="2682"/>
        <v>58212</v>
      </c>
      <c r="N1190" s="24" t="str">
        <f t="shared" ref="N1190:O1190" si="2683">IF(N1189="", "", 1 + IFERROR(MINIFS(OFFSET(N1190, -1, 0, -MIN(ROW()-2, $B1190), 1), OFFSET(N1190, -1, 0, -MIN(ROW()-2, $B1190), 1), "&gt;0"), N1189) + ROUND(IFERROR(MINIFS(OFFSET(N1190, -1, 0, -MIN(ROW()-2, $B1190), 1), OFFSET(N1190, -1, 0, -MIN(ROW()-2, $B1190), 1), "&gt;0"), N1189) * ((LN(1 + $Z1190) ^ W$2) * (W$3 / 1000)), 0))</f>
        <v/>
      </c>
      <c r="O1190" s="24" t="str">
        <f t="shared" si="2683"/>
        <v/>
      </c>
      <c r="P1190" s="24">
        <f t="shared" ref="P1190:S1190" si="2684">L1190*$Y$2</f>
        <v>0</v>
      </c>
      <c r="Q1190" s="24">
        <f t="shared" si="2684"/>
        <v>14553</v>
      </c>
      <c r="R1190" s="24">
        <f t="shared" si="2684"/>
        <v>0</v>
      </c>
      <c r="S1190" s="24">
        <f t="shared" si="2684"/>
        <v>0</v>
      </c>
      <c r="T1190" s="24">
        <f t="shared" si="4"/>
        <v>30</v>
      </c>
      <c r="Z1190" s="25">
        <f t="shared" si="12"/>
        <v>20081.63709</v>
      </c>
    </row>
    <row r="1191">
      <c r="A1191" s="16" t="s">
        <v>3</v>
      </c>
      <c r="B1191" s="17">
        <v>290.0</v>
      </c>
      <c r="C1191" s="24">
        <f t="shared" si="1820"/>
        <v>372276363.2</v>
      </c>
      <c r="D1191" s="25">
        <v>0.05</v>
      </c>
      <c r="E1191" s="24">
        <f t="shared" si="1821"/>
        <v>3669.702732</v>
      </c>
      <c r="F1191" s="25">
        <v>0.02</v>
      </c>
      <c r="G1191" s="24">
        <f t="shared" si="1822"/>
        <v>53182337.59</v>
      </c>
      <c r="H1191" s="25">
        <v>0.05</v>
      </c>
      <c r="I1191" s="24">
        <f t="shared" si="1823"/>
        <v>3058.08561</v>
      </c>
      <c r="J1191" s="25">
        <v>0.02</v>
      </c>
      <c r="K1191" s="25">
        <v>0.0</v>
      </c>
      <c r="L1191" s="24" t="str">
        <f t="shared" ref="L1191:M1191" si="2685">IF(L1190="", "", 1 + IFERROR(MINIFS(OFFSET(L1191, -1, 0, -MIN(ROW()-2, $B1191), 1), OFFSET(L1191, -1, 0, -MIN(ROW()-2, $B1191), 1), "&gt;0"), L1190) + ROUND((L$2 * (LN(1 + $Z1191) ^ U$2) * (U$3 / 100)), 0))</f>
        <v/>
      </c>
      <c r="M1191" s="24">
        <f t="shared" si="2685"/>
        <v>58223</v>
      </c>
      <c r="N1191" s="24" t="str">
        <f t="shared" ref="N1191:O1191" si="2686">IF(N1190="", "", 1 + IFERROR(MINIFS(OFFSET(N1191, -1, 0, -MIN(ROW()-2, $B1191), 1), OFFSET(N1191, -1, 0, -MIN(ROW()-2, $B1191), 1), "&gt;0"), N1190) + ROUND(IFERROR(MINIFS(OFFSET(N1191, -1, 0, -MIN(ROW()-2, $B1191), 1), OFFSET(N1191, -1, 0, -MIN(ROW()-2, $B1191), 1), "&gt;0"), N1190) * ((LN(1 + $Z1191) ^ W$2) * (W$3 / 1000)), 0))</f>
        <v/>
      </c>
      <c r="O1191" s="24" t="str">
        <f t="shared" si="2686"/>
        <v/>
      </c>
      <c r="P1191" s="24">
        <f t="shared" ref="P1191:S1191" si="2687">L1191*$Y$2</f>
        <v>0</v>
      </c>
      <c r="Q1191" s="24">
        <f t="shared" si="2687"/>
        <v>14555.75</v>
      </c>
      <c r="R1191" s="24">
        <f t="shared" si="2687"/>
        <v>0</v>
      </c>
      <c r="S1191" s="24">
        <f t="shared" si="2687"/>
        <v>0</v>
      </c>
      <c r="T1191" s="24">
        <f t="shared" si="4"/>
        <v>30</v>
      </c>
      <c r="Z1191" s="25">
        <f t="shared" si="12"/>
        <v>20784.52939</v>
      </c>
    </row>
    <row r="1192">
      <c r="A1192" s="16" t="s">
        <v>3</v>
      </c>
      <c r="B1192" s="17">
        <v>291.0</v>
      </c>
      <c r="C1192" s="24">
        <f t="shared" si="1820"/>
        <v>390890181.3</v>
      </c>
      <c r="D1192" s="25">
        <v>0.05</v>
      </c>
      <c r="E1192" s="24">
        <f t="shared" si="1821"/>
        <v>3743.096787</v>
      </c>
      <c r="F1192" s="25">
        <v>0.02</v>
      </c>
      <c r="G1192" s="24">
        <f t="shared" si="1822"/>
        <v>55841454.47</v>
      </c>
      <c r="H1192" s="25">
        <v>0.05</v>
      </c>
      <c r="I1192" s="24">
        <f t="shared" si="1823"/>
        <v>3119.247322</v>
      </c>
      <c r="J1192" s="25">
        <v>0.02</v>
      </c>
      <c r="K1192" s="25">
        <v>0.0</v>
      </c>
      <c r="L1192" s="24" t="str">
        <f t="shared" ref="L1192:M1192" si="2688">IF(L1191="", "", 1 + IFERROR(MINIFS(OFFSET(L1192, -1, 0, -MIN(ROW()-2, $B1192), 1), OFFSET(L1192, -1, 0, -MIN(ROW()-2, $B1192), 1), "&gt;0"), L1191) + ROUND((L$2 * (LN(1 + $Z1192) ^ U$2) * (U$3 / 100)), 0))</f>
        <v/>
      </c>
      <c r="M1192" s="24">
        <f t="shared" si="2688"/>
        <v>58234</v>
      </c>
      <c r="N1192" s="24" t="str">
        <f t="shared" ref="N1192:O1192" si="2689">IF(N1191="", "", 1 + IFERROR(MINIFS(OFFSET(N1192, -1, 0, -MIN(ROW()-2, $B1192), 1), OFFSET(N1192, -1, 0, -MIN(ROW()-2, $B1192), 1), "&gt;0"), N1191) + ROUND(IFERROR(MINIFS(OFFSET(N1192, -1, 0, -MIN(ROW()-2, $B1192), 1), OFFSET(N1192, -1, 0, -MIN(ROW()-2, $B1192), 1), "&gt;0"), N1191) * ((LN(1 + $Z1192) ^ W$2) * (W$3 / 1000)), 0))</f>
        <v/>
      </c>
      <c r="O1192" s="24" t="str">
        <f t="shared" si="2689"/>
        <v/>
      </c>
      <c r="P1192" s="24">
        <f t="shared" ref="P1192:S1192" si="2690">L1192*$Y$2</f>
        <v>0</v>
      </c>
      <c r="Q1192" s="24">
        <f t="shared" si="2690"/>
        <v>14558.5</v>
      </c>
      <c r="R1192" s="24">
        <f t="shared" si="2690"/>
        <v>0</v>
      </c>
      <c r="S1192" s="24">
        <f t="shared" si="2690"/>
        <v>0</v>
      </c>
      <c r="T1192" s="24">
        <f t="shared" si="4"/>
        <v>30</v>
      </c>
      <c r="Z1192" s="25">
        <f t="shared" si="12"/>
        <v>21512.02292</v>
      </c>
    </row>
    <row r="1193">
      <c r="A1193" s="16" t="s">
        <v>3</v>
      </c>
      <c r="B1193" s="17">
        <v>292.0</v>
      </c>
      <c r="C1193" s="24">
        <f t="shared" si="1820"/>
        <v>410434690.4</v>
      </c>
      <c r="D1193" s="25">
        <v>0.05</v>
      </c>
      <c r="E1193" s="24">
        <f t="shared" si="1821"/>
        <v>3817.958723</v>
      </c>
      <c r="F1193" s="25">
        <v>0.02</v>
      </c>
      <c r="G1193" s="24">
        <f t="shared" si="1822"/>
        <v>58633527.2</v>
      </c>
      <c r="H1193" s="25">
        <v>0.05</v>
      </c>
      <c r="I1193" s="24">
        <f t="shared" si="1823"/>
        <v>3181.632269</v>
      </c>
      <c r="J1193" s="25">
        <v>0.02</v>
      </c>
      <c r="K1193" s="25">
        <v>0.0</v>
      </c>
      <c r="L1193" s="24" t="str">
        <f t="shared" ref="L1193:M1193" si="2691">IF(L1192="", "", 1 + IFERROR(MINIFS(OFFSET(L1193, -1, 0, -MIN(ROW()-2, $B1193), 1), OFFSET(L1193, -1, 0, -MIN(ROW()-2, $B1193), 1), "&gt;0"), L1192) + ROUND((L$2 * (LN(1 + $Z1193) ^ U$2) * (U$3 / 100)), 0))</f>
        <v/>
      </c>
      <c r="M1193" s="24">
        <f t="shared" si="2691"/>
        <v>58245</v>
      </c>
      <c r="N1193" s="24" t="str">
        <f t="shared" ref="N1193:O1193" si="2692">IF(N1192="", "", 1 + IFERROR(MINIFS(OFFSET(N1193, -1, 0, -MIN(ROW()-2, $B1193), 1), OFFSET(N1193, -1, 0, -MIN(ROW()-2, $B1193), 1), "&gt;0"), N1192) + ROUND(IFERROR(MINIFS(OFFSET(N1193, -1, 0, -MIN(ROW()-2, $B1193), 1), OFFSET(N1193, -1, 0, -MIN(ROW()-2, $B1193), 1), "&gt;0"), N1192) * ((LN(1 + $Z1193) ^ W$2) * (W$3 / 1000)), 0))</f>
        <v/>
      </c>
      <c r="O1193" s="24" t="str">
        <f t="shared" si="2692"/>
        <v/>
      </c>
      <c r="P1193" s="24">
        <f t="shared" ref="P1193:S1193" si="2693">L1193*$Y$2</f>
        <v>0</v>
      </c>
      <c r="Q1193" s="24">
        <f t="shared" si="2693"/>
        <v>14561.25</v>
      </c>
      <c r="R1193" s="24">
        <f t="shared" si="2693"/>
        <v>0</v>
      </c>
      <c r="S1193" s="24">
        <f t="shared" si="2693"/>
        <v>0</v>
      </c>
      <c r="T1193" s="24">
        <f t="shared" si="4"/>
        <v>30</v>
      </c>
      <c r="Z1193" s="25">
        <f t="shared" si="12"/>
        <v>22264.97872</v>
      </c>
    </row>
    <row r="1194">
      <c r="A1194" s="16" t="s">
        <v>3</v>
      </c>
      <c r="B1194" s="17">
        <v>293.0</v>
      </c>
      <c r="C1194" s="24">
        <f t="shared" si="1820"/>
        <v>430956424.9</v>
      </c>
      <c r="D1194" s="25">
        <v>0.05</v>
      </c>
      <c r="E1194" s="24">
        <f t="shared" si="1821"/>
        <v>3894.317897</v>
      </c>
      <c r="F1194" s="25">
        <v>0.02</v>
      </c>
      <c r="G1194" s="24">
        <f t="shared" si="1822"/>
        <v>61565203.56</v>
      </c>
      <c r="H1194" s="25">
        <v>0.05</v>
      </c>
      <c r="I1194" s="24">
        <f t="shared" si="1823"/>
        <v>3245.264914</v>
      </c>
      <c r="J1194" s="25">
        <v>0.02</v>
      </c>
      <c r="K1194" s="25">
        <v>0.0</v>
      </c>
      <c r="L1194" s="24" t="str">
        <f t="shared" ref="L1194:M1194" si="2694">IF(L1193="", "", 1 + IFERROR(MINIFS(OFFSET(L1194, -1, 0, -MIN(ROW()-2, $B1194), 1), OFFSET(L1194, -1, 0, -MIN(ROW()-2, $B1194), 1), "&gt;0"), L1193) + ROUND((L$2 * (LN(1 + $Z1194) ^ U$2) * (U$3 / 100)), 0))</f>
        <v/>
      </c>
      <c r="M1194" s="24">
        <f t="shared" si="2694"/>
        <v>58256</v>
      </c>
      <c r="N1194" s="24" t="str">
        <f t="shared" ref="N1194:O1194" si="2695">IF(N1193="", "", 1 + IFERROR(MINIFS(OFFSET(N1194, -1, 0, -MIN(ROW()-2, $B1194), 1), OFFSET(N1194, -1, 0, -MIN(ROW()-2, $B1194), 1), "&gt;0"), N1193) + ROUND(IFERROR(MINIFS(OFFSET(N1194, -1, 0, -MIN(ROW()-2, $B1194), 1), OFFSET(N1194, -1, 0, -MIN(ROW()-2, $B1194), 1), "&gt;0"), N1193) * ((LN(1 + $Z1194) ^ W$2) * (W$3 / 1000)), 0))</f>
        <v/>
      </c>
      <c r="O1194" s="24" t="str">
        <f t="shared" si="2695"/>
        <v/>
      </c>
      <c r="P1194" s="24">
        <f t="shared" ref="P1194:S1194" si="2696">L1194*$Y$2</f>
        <v>0</v>
      </c>
      <c r="Q1194" s="24">
        <f t="shared" si="2696"/>
        <v>14564</v>
      </c>
      <c r="R1194" s="24">
        <f t="shared" si="2696"/>
        <v>0</v>
      </c>
      <c r="S1194" s="24">
        <f t="shared" si="2696"/>
        <v>0</v>
      </c>
      <c r="T1194" s="24">
        <f t="shared" si="4"/>
        <v>30</v>
      </c>
      <c r="Z1194" s="25">
        <f t="shared" si="12"/>
        <v>23044.28798</v>
      </c>
    </row>
    <row r="1195">
      <c r="A1195" s="16" t="s">
        <v>3</v>
      </c>
      <c r="B1195" s="17">
        <v>294.0</v>
      </c>
      <c r="C1195" s="24">
        <f t="shared" si="1820"/>
        <v>452504246.1</v>
      </c>
      <c r="D1195" s="25">
        <v>0.05</v>
      </c>
      <c r="E1195" s="24">
        <f t="shared" si="1821"/>
        <v>3972.204255</v>
      </c>
      <c r="F1195" s="25">
        <v>0.02</v>
      </c>
      <c r="G1195" s="24">
        <f t="shared" si="1822"/>
        <v>64643463.74</v>
      </c>
      <c r="H1195" s="25">
        <v>0.05</v>
      </c>
      <c r="I1195" s="24">
        <f t="shared" si="1823"/>
        <v>3310.170213</v>
      </c>
      <c r="J1195" s="25">
        <v>0.02</v>
      </c>
      <c r="K1195" s="25">
        <v>0.0</v>
      </c>
      <c r="L1195" s="24" t="str">
        <f t="shared" ref="L1195:M1195" si="2697">IF(L1194="", "", 1 + IFERROR(MINIFS(OFFSET(L1195, -1, 0, -MIN(ROW()-2, $B1195), 1), OFFSET(L1195, -1, 0, -MIN(ROW()-2, $B1195), 1), "&gt;0"), L1194) + ROUND((L$2 * (LN(1 + $Z1195) ^ U$2) * (U$3 / 100)), 0))</f>
        <v/>
      </c>
      <c r="M1195" s="24">
        <f t="shared" si="2697"/>
        <v>58267</v>
      </c>
      <c r="N1195" s="24" t="str">
        <f t="shared" ref="N1195:O1195" si="2698">IF(N1194="", "", 1 + IFERROR(MINIFS(OFFSET(N1195, -1, 0, -MIN(ROW()-2, $B1195), 1), OFFSET(N1195, -1, 0, -MIN(ROW()-2, $B1195), 1), "&gt;0"), N1194) + ROUND(IFERROR(MINIFS(OFFSET(N1195, -1, 0, -MIN(ROW()-2, $B1195), 1), OFFSET(N1195, -1, 0, -MIN(ROW()-2, $B1195), 1), "&gt;0"), N1194) * ((LN(1 + $Z1195) ^ W$2) * (W$3 / 1000)), 0))</f>
        <v/>
      </c>
      <c r="O1195" s="24" t="str">
        <f t="shared" si="2698"/>
        <v/>
      </c>
      <c r="P1195" s="24">
        <f t="shared" ref="P1195:S1195" si="2699">L1195*$Y$2</f>
        <v>0</v>
      </c>
      <c r="Q1195" s="24">
        <f t="shared" si="2699"/>
        <v>14566.75</v>
      </c>
      <c r="R1195" s="24">
        <f t="shared" si="2699"/>
        <v>0</v>
      </c>
      <c r="S1195" s="24">
        <f t="shared" si="2699"/>
        <v>0</v>
      </c>
      <c r="T1195" s="24">
        <f t="shared" si="4"/>
        <v>30</v>
      </c>
      <c r="Z1195" s="25">
        <f t="shared" si="12"/>
        <v>23850.87306</v>
      </c>
    </row>
    <row r="1196">
      <c r="A1196" s="16" t="s">
        <v>3</v>
      </c>
      <c r="B1196" s="17">
        <v>295.0</v>
      </c>
      <c r="C1196" s="24">
        <f t="shared" si="1820"/>
        <v>475129458.5</v>
      </c>
      <c r="D1196" s="25">
        <v>0.05</v>
      </c>
      <c r="E1196" s="24">
        <f t="shared" si="1821"/>
        <v>4051.64834</v>
      </c>
      <c r="F1196" s="25">
        <v>0.02</v>
      </c>
      <c r="G1196" s="24">
        <f t="shared" si="1822"/>
        <v>67875636.92</v>
      </c>
      <c r="H1196" s="25">
        <v>0.05</v>
      </c>
      <c r="I1196" s="24">
        <f t="shared" si="1823"/>
        <v>3376.373617</v>
      </c>
      <c r="J1196" s="25">
        <v>0.02</v>
      </c>
      <c r="K1196" s="25">
        <v>0.0</v>
      </c>
      <c r="L1196" s="24" t="str">
        <f t="shared" ref="L1196:M1196" si="2700">IF(L1195="", "", 1 + IFERROR(MINIFS(OFFSET(L1196, -1, 0, -MIN(ROW()-2, $B1196), 1), OFFSET(L1196, -1, 0, -MIN(ROW()-2, $B1196), 1), "&gt;0"), L1195) + ROUND((L$2 * (LN(1 + $Z1196) ^ U$2) * (U$3 / 100)), 0))</f>
        <v/>
      </c>
      <c r="M1196" s="24">
        <f t="shared" si="2700"/>
        <v>58278</v>
      </c>
      <c r="N1196" s="24" t="str">
        <f t="shared" ref="N1196:O1196" si="2701">IF(N1195="", "", 1 + IFERROR(MINIFS(OFFSET(N1196, -1, 0, -MIN(ROW()-2, $B1196), 1), OFFSET(N1196, -1, 0, -MIN(ROW()-2, $B1196), 1), "&gt;0"), N1195) + ROUND(IFERROR(MINIFS(OFFSET(N1196, -1, 0, -MIN(ROW()-2, $B1196), 1), OFFSET(N1196, -1, 0, -MIN(ROW()-2, $B1196), 1), "&gt;0"), N1195) * ((LN(1 + $Z1196) ^ W$2) * (W$3 / 1000)), 0))</f>
        <v/>
      </c>
      <c r="O1196" s="24" t="str">
        <f t="shared" si="2701"/>
        <v/>
      </c>
      <c r="P1196" s="24">
        <f t="shared" ref="P1196:S1196" si="2702">L1196*$Y$2</f>
        <v>0</v>
      </c>
      <c r="Q1196" s="24">
        <f t="shared" si="2702"/>
        <v>14569.5</v>
      </c>
      <c r="R1196" s="24">
        <f t="shared" si="2702"/>
        <v>0</v>
      </c>
      <c r="S1196" s="24">
        <f t="shared" si="2702"/>
        <v>0</v>
      </c>
      <c r="T1196" s="24">
        <f t="shared" si="4"/>
        <v>31</v>
      </c>
      <c r="Z1196" s="25">
        <f t="shared" si="12"/>
        <v>24685.68862</v>
      </c>
    </row>
    <row r="1197">
      <c r="A1197" s="16" t="s">
        <v>3</v>
      </c>
      <c r="B1197" s="17">
        <v>296.0</v>
      </c>
      <c r="C1197" s="24">
        <f t="shared" si="1820"/>
        <v>498885931.4</v>
      </c>
      <c r="D1197" s="25">
        <v>0.05</v>
      </c>
      <c r="E1197" s="24">
        <f t="shared" si="1821"/>
        <v>4132.681307</v>
      </c>
      <c r="F1197" s="25">
        <v>0.02</v>
      </c>
      <c r="G1197" s="24">
        <f t="shared" si="1822"/>
        <v>71269418.77</v>
      </c>
      <c r="H1197" s="25">
        <v>0.05</v>
      </c>
      <c r="I1197" s="24">
        <f t="shared" si="1823"/>
        <v>3443.901089</v>
      </c>
      <c r="J1197" s="25">
        <v>0.02</v>
      </c>
      <c r="K1197" s="25">
        <v>0.0</v>
      </c>
      <c r="L1197" s="24" t="str">
        <f t="shared" ref="L1197:M1197" si="2703">IF(L1196="", "", 1 + IFERROR(MINIFS(OFFSET(L1197, -1, 0, -MIN(ROW()-2, $B1197), 1), OFFSET(L1197, -1, 0, -MIN(ROW()-2, $B1197), 1), "&gt;0"), L1196) + ROUND((L$2 * (LN(1 + $Z1197) ^ U$2) * (U$3 / 100)), 0))</f>
        <v/>
      </c>
      <c r="M1197" s="24">
        <f t="shared" si="2703"/>
        <v>58289</v>
      </c>
      <c r="N1197" s="24" t="str">
        <f t="shared" ref="N1197:O1197" si="2704">IF(N1196="", "", 1 + IFERROR(MINIFS(OFFSET(N1197, -1, 0, -MIN(ROW()-2, $B1197), 1), OFFSET(N1197, -1, 0, -MIN(ROW()-2, $B1197), 1), "&gt;0"), N1196) + ROUND(IFERROR(MINIFS(OFFSET(N1197, -1, 0, -MIN(ROW()-2, $B1197), 1), OFFSET(N1197, -1, 0, -MIN(ROW()-2, $B1197), 1), "&gt;0"), N1196) * ((LN(1 + $Z1197) ^ W$2) * (W$3 / 1000)), 0))</f>
        <v/>
      </c>
      <c r="O1197" s="24" t="str">
        <f t="shared" si="2704"/>
        <v/>
      </c>
      <c r="P1197" s="24">
        <f t="shared" ref="P1197:S1197" si="2705">L1197*$Y$2</f>
        <v>0</v>
      </c>
      <c r="Q1197" s="24">
        <f t="shared" si="2705"/>
        <v>14572.25</v>
      </c>
      <c r="R1197" s="24">
        <f t="shared" si="2705"/>
        <v>0</v>
      </c>
      <c r="S1197" s="24">
        <f t="shared" si="2705"/>
        <v>0</v>
      </c>
      <c r="T1197" s="24">
        <f t="shared" si="4"/>
        <v>31</v>
      </c>
      <c r="Z1197" s="25">
        <f t="shared" si="12"/>
        <v>25549.72272</v>
      </c>
    </row>
    <row r="1198">
      <c r="A1198" s="16" t="s">
        <v>3</v>
      </c>
      <c r="B1198" s="17">
        <v>297.0</v>
      </c>
      <c r="C1198" s="24">
        <f t="shared" si="1820"/>
        <v>523830227.9</v>
      </c>
      <c r="D1198" s="25">
        <v>0.05</v>
      </c>
      <c r="E1198" s="24">
        <f t="shared" si="1821"/>
        <v>4215.334933</v>
      </c>
      <c r="F1198" s="25">
        <v>0.02</v>
      </c>
      <c r="G1198" s="24">
        <f t="shared" si="1822"/>
        <v>74832889.71</v>
      </c>
      <c r="H1198" s="25">
        <v>0.05</v>
      </c>
      <c r="I1198" s="24">
        <f t="shared" si="1823"/>
        <v>3512.779111</v>
      </c>
      <c r="J1198" s="25">
        <v>0.02</v>
      </c>
      <c r="K1198" s="25">
        <v>0.0</v>
      </c>
      <c r="L1198" s="24" t="str">
        <f t="shared" ref="L1198:M1198" si="2706">IF(L1197="", "", 1 + IFERROR(MINIFS(OFFSET(L1198, -1, 0, -MIN(ROW()-2, $B1198), 1), OFFSET(L1198, -1, 0, -MIN(ROW()-2, $B1198), 1), "&gt;0"), L1197) + ROUND((L$2 * (LN(1 + $Z1198) ^ U$2) * (U$3 / 100)), 0))</f>
        <v/>
      </c>
      <c r="M1198" s="24">
        <f t="shared" si="2706"/>
        <v>58300</v>
      </c>
      <c r="N1198" s="24" t="str">
        <f t="shared" ref="N1198:O1198" si="2707">IF(N1197="", "", 1 + IFERROR(MINIFS(OFFSET(N1198, -1, 0, -MIN(ROW()-2, $B1198), 1), OFFSET(N1198, -1, 0, -MIN(ROW()-2, $B1198), 1), "&gt;0"), N1197) + ROUND(IFERROR(MINIFS(OFFSET(N1198, -1, 0, -MIN(ROW()-2, $B1198), 1), OFFSET(N1198, -1, 0, -MIN(ROW()-2, $B1198), 1), "&gt;0"), N1197) * ((LN(1 + $Z1198) ^ W$2) * (W$3 / 1000)), 0))</f>
        <v/>
      </c>
      <c r="O1198" s="24" t="str">
        <f t="shared" si="2707"/>
        <v/>
      </c>
      <c r="P1198" s="24">
        <f t="shared" ref="P1198:S1198" si="2708">L1198*$Y$2</f>
        <v>0</v>
      </c>
      <c r="Q1198" s="24">
        <f t="shared" si="2708"/>
        <v>14575</v>
      </c>
      <c r="R1198" s="24">
        <f t="shared" si="2708"/>
        <v>0</v>
      </c>
      <c r="S1198" s="24">
        <f t="shared" si="2708"/>
        <v>0</v>
      </c>
      <c r="T1198" s="24">
        <f t="shared" si="4"/>
        <v>31</v>
      </c>
      <c r="Z1198" s="25">
        <f t="shared" si="12"/>
        <v>26443.99801</v>
      </c>
    </row>
    <row r="1199">
      <c r="A1199" s="16" t="s">
        <v>3</v>
      </c>
      <c r="B1199" s="17">
        <v>298.0</v>
      </c>
      <c r="C1199" s="24">
        <f t="shared" si="1820"/>
        <v>550021739.3</v>
      </c>
      <c r="D1199" s="25">
        <v>0.05</v>
      </c>
      <c r="E1199" s="24">
        <f t="shared" si="1821"/>
        <v>4299.641632</v>
      </c>
      <c r="F1199" s="25">
        <v>0.02</v>
      </c>
      <c r="G1199" s="24">
        <f t="shared" si="1822"/>
        <v>78574534.19</v>
      </c>
      <c r="H1199" s="25">
        <v>0.05</v>
      </c>
      <c r="I1199" s="24">
        <f t="shared" si="1823"/>
        <v>3583.034693</v>
      </c>
      <c r="J1199" s="25">
        <v>0.02</v>
      </c>
      <c r="K1199" s="25">
        <v>0.0</v>
      </c>
      <c r="L1199" s="24" t="str">
        <f t="shared" ref="L1199:M1199" si="2709">IF(L1198="", "", 1 + IFERROR(MINIFS(OFFSET(L1199, -1, 0, -MIN(ROW()-2, $B1199), 1), OFFSET(L1199, -1, 0, -MIN(ROW()-2, $B1199), 1), "&gt;0"), L1198) + ROUND((L$2 * (LN(1 + $Z1199) ^ U$2) * (U$3 / 100)), 0))</f>
        <v/>
      </c>
      <c r="M1199" s="24">
        <f t="shared" si="2709"/>
        <v>58311</v>
      </c>
      <c r="N1199" s="24" t="str">
        <f t="shared" ref="N1199:O1199" si="2710">IF(N1198="", "", 1 + IFERROR(MINIFS(OFFSET(N1199, -1, 0, -MIN(ROW()-2, $B1199), 1), OFFSET(N1199, -1, 0, -MIN(ROW()-2, $B1199), 1), "&gt;0"), N1198) + ROUND(IFERROR(MINIFS(OFFSET(N1199, -1, 0, -MIN(ROW()-2, $B1199), 1), OFFSET(N1199, -1, 0, -MIN(ROW()-2, $B1199), 1), "&gt;0"), N1198) * ((LN(1 + $Z1199) ^ W$2) * (W$3 / 1000)), 0))</f>
        <v/>
      </c>
      <c r="O1199" s="24" t="str">
        <f t="shared" si="2710"/>
        <v/>
      </c>
      <c r="P1199" s="24">
        <f t="shared" ref="P1199:S1199" si="2711">L1199*$Y$2</f>
        <v>0</v>
      </c>
      <c r="Q1199" s="24">
        <f t="shared" si="2711"/>
        <v>14577.75</v>
      </c>
      <c r="R1199" s="24">
        <f t="shared" si="2711"/>
        <v>0</v>
      </c>
      <c r="S1199" s="24">
        <f t="shared" si="2711"/>
        <v>0</v>
      </c>
      <c r="T1199" s="24">
        <f t="shared" si="4"/>
        <v>31</v>
      </c>
      <c r="Z1199" s="25">
        <f t="shared" si="12"/>
        <v>27369.57294</v>
      </c>
    </row>
    <row r="1200">
      <c r="A1200" s="16" t="s">
        <v>3</v>
      </c>
      <c r="B1200" s="17">
        <v>299.0</v>
      </c>
      <c r="C1200" s="24">
        <f t="shared" si="1820"/>
        <v>577522826.3</v>
      </c>
      <c r="D1200" s="25">
        <v>0.05</v>
      </c>
      <c r="E1200" s="24">
        <f t="shared" si="1821"/>
        <v>4385.634464</v>
      </c>
      <c r="F1200" s="25">
        <v>0.02</v>
      </c>
      <c r="G1200" s="24">
        <f t="shared" si="1822"/>
        <v>82503260.9</v>
      </c>
      <c r="H1200" s="25">
        <v>0.05</v>
      </c>
      <c r="I1200" s="24">
        <f t="shared" si="1823"/>
        <v>3654.695387</v>
      </c>
      <c r="J1200" s="25">
        <v>0.02</v>
      </c>
      <c r="K1200" s="25">
        <v>0.0</v>
      </c>
      <c r="L1200" s="24" t="str">
        <f t="shared" ref="L1200:M1200" si="2712">IF(L1199="", "", 1 + IFERROR(MINIFS(OFFSET(L1200, -1, 0, -MIN(ROW()-2, $B1200), 1), OFFSET(L1200, -1, 0, -MIN(ROW()-2, $B1200), 1), "&gt;0"), L1199) + ROUND((L$2 * (LN(1 + $Z1200) ^ U$2) * (U$3 / 100)), 0))</f>
        <v/>
      </c>
      <c r="M1200" s="24">
        <f t="shared" si="2712"/>
        <v>58322</v>
      </c>
      <c r="N1200" s="24" t="str">
        <f t="shared" ref="N1200:O1200" si="2713">IF(N1199="", "", 1 + IFERROR(MINIFS(OFFSET(N1200, -1, 0, -MIN(ROW()-2, $B1200), 1), OFFSET(N1200, -1, 0, -MIN(ROW()-2, $B1200), 1), "&gt;0"), N1199) + ROUND(IFERROR(MINIFS(OFFSET(N1200, -1, 0, -MIN(ROW()-2, $B1200), 1), OFFSET(N1200, -1, 0, -MIN(ROW()-2, $B1200), 1), "&gt;0"), N1199) * ((LN(1 + $Z1200) ^ W$2) * (W$3 / 1000)), 0))</f>
        <v/>
      </c>
      <c r="O1200" s="24" t="str">
        <f t="shared" si="2713"/>
        <v/>
      </c>
      <c r="P1200" s="24">
        <f t="shared" ref="P1200:S1200" si="2714">L1200*$Y$2</f>
        <v>0</v>
      </c>
      <c r="Q1200" s="24">
        <f t="shared" si="2714"/>
        <v>14580.5</v>
      </c>
      <c r="R1200" s="24">
        <f t="shared" si="2714"/>
        <v>0</v>
      </c>
      <c r="S1200" s="24">
        <f t="shared" si="2714"/>
        <v>0</v>
      </c>
      <c r="T1200" s="24">
        <f t="shared" si="4"/>
        <v>31</v>
      </c>
      <c r="Z1200" s="25">
        <f t="shared" si="12"/>
        <v>28327.543</v>
      </c>
    </row>
    <row r="1201">
      <c r="A1201" s="16" t="s">
        <v>3</v>
      </c>
      <c r="B1201" s="17">
        <v>300.0</v>
      </c>
      <c r="C1201" s="24">
        <f t="shared" si="1820"/>
        <v>606398967.6</v>
      </c>
      <c r="D1201" s="25">
        <v>0.05</v>
      </c>
      <c r="E1201" s="24">
        <f t="shared" si="1821"/>
        <v>4473.347154</v>
      </c>
      <c r="F1201" s="25">
        <v>0.02</v>
      </c>
      <c r="G1201" s="24">
        <f t="shared" si="1822"/>
        <v>86628423.95</v>
      </c>
      <c r="H1201" s="25">
        <v>0.05</v>
      </c>
      <c r="I1201" s="24">
        <f t="shared" si="1823"/>
        <v>3727.789295</v>
      </c>
      <c r="J1201" s="25">
        <v>0.02</v>
      </c>
      <c r="K1201" s="25">
        <v>0.0</v>
      </c>
      <c r="L1201" s="24" t="str">
        <f t="shared" ref="L1201:M1201" si="2715">IF(L1200="", "", 1 + IFERROR(MINIFS(OFFSET(L1201, -1, 0, -MIN(ROW()-2, $B1201), 1), OFFSET(L1201, -1, 0, -MIN(ROW()-2, $B1201), 1), "&gt;0"), L1200) + ROUND((L$2 * (LN(1 + $Z1201) ^ U$2) * (U$3 / 100)), 0))</f>
        <v/>
      </c>
      <c r="M1201" s="24">
        <f t="shared" si="2715"/>
        <v>58333</v>
      </c>
      <c r="N1201" s="24" t="str">
        <f t="shared" ref="N1201:O1201" si="2716">IF(N1200="", "", 1 + IFERROR(MINIFS(OFFSET(N1201, -1, 0, -MIN(ROW()-2, $B1201), 1), OFFSET(N1201, -1, 0, -MIN(ROW()-2, $B1201), 1), "&gt;0"), N1200) + ROUND(IFERROR(MINIFS(OFFSET(N1201, -1, 0, -MIN(ROW()-2, $B1201), 1), OFFSET(N1201, -1, 0, -MIN(ROW()-2, $B1201), 1), "&gt;0"), N1200) * ((LN(1 + $Z1201) ^ W$2) * (W$3 / 1000)), 0))</f>
        <v/>
      </c>
      <c r="O1201" s="24" t="str">
        <f t="shared" si="2716"/>
        <v/>
      </c>
      <c r="P1201" s="24">
        <f t="shared" ref="P1201:S1201" si="2717">L1201*$Y$2</f>
        <v>0</v>
      </c>
      <c r="Q1201" s="24">
        <f t="shared" si="2717"/>
        <v>14583.25</v>
      </c>
      <c r="R1201" s="24">
        <f t="shared" si="2717"/>
        <v>0</v>
      </c>
      <c r="S1201" s="24">
        <f t="shared" si="2717"/>
        <v>0</v>
      </c>
      <c r="T1201" s="24">
        <f t="shared" si="4"/>
        <v>31</v>
      </c>
      <c r="Z1201" s="25">
        <f t="shared" si="12"/>
        <v>29319.042</v>
      </c>
    </row>
    <row r="1202">
      <c r="A1202" s="16"/>
      <c r="B1202" s="17"/>
      <c r="C1202" s="24"/>
      <c r="D1202" s="25"/>
      <c r="E1202" s="24"/>
      <c r="F1202" s="25"/>
      <c r="G1202" s="24"/>
      <c r="H1202" s="25"/>
      <c r="I1202" s="24"/>
      <c r="J1202" s="25"/>
      <c r="K1202" s="25"/>
      <c r="L1202" s="24"/>
      <c r="M1202" s="24"/>
      <c r="N1202" s="24"/>
      <c r="O1202" s="24"/>
      <c r="P1202" s="24"/>
      <c r="Q1202" s="24"/>
      <c r="R1202" s="24"/>
      <c r="S1202" s="24"/>
      <c r="T1202" s="24"/>
      <c r="Z1202" s="25"/>
    </row>
    <row r="1203">
      <c r="A1203" s="16"/>
      <c r="B1203" s="17"/>
      <c r="C1203" s="24"/>
      <c r="D1203" s="25"/>
      <c r="E1203" s="24"/>
      <c r="F1203" s="25"/>
      <c r="G1203" s="24"/>
      <c r="H1203" s="25"/>
      <c r="I1203" s="24"/>
      <c r="J1203" s="25"/>
      <c r="K1203" s="25"/>
      <c r="L1203" s="24"/>
      <c r="M1203" s="24"/>
      <c r="N1203" s="24"/>
      <c r="O1203" s="24"/>
      <c r="P1203" s="24"/>
      <c r="Q1203" s="24"/>
      <c r="R1203" s="24"/>
      <c r="S1203" s="24"/>
      <c r="T1203" s="24"/>
      <c r="Z1203" s="25"/>
    </row>
    <row r="1204">
      <c r="A1204" s="16"/>
      <c r="B1204" s="17"/>
      <c r="C1204" s="24"/>
      <c r="D1204" s="25"/>
      <c r="E1204" s="24"/>
      <c r="F1204" s="25"/>
      <c r="G1204" s="24"/>
      <c r="H1204" s="25"/>
      <c r="I1204" s="24"/>
      <c r="J1204" s="25"/>
      <c r="K1204" s="25"/>
      <c r="L1204" s="24"/>
      <c r="M1204" s="24"/>
      <c r="N1204" s="24"/>
      <c r="O1204" s="24"/>
      <c r="P1204" s="24"/>
      <c r="Q1204" s="24"/>
      <c r="R1204" s="24"/>
      <c r="S1204" s="24"/>
      <c r="T1204" s="24"/>
      <c r="Z1204" s="25"/>
    </row>
    <row r="1205">
      <c r="A1205" s="16"/>
      <c r="B1205" s="17"/>
      <c r="C1205" s="24"/>
      <c r="D1205" s="25"/>
      <c r="E1205" s="24"/>
      <c r="F1205" s="25"/>
      <c r="G1205" s="24"/>
      <c r="H1205" s="25"/>
      <c r="I1205" s="24"/>
      <c r="J1205" s="25"/>
      <c r="K1205" s="25"/>
      <c r="L1205" s="24"/>
      <c r="M1205" s="24"/>
      <c r="N1205" s="24"/>
      <c r="O1205" s="24"/>
      <c r="P1205" s="24"/>
      <c r="Q1205" s="24"/>
      <c r="R1205" s="24"/>
      <c r="S1205" s="24"/>
      <c r="T1205" s="24"/>
      <c r="Z1205" s="25"/>
    </row>
    <row r="1206">
      <c r="A1206" s="16"/>
      <c r="B1206" s="17"/>
      <c r="C1206" s="24"/>
      <c r="D1206" s="25"/>
      <c r="E1206" s="24"/>
      <c r="F1206" s="25"/>
      <c r="G1206" s="24"/>
      <c r="H1206" s="25"/>
      <c r="I1206" s="24"/>
      <c r="J1206" s="25"/>
      <c r="K1206" s="25"/>
      <c r="L1206" s="24"/>
      <c r="M1206" s="24"/>
      <c r="N1206" s="24"/>
      <c r="O1206" s="24"/>
      <c r="P1206" s="24"/>
      <c r="Q1206" s="24"/>
      <c r="R1206" s="24"/>
      <c r="S1206" s="24"/>
      <c r="T1206" s="24"/>
      <c r="Z1206" s="25"/>
    </row>
    <row r="1207">
      <c r="A1207" s="16"/>
      <c r="B1207" s="17"/>
      <c r="C1207" s="24"/>
      <c r="D1207" s="25"/>
      <c r="E1207" s="24"/>
      <c r="F1207" s="25"/>
      <c r="G1207" s="24"/>
      <c r="H1207" s="25"/>
      <c r="I1207" s="24"/>
      <c r="J1207" s="25"/>
      <c r="K1207" s="25"/>
      <c r="L1207" s="24"/>
      <c r="M1207" s="24"/>
      <c r="N1207" s="24"/>
      <c r="O1207" s="24"/>
      <c r="P1207" s="24"/>
      <c r="Q1207" s="24"/>
      <c r="R1207" s="24"/>
      <c r="S1207" s="24"/>
      <c r="T1207" s="24"/>
      <c r="Z1207" s="25"/>
    </row>
    <row r="1208">
      <c r="A1208" s="16"/>
      <c r="B1208" s="17"/>
      <c r="C1208" s="24"/>
      <c r="D1208" s="25"/>
      <c r="E1208" s="24"/>
      <c r="F1208" s="25"/>
      <c r="G1208" s="24"/>
      <c r="H1208" s="25"/>
      <c r="I1208" s="24"/>
      <c r="J1208" s="25"/>
      <c r="K1208" s="25"/>
      <c r="L1208" s="24"/>
      <c r="M1208" s="24"/>
      <c r="N1208" s="24"/>
      <c r="O1208" s="24"/>
      <c r="P1208" s="24"/>
      <c r="Q1208" s="24"/>
      <c r="R1208" s="24"/>
      <c r="S1208" s="24"/>
      <c r="T1208" s="24"/>
      <c r="Z1208" s="25"/>
    </row>
    <row r="1209">
      <c r="A1209" s="16"/>
      <c r="B1209" s="17"/>
      <c r="C1209" s="24"/>
      <c r="D1209" s="25"/>
      <c r="E1209" s="24"/>
      <c r="F1209" s="25"/>
      <c r="G1209" s="24"/>
      <c r="H1209" s="25"/>
      <c r="I1209" s="24"/>
      <c r="J1209" s="25"/>
      <c r="K1209" s="25"/>
      <c r="L1209" s="24"/>
      <c r="M1209" s="24"/>
      <c r="N1209" s="24"/>
      <c r="O1209" s="24"/>
      <c r="P1209" s="24"/>
      <c r="Q1209" s="24"/>
      <c r="R1209" s="24"/>
      <c r="S1209" s="24"/>
      <c r="T1209" s="24"/>
      <c r="Z1209" s="25"/>
    </row>
    <row r="1210">
      <c r="A1210" s="16"/>
      <c r="B1210" s="17"/>
      <c r="C1210" s="24"/>
      <c r="D1210" s="25"/>
      <c r="E1210" s="24"/>
      <c r="F1210" s="25"/>
      <c r="G1210" s="24"/>
      <c r="H1210" s="25"/>
      <c r="I1210" s="24"/>
      <c r="J1210" s="25"/>
      <c r="K1210" s="25"/>
      <c r="L1210" s="24"/>
      <c r="M1210" s="24"/>
      <c r="N1210" s="24"/>
      <c r="O1210" s="24"/>
      <c r="P1210" s="24"/>
      <c r="Q1210" s="24"/>
      <c r="R1210" s="24"/>
      <c r="S1210" s="24"/>
      <c r="T1210" s="24"/>
      <c r="Z1210" s="25"/>
    </row>
    <row r="1211">
      <c r="A1211" s="16"/>
      <c r="B1211" s="17"/>
      <c r="C1211" s="24"/>
      <c r="D1211" s="25"/>
      <c r="E1211" s="24"/>
      <c r="F1211" s="25"/>
      <c r="G1211" s="24"/>
      <c r="H1211" s="25"/>
      <c r="I1211" s="24"/>
      <c r="J1211" s="25"/>
      <c r="K1211" s="25"/>
      <c r="L1211" s="24"/>
      <c r="M1211" s="24"/>
      <c r="N1211" s="24"/>
      <c r="O1211" s="24"/>
      <c r="P1211" s="24"/>
      <c r="Q1211" s="24"/>
      <c r="R1211" s="24"/>
      <c r="S1211" s="24"/>
      <c r="T1211" s="24"/>
      <c r="Z1211" s="25"/>
    </row>
    <row r="1212">
      <c r="A1212" s="16"/>
      <c r="B1212" s="17"/>
      <c r="C1212" s="24"/>
      <c r="D1212" s="25"/>
      <c r="E1212" s="24"/>
      <c r="F1212" s="25"/>
      <c r="G1212" s="24"/>
      <c r="H1212" s="25"/>
      <c r="I1212" s="24"/>
      <c r="J1212" s="25"/>
      <c r="K1212" s="25"/>
      <c r="L1212" s="24"/>
      <c r="M1212" s="24"/>
      <c r="N1212" s="24"/>
      <c r="O1212" s="24"/>
      <c r="P1212" s="24"/>
      <c r="Q1212" s="24"/>
      <c r="R1212" s="24"/>
      <c r="S1212" s="24"/>
      <c r="T1212" s="24"/>
      <c r="Z1212" s="25"/>
    </row>
    <row r="1213">
      <c r="A1213" s="16"/>
      <c r="B1213" s="17"/>
      <c r="C1213" s="24"/>
      <c r="D1213" s="25"/>
      <c r="E1213" s="24"/>
      <c r="F1213" s="25"/>
      <c r="G1213" s="24"/>
      <c r="H1213" s="25"/>
      <c r="I1213" s="24"/>
      <c r="J1213" s="25"/>
      <c r="K1213" s="25"/>
      <c r="L1213" s="24"/>
      <c r="M1213" s="24"/>
      <c r="N1213" s="24"/>
      <c r="O1213" s="24"/>
      <c r="P1213" s="24"/>
      <c r="Q1213" s="24"/>
      <c r="R1213" s="24"/>
      <c r="S1213" s="24"/>
      <c r="T1213" s="24"/>
      <c r="Z1213" s="25"/>
    </row>
    <row r="1214">
      <c r="A1214" s="16"/>
      <c r="B1214" s="17"/>
      <c r="C1214" s="24"/>
      <c r="D1214" s="25"/>
      <c r="E1214" s="24"/>
      <c r="F1214" s="25"/>
      <c r="G1214" s="24"/>
      <c r="H1214" s="25"/>
      <c r="I1214" s="24"/>
      <c r="J1214" s="25"/>
      <c r="K1214" s="25"/>
      <c r="L1214" s="24"/>
      <c r="M1214" s="24"/>
      <c r="N1214" s="24"/>
      <c r="O1214" s="24"/>
      <c r="P1214" s="24"/>
      <c r="Q1214" s="24"/>
      <c r="R1214" s="24"/>
      <c r="S1214" s="24"/>
      <c r="T1214" s="24"/>
      <c r="Z1214" s="25"/>
    </row>
    <row r="1215">
      <c r="A1215" s="16"/>
      <c r="B1215" s="17"/>
      <c r="C1215" s="24"/>
      <c r="D1215" s="25"/>
      <c r="E1215" s="24"/>
      <c r="F1215" s="25"/>
      <c r="G1215" s="24"/>
      <c r="H1215" s="25"/>
      <c r="I1215" s="24"/>
      <c r="J1215" s="25"/>
      <c r="K1215" s="25"/>
      <c r="L1215" s="24"/>
      <c r="M1215" s="24"/>
      <c r="N1215" s="24"/>
      <c r="O1215" s="24"/>
      <c r="P1215" s="24"/>
      <c r="Q1215" s="24"/>
      <c r="R1215" s="24"/>
      <c r="S1215" s="24"/>
      <c r="T1215" s="24"/>
      <c r="Z1215" s="25"/>
    </row>
    <row r="1216">
      <c r="A1216" s="16"/>
      <c r="B1216" s="17"/>
      <c r="C1216" s="24"/>
      <c r="D1216" s="25"/>
      <c r="E1216" s="24"/>
      <c r="F1216" s="25"/>
      <c r="G1216" s="24"/>
      <c r="H1216" s="25"/>
      <c r="I1216" s="24"/>
      <c r="J1216" s="25"/>
      <c r="K1216" s="25"/>
      <c r="L1216" s="24"/>
      <c r="M1216" s="24"/>
      <c r="N1216" s="24"/>
      <c r="O1216" s="24"/>
      <c r="P1216" s="24"/>
      <c r="Q1216" s="24"/>
      <c r="R1216" s="24"/>
      <c r="S1216" s="24"/>
      <c r="T1216" s="24"/>
      <c r="Z1216" s="25"/>
    </row>
    <row r="1217">
      <c r="A1217" s="16"/>
      <c r="B1217" s="17"/>
      <c r="C1217" s="24"/>
      <c r="D1217" s="25"/>
      <c r="E1217" s="24"/>
      <c r="F1217" s="25"/>
      <c r="G1217" s="24"/>
      <c r="H1217" s="25"/>
      <c r="I1217" s="24"/>
      <c r="J1217" s="25"/>
      <c r="K1217" s="25"/>
      <c r="L1217" s="24"/>
      <c r="M1217" s="24"/>
      <c r="N1217" s="24"/>
      <c r="O1217" s="24"/>
      <c r="P1217" s="24"/>
      <c r="Q1217" s="24"/>
      <c r="R1217" s="24"/>
      <c r="S1217" s="24"/>
      <c r="T1217" s="24"/>
      <c r="Z1217" s="25"/>
    </row>
    <row r="1218">
      <c r="A1218" s="16"/>
      <c r="B1218" s="17"/>
      <c r="C1218" s="24"/>
      <c r="D1218" s="25"/>
      <c r="E1218" s="24"/>
      <c r="F1218" s="25"/>
      <c r="G1218" s="24"/>
      <c r="H1218" s="25"/>
      <c r="I1218" s="24"/>
      <c r="J1218" s="25"/>
      <c r="K1218" s="25"/>
      <c r="L1218" s="24"/>
      <c r="M1218" s="24"/>
      <c r="N1218" s="24"/>
      <c r="O1218" s="24"/>
      <c r="P1218" s="24"/>
      <c r="Q1218" s="24"/>
      <c r="R1218" s="24"/>
      <c r="S1218" s="24"/>
      <c r="T1218" s="24"/>
      <c r="Z1218" s="25"/>
    </row>
    <row r="1219">
      <c r="A1219" s="16"/>
      <c r="B1219" s="17"/>
      <c r="C1219" s="24"/>
      <c r="D1219" s="25"/>
      <c r="E1219" s="24"/>
      <c r="F1219" s="25"/>
      <c r="G1219" s="24"/>
      <c r="H1219" s="25"/>
      <c r="I1219" s="24"/>
      <c r="J1219" s="25"/>
      <c r="K1219" s="25"/>
      <c r="L1219" s="24"/>
      <c r="M1219" s="24"/>
      <c r="N1219" s="24"/>
      <c r="O1219" s="24"/>
      <c r="P1219" s="24"/>
      <c r="Q1219" s="24"/>
      <c r="R1219" s="24"/>
      <c r="S1219" s="24"/>
      <c r="T1219" s="24"/>
      <c r="Z1219" s="25"/>
    </row>
    <row r="1220">
      <c r="A1220" s="16"/>
      <c r="B1220" s="17"/>
      <c r="C1220" s="24"/>
      <c r="D1220" s="25"/>
      <c r="E1220" s="24"/>
      <c r="F1220" s="25"/>
      <c r="G1220" s="24"/>
      <c r="H1220" s="25"/>
      <c r="I1220" s="24"/>
      <c r="J1220" s="25"/>
      <c r="K1220" s="25"/>
      <c r="L1220" s="24"/>
      <c r="M1220" s="24"/>
      <c r="N1220" s="24"/>
      <c r="O1220" s="24"/>
      <c r="P1220" s="24"/>
      <c r="Q1220" s="24"/>
      <c r="R1220" s="24"/>
      <c r="S1220" s="24"/>
      <c r="T1220" s="24"/>
      <c r="Z1220" s="25"/>
    </row>
    <row r="1221">
      <c r="A1221" s="16"/>
      <c r="B1221" s="17"/>
      <c r="C1221" s="24"/>
      <c r="D1221" s="25"/>
      <c r="E1221" s="24"/>
      <c r="F1221" s="25"/>
      <c r="G1221" s="24"/>
      <c r="H1221" s="25"/>
      <c r="I1221" s="24"/>
      <c r="J1221" s="25"/>
      <c r="K1221" s="25"/>
      <c r="L1221" s="24"/>
      <c r="M1221" s="24"/>
      <c r="N1221" s="24"/>
      <c r="O1221" s="24"/>
      <c r="P1221" s="24"/>
      <c r="Q1221" s="24"/>
      <c r="R1221" s="24"/>
      <c r="S1221" s="24"/>
      <c r="T1221" s="24"/>
      <c r="Z1221" s="25"/>
    </row>
    <row r="1222">
      <c r="A1222" s="16"/>
      <c r="B1222" s="17"/>
      <c r="C1222" s="24"/>
      <c r="D1222" s="25"/>
      <c r="E1222" s="24"/>
      <c r="F1222" s="25"/>
      <c r="G1222" s="24"/>
      <c r="H1222" s="25"/>
      <c r="I1222" s="24"/>
      <c r="J1222" s="25"/>
      <c r="K1222" s="25"/>
      <c r="L1222" s="24"/>
      <c r="M1222" s="24"/>
      <c r="N1222" s="24"/>
      <c r="O1222" s="24"/>
      <c r="P1222" s="24"/>
      <c r="Q1222" s="24"/>
      <c r="R1222" s="24"/>
      <c r="S1222" s="24"/>
      <c r="T1222" s="24"/>
      <c r="Z1222" s="25"/>
    </row>
    <row r="1223">
      <c r="A1223" s="16"/>
      <c r="B1223" s="17"/>
      <c r="C1223" s="24"/>
      <c r="D1223" s="25"/>
      <c r="E1223" s="24"/>
      <c r="F1223" s="25"/>
      <c r="G1223" s="24"/>
      <c r="H1223" s="25"/>
      <c r="I1223" s="24"/>
      <c r="J1223" s="25"/>
      <c r="K1223" s="25"/>
      <c r="L1223" s="24"/>
      <c r="M1223" s="24"/>
      <c r="N1223" s="24"/>
      <c r="O1223" s="24"/>
      <c r="P1223" s="24"/>
      <c r="Q1223" s="24"/>
      <c r="R1223" s="24"/>
      <c r="S1223" s="24"/>
      <c r="T1223" s="24"/>
      <c r="Z1223" s="25"/>
    </row>
    <row r="1224">
      <c r="A1224" s="16"/>
      <c r="B1224" s="17"/>
      <c r="C1224" s="24"/>
      <c r="D1224" s="25"/>
      <c r="E1224" s="24"/>
      <c r="F1224" s="25"/>
      <c r="G1224" s="24"/>
      <c r="H1224" s="25"/>
      <c r="I1224" s="24"/>
      <c r="J1224" s="25"/>
      <c r="K1224" s="25"/>
      <c r="L1224" s="24"/>
      <c r="M1224" s="24"/>
      <c r="N1224" s="24"/>
      <c r="O1224" s="24"/>
      <c r="P1224" s="24"/>
      <c r="Q1224" s="24"/>
      <c r="R1224" s="24"/>
      <c r="S1224" s="24"/>
      <c r="T1224" s="24"/>
      <c r="Z1224" s="25"/>
    </row>
    <row r="1225">
      <c r="A1225" s="16"/>
      <c r="B1225" s="17"/>
      <c r="C1225" s="24"/>
      <c r="D1225" s="25"/>
      <c r="E1225" s="24"/>
      <c r="F1225" s="25"/>
      <c r="G1225" s="24"/>
      <c r="H1225" s="25"/>
      <c r="I1225" s="24"/>
      <c r="J1225" s="25"/>
      <c r="K1225" s="25"/>
      <c r="L1225" s="24"/>
      <c r="M1225" s="24"/>
      <c r="N1225" s="24"/>
      <c r="O1225" s="24"/>
      <c r="P1225" s="24"/>
      <c r="Q1225" s="24"/>
      <c r="R1225" s="24"/>
      <c r="S1225" s="24"/>
      <c r="T1225" s="24"/>
      <c r="Z1225" s="25"/>
    </row>
    <row r="1226">
      <c r="A1226" s="16"/>
      <c r="B1226" s="17"/>
      <c r="C1226" s="24"/>
      <c r="D1226" s="25"/>
      <c r="E1226" s="24"/>
      <c r="F1226" s="25"/>
      <c r="G1226" s="24"/>
      <c r="H1226" s="25"/>
      <c r="I1226" s="24"/>
      <c r="J1226" s="25"/>
      <c r="K1226" s="25"/>
      <c r="L1226" s="24"/>
      <c r="M1226" s="24"/>
      <c r="N1226" s="24"/>
      <c r="O1226" s="24"/>
      <c r="P1226" s="24"/>
      <c r="Q1226" s="24"/>
      <c r="R1226" s="24"/>
      <c r="S1226" s="24"/>
      <c r="T1226" s="24"/>
      <c r="Z1226" s="25"/>
    </row>
    <row r="1227">
      <c r="A1227" s="16"/>
      <c r="B1227" s="17"/>
      <c r="C1227" s="24"/>
      <c r="D1227" s="25"/>
      <c r="E1227" s="24"/>
      <c r="F1227" s="25"/>
      <c r="G1227" s="24"/>
      <c r="H1227" s="25"/>
      <c r="I1227" s="24"/>
      <c r="J1227" s="25"/>
      <c r="K1227" s="25"/>
      <c r="L1227" s="24"/>
      <c r="M1227" s="24"/>
      <c r="N1227" s="24"/>
      <c r="O1227" s="24"/>
      <c r="P1227" s="24"/>
      <c r="Q1227" s="24"/>
      <c r="R1227" s="24"/>
      <c r="S1227" s="24"/>
      <c r="T1227" s="24"/>
      <c r="Z1227" s="25"/>
    </row>
    <row r="1228">
      <c r="A1228" s="16"/>
      <c r="B1228" s="17"/>
      <c r="C1228" s="24"/>
      <c r="D1228" s="25"/>
      <c r="E1228" s="24"/>
      <c r="F1228" s="25"/>
      <c r="G1228" s="24"/>
      <c r="H1228" s="25"/>
      <c r="I1228" s="24"/>
      <c r="J1228" s="25"/>
      <c r="K1228" s="25"/>
      <c r="L1228" s="24"/>
      <c r="M1228" s="24"/>
      <c r="N1228" s="24"/>
      <c r="O1228" s="24"/>
      <c r="P1228" s="24"/>
      <c r="Q1228" s="24"/>
      <c r="R1228" s="24"/>
      <c r="S1228" s="24"/>
      <c r="T1228" s="24"/>
      <c r="Z1228" s="25"/>
    </row>
    <row r="1229">
      <c r="A1229" s="16"/>
      <c r="B1229" s="17"/>
      <c r="C1229" s="24"/>
      <c r="D1229" s="25"/>
      <c r="E1229" s="24"/>
      <c r="F1229" s="25"/>
      <c r="G1229" s="24"/>
      <c r="H1229" s="25"/>
      <c r="I1229" s="24"/>
      <c r="J1229" s="25"/>
      <c r="K1229" s="25"/>
      <c r="L1229" s="24"/>
      <c r="M1229" s="24"/>
      <c r="N1229" s="24"/>
      <c r="O1229" s="24"/>
      <c r="P1229" s="24"/>
      <c r="Q1229" s="24"/>
      <c r="R1229" s="24"/>
      <c r="S1229" s="24"/>
      <c r="T1229" s="24"/>
      <c r="Z1229" s="25"/>
    </row>
    <row r="1230">
      <c r="A1230" s="16"/>
      <c r="B1230" s="17"/>
      <c r="C1230" s="24"/>
      <c r="D1230" s="25"/>
      <c r="E1230" s="24"/>
      <c r="F1230" s="25"/>
      <c r="G1230" s="24"/>
      <c r="H1230" s="25"/>
      <c r="I1230" s="24"/>
      <c r="J1230" s="25"/>
      <c r="K1230" s="25"/>
      <c r="L1230" s="24"/>
      <c r="M1230" s="24"/>
      <c r="N1230" s="24"/>
      <c r="O1230" s="24"/>
      <c r="P1230" s="24"/>
      <c r="Q1230" s="24"/>
      <c r="R1230" s="24"/>
      <c r="S1230" s="24"/>
      <c r="T1230" s="24"/>
      <c r="Z1230" s="25"/>
    </row>
    <row r="1231">
      <c r="A1231" s="16"/>
      <c r="B1231" s="17"/>
      <c r="C1231" s="24"/>
      <c r="D1231" s="25"/>
      <c r="E1231" s="24"/>
      <c r="F1231" s="25"/>
      <c r="G1231" s="24"/>
      <c r="H1231" s="25"/>
      <c r="I1231" s="24"/>
      <c r="J1231" s="25"/>
      <c r="K1231" s="25"/>
      <c r="L1231" s="24"/>
      <c r="M1231" s="24"/>
      <c r="N1231" s="24"/>
      <c r="O1231" s="24"/>
      <c r="P1231" s="24"/>
      <c r="Q1231" s="24"/>
      <c r="R1231" s="24"/>
      <c r="S1231" s="24"/>
      <c r="T1231" s="24"/>
      <c r="Z1231" s="25"/>
    </row>
    <row r="1232">
      <c r="A1232" s="16"/>
      <c r="B1232" s="17"/>
      <c r="C1232" s="24"/>
      <c r="D1232" s="25"/>
      <c r="E1232" s="24"/>
      <c r="F1232" s="25"/>
      <c r="G1232" s="24"/>
      <c r="H1232" s="25"/>
      <c r="I1232" s="24"/>
      <c r="J1232" s="25"/>
      <c r="K1232" s="25"/>
      <c r="L1232" s="24"/>
      <c r="M1232" s="24"/>
      <c r="N1232" s="24"/>
      <c r="O1232" s="24"/>
      <c r="P1232" s="24"/>
      <c r="Q1232" s="24"/>
      <c r="R1232" s="24"/>
      <c r="S1232" s="24"/>
      <c r="T1232" s="24"/>
      <c r="Z1232" s="25"/>
    </row>
    <row r="1233">
      <c r="A1233" s="16"/>
      <c r="B1233" s="17"/>
      <c r="C1233" s="24"/>
      <c r="D1233" s="25"/>
      <c r="E1233" s="24"/>
      <c r="F1233" s="25"/>
      <c r="G1233" s="24"/>
      <c r="H1233" s="25"/>
      <c r="I1233" s="24"/>
      <c r="J1233" s="25"/>
      <c r="K1233" s="25"/>
      <c r="L1233" s="24"/>
      <c r="M1233" s="24"/>
      <c r="N1233" s="24"/>
      <c r="O1233" s="24"/>
      <c r="P1233" s="24"/>
      <c r="Q1233" s="24"/>
      <c r="R1233" s="24"/>
      <c r="S1233" s="24"/>
      <c r="T1233" s="24"/>
      <c r="Z1233" s="25"/>
    </row>
    <row r="1234">
      <c r="A1234" s="16"/>
      <c r="B1234" s="17"/>
      <c r="C1234" s="24"/>
      <c r="D1234" s="25"/>
      <c r="E1234" s="24"/>
      <c r="F1234" s="25"/>
      <c r="G1234" s="24"/>
      <c r="H1234" s="25"/>
      <c r="I1234" s="24"/>
      <c r="J1234" s="25"/>
      <c r="K1234" s="25"/>
      <c r="L1234" s="24"/>
      <c r="M1234" s="24"/>
      <c r="N1234" s="24"/>
      <c r="O1234" s="24"/>
      <c r="P1234" s="24"/>
      <c r="Q1234" s="24"/>
      <c r="R1234" s="24"/>
      <c r="S1234" s="24"/>
      <c r="T1234" s="24"/>
      <c r="Z1234" s="25"/>
    </row>
    <row r="1235">
      <c r="A1235" s="16"/>
      <c r="B1235" s="17"/>
      <c r="C1235" s="24"/>
      <c r="D1235" s="25"/>
      <c r="E1235" s="24"/>
      <c r="F1235" s="25"/>
      <c r="G1235" s="24"/>
      <c r="H1235" s="25"/>
      <c r="I1235" s="24"/>
      <c r="J1235" s="25"/>
      <c r="K1235" s="25"/>
      <c r="L1235" s="24"/>
      <c r="M1235" s="24"/>
      <c r="N1235" s="24"/>
      <c r="O1235" s="24"/>
      <c r="P1235" s="24"/>
      <c r="Q1235" s="24"/>
      <c r="R1235" s="24"/>
      <c r="S1235" s="24"/>
      <c r="T1235" s="24"/>
      <c r="Z1235" s="25"/>
    </row>
    <row r="1236">
      <c r="A1236" s="16"/>
      <c r="B1236" s="17"/>
      <c r="C1236" s="24"/>
      <c r="D1236" s="25"/>
      <c r="E1236" s="24"/>
      <c r="F1236" s="25"/>
      <c r="G1236" s="24"/>
      <c r="H1236" s="25"/>
      <c r="I1236" s="24"/>
      <c r="J1236" s="25"/>
      <c r="K1236" s="25"/>
      <c r="L1236" s="24"/>
      <c r="M1236" s="24"/>
      <c r="N1236" s="24"/>
      <c r="O1236" s="24"/>
      <c r="P1236" s="24"/>
      <c r="Q1236" s="24"/>
      <c r="R1236" s="24"/>
      <c r="S1236" s="24"/>
      <c r="T1236" s="24"/>
      <c r="Z1236" s="25"/>
    </row>
    <row r="1237">
      <c r="A1237" s="16"/>
      <c r="B1237" s="17"/>
      <c r="C1237" s="24"/>
      <c r="D1237" s="25"/>
      <c r="E1237" s="24"/>
      <c r="F1237" s="25"/>
      <c r="G1237" s="24"/>
      <c r="H1237" s="25"/>
      <c r="I1237" s="24"/>
      <c r="J1237" s="25"/>
      <c r="K1237" s="25"/>
      <c r="L1237" s="24"/>
      <c r="M1237" s="24"/>
      <c r="N1237" s="24"/>
      <c r="O1237" s="24"/>
      <c r="P1237" s="24"/>
      <c r="Q1237" s="24"/>
      <c r="R1237" s="24"/>
      <c r="S1237" s="24"/>
      <c r="T1237" s="24"/>
      <c r="Z1237" s="25"/>
    </row>
    <row r="1238">
      <c r="A1238" s="16"/>
      <c r="B1238" s="17"/>
      <c r="C1238" s="24"/>
      <c r="D1238" s="25"/>
      <c r="E1238" s="24"/>
      <c r="F1238" s="25"/>
      <c r="G1238" s="24"/>
      <c r="H1238" s="25"/>
      <c r="I1238" s="24"/>
      <c r="J1238" s="25"/>
      <c r="K1238" s="25"/>
      <c r="L1238" s="24"/>
      <c r="M1238" s="24"/>
      <c r="N1238" s="24"/>
      <c r="O1238" s="24"/>
      <c r="P1238" s="24"/>
      <c r="Q1238" s="24"/>
      <c r="R1238" s="24"/>
      <c r="S1238" s="24"/>
      <c r="T1238" s="24"/>
      <c r="Z1238" s="25"/>
    </row>
    <row r="1239">
      <c r="A1239" s="16"/>
      <c r="B1239" s="17"/>
      <c r="C1239" s="24"/>
      <c r="D1239" s="25"/>
      <c r="E1239" s="24"/>
      <c r="F1239" s="25"/>
      <c r="G1239" s="24"/>
      <c r="H1239" s="25"/>
      <c r="I1239" s="24"/>
      <c r="J1239" s="25"/>
      <c r="K1239" s="25"/>
      <c r="L1239" s="24"/>
      <c r="M1239" s="24"/>
      <c r="N1239" s="24"/>
      <c r="O1239" s="24"/>
      <c r="P1239" s="24"/>
      <c r="Q1239" s="24"/>
      <c r="R1239" s="24"/>
      <c r="S1239" s="24"/>
      <c r="T1239" s="24"/>
      <c r="Z1239" s="25"/>
    </row>
    <row r="1240">
      <c r="A1240" s="16"/>
      <c r="B1240" s="17"/>
      <c r="C1240" s="24"/>
      <c r="D1240" s="25"/>
      <c r="E1240" s="24"/>
      <c r="F1240" s="25"/>
      <c r="G1240" s="24"/>
      <c r="H1240" s="25"/>
      <c r="I1240" s="24"/>
      <c r="J1240" s="25"/>
      <c r="K1240" s="25"/>
      <c r="L1240" s="24"/>
      <c r="M1240" s="24"/>
      <c r="N1240" s="24"/>
      <c r="O1240" s="24"/>
      <c r="P1240" s="24"/>
      <c r="Q1240" s="24"/>
      <c r="R1240" s="24"/>
      <c r="S1240" s="24"/>
      <c r="T1240" s="24"/>
      <c r="Z1240" s="25"/>
    </row>
    <row r="1241">
      <c r="A1241" s="16"/>
      <c r="B1241" s="17"/>
      <c r="C1241" s="24"/>
      <c r="D1241" s="25"/>
      <c r="E1241" s="24"/>
      <c r="F1241" s="25"/>
      <c r="G1241" s="24"/>
      <c r="H1241" s="25"/>
      <c r="I1241" s="24"/>
      <c r="J1241" s="25"/>
      <c r="K1241" s="25"/>
      <c r="L1241" s="24"/>
      <c r="M1241" s="24"/>
      <c r="N1241" s="24"/>
      <c r="O1241" s="24"/>
      <c r="P1241" s="24"/>
      <c r="Q1241" s="24"/>
      <c r="R1241" s="24"/>
      <c r="S1241" s="24"/>
      <c r="T1241" s="24"/>
      <c r="Z1241" s="25"/>
    </row>
    <row r="1242">
      <c r="A1242" s="16"/>
      <c r="B1242" s="17"/>
      <c r="C1242" s="24"/>
      <c r="D1242" s="25"/>
      <c r="E1242" s="24"/>
      <c r="F1242" s="25"/>
      <c r="G1242" s="24"/>
      <c r="H1242" s="25"/>
      <c r="I1242" s="24"/>
      <c r="J1242" s="25"/>
      <c r="K1242" s="25"/>
      <c r="L1242" s="24"/>
      <c r="M1242" s="24"/>
      <c r="N1242" s="24"/>
      <c r="O1242" s="24"/>
      <c r="P1242" s="24"/>
      <c r="Q1242" s="24"/>
      <c r="R1242" s="24"/>
      <c r="S1242" s="24"/>
      <c r="T1242" s="24"/>
      <c r="Z1242" s="25"/>
    </row>
    <row r="1243">
      <c r="A1243" s="16"/>
      <c r="B1243" s="17"/>
      <c r="C1243" s="24"/>
      <c r="D1243" s="25"/>
      <c r="E1243" s="24"/>
      <c r="F1243" s="25"/>
      <c r="G1243" s="24"/>
      <c r="H1243" s="25"/>
      <c r="I1243" s="24"/>
      <c r="J1243" s="25"/>
      <c r="K1243" s="25"/>
      <c r="L1243" s="24"/>
      <c r="M1243" s="24"/>
      <c r="N1243" s="24"/>
      <c r="O1243" s="24"/>
      <c r="P1243" s="24"/>
      <c r="Q1243" s="24"/>
      <c r="R1243" s="24"/>
      <c r="S1243" s="24"/>
      <c r="T1243" s="24"/>
      <c r="Z1243" s="25"/>
    </row>
    <row r="1244">
      <c r="A1244" s="16"/>
      <c r="B1244" s="17"/>
      <c r="C1244" s="24"/>
      <c r="D1244" s="25"/>
      <c r="E1244" s="24"/>
      <c r="F1244" s="25"/>
      <c r="G1244" s="24"/>
      <c r="H1244" s="25"/>
      <c r="I1244" s="24"/>
      <c r="J1244" s="25"/>
      <c r="K1244" s="25"/>
      <c r="L1244" s="24"/>
      <c r="M1244" s="24"/>
      <c r="N1244" s="24"/>
      <c r="O1244" s="24"/>
      <c r="P1244" s="24"/>
      <c r="Q1244" s="24"/>
      <c r="R1244" s="24"/>
      <c r="S1244" s="24"/>
      <c r="T1244" s="24"/>
      <c r="Z1244" s="25"/>
    </row>
    <row r="1245">
      <c r="A1245" s="16"/>
      <c r="B1245" s="17"/>
      <c r="C1245" s="24"/>
      <c r="D1245" s="25"/>
      <c r="E1245" s="24"/>
      <c r="F1245" s="25"/>
      <c r="G1245" s="24"/>
      <c r="H1245" s="25"/>
      <c r="I1245" s="24"/>
      <c r="J1245" s="25"/>
      <c r="K1245" s="25"/>
      <c r="L1245" s="24"/>
      <c r="M1245" s="24"/>
      <c r="N1245" s="24"/>
      <c r="O1245" s="24"/>
      <c r="P1245" s="24"/>
      <c r="Q1245" s="24"/>
      <c r="R1245" s="24"/>
      <c r="S1245" s="24"/>
      <c r="T1245" s="24"/>
      <c r="Z1245" s="25"/>
    </row>
    <row r="1246">
      <c r="A1246" s="16"/>
      <c r="B1246" s="17"/>
      <c r="C1246" s="24"/>
      <c r="D1246" s="25"/>
      <c r="E1246" s="24"/>
      <c r="F1246" s="25"/>
      <c r="G1246" s="24"/>
      <c r="H1246" s="25"/>
      <c r="I1246" s="24"/>
      <c r="J1246" s="25"/>
      <c r="K1246" s="25"/>
      <c r="L1246" s="24"/>
      <c r="M1246" s="24"/>
      <c r="N1246" s="24"/>
      <c r="O1246" s="24"/>
      <c r="P1246" s="24"/>
      <c r="Q1246" s="24"/>
      <c r="R1246" s="24"/>
      <c r="S1246" s="24"/>
      <c r="T1246" s="24"/>
      <c r="Z1246" s="25"/>
    </row>
    <row r="1247">
      <c r="A1247" s="16"/>
      <c r="B1247" s="17"/>
      <c r="C1247" s="24"/>
      <c r="D1247" s="25"/>
      <c r="E1247" s="24"/>
      <c r="F1247" s="25"/>
      <c r="G1247" s="24"/>
      <c r="H1247" s="25"/>
      <c r="I1247" s="24"/>
      <c r="J1247" s="25"/>
      <c r="K1247" s="25"/>
      <c r="L1247" s="24"/>
      <c r="M1247" s="24"/>
      <c r="N1247" s="24"/>
      <c r="O1247" s="24"/>
      <c r="P1247" s="24"/>
      <c r="Q1247" s="24"/>
      <c r="R1247" s="24"/>
      <c r="S1247" s="24"/>
      <c r="T1247" s="24"/>
      <c r="Z1247" s="25"/>
    </row>
    <row r="1248">
      <c r="A1248" s="16"/>
      <c r="B1248" s="17"/>
      <c r="C1248" s="24"/>
      <c r="D1248" s="25"/>
      <c r="E1248" s="24"/>
      <c r="F1248" s="25"/>
      <c r="G1248" s="24"/>
      <c r="H1248" s="25"/>
      <c r="I1248" s="24"/>
      <c r="J1248" s="25"/>
      <c r="K1248" s="25"/>
      <c r="L1248" s="24"/>
      <c r="M1248" s="24"/>
      <c r="N1248" s="24"/>
      <c r="O1248" s="24"/>
      <c r="P1248" s="24"/>
      <c r="Q1248" s="24"/>
      <c r="R1248" s="24"/>
      <c r="S1248" s="24"/>
      <c r="T1248" s="24"/>
      <c r="Z1248" s="25"/>
    </row>
    <row r="1249">
      <c r="A1249" s="16"/>
      <c r="B1249" s="17"/>
      <c r="C1249" s="24"/>
      <c r="D1249" s="25"/>
      <c r="E1249" s="24"/>
      <c r="F1249" s="25"/>
      <c r="G1249" s="24"/>
      <c r="H1249" s="25"/>
      <c r="I1249" s="24"/>
      <c r="J1249" s="25"/>
      <c r="K1249" s="25"/>
      <c r="L1249" s="24"/>
      <c r="M1249" s="24"/>
      <c r="N1249" s="24"/>
      <c r="O1249" s="24"/>
      <c r="P1249" s="24"/>
      <c r="Q1249" s="24"/>
      <c r="R1249" s="24"/>
      <c r="S1249" s="24"/>
      <c r="T1249" s="24"/>
      <c r="Z1249" s="25"/>
    </row>
    <row r="1250">
      <c r="A1250" s="16"/>
      <c r="B1250" s="17"/>
      <c r="C1250" s="24"/>
      <c r="D1250" s="25"/>
      <c r="E1250" s="24"/>
      <c r="F1250" s="25"/>
      <c r="G1250" s="24"/>
      <c r="H1250" s="25"/>
      <c r="I1250" s="24"/>
      <c r="J1250" s="25"/>
      <c r="K1250" s="25"/>
      <c r="L1250" s="24"/>
      <c r="M1250" s="24"/>
      <c r="N1250" s="24"/>
      <c r="O1250" s="24"/>
      <c r="P1250" s="24"/>
      <c r="Q1250" s="24"/>
      <c r="R1250" s="24"/>
      <c r="S1250" s="24"/>
      <c r="T1250" s="24"/>
      <c r="Z1250" s="25"/>
    </row>
    <row r="1251">
      <c r="A1251" s="16"/>
      <c r="B1251" s="17"/>
      <c r="C1251" s="24"/>
      <c r="D1251" s="25"/>
      <c r="E1251" s="24"/>
      <c r="F1251" s="25"/>
      <c r="G1251" s="24"/>
      <c r="H1251" s="25"/>
      <c r="I1251" s="24"/>
      <c r="J1251" s="25"/>
      <c r="K1251" s="25"/>
      <c r="L1251" s="24"/>
      <c r="M1251" s="24"/>
      <c r="N1251" s="24"/>
      <c r="O1251" s="24"/>
      <c r="P1251" s="24"/>
      <c r="Q1251" s="24"/>
      <c r="R1251" s="24"/>
      <c r="S1251" s="24"/>
      <c r="T1251" s="24"/>
      <c r="Z1251" s="25"/>
    </row>
    <row r="1252">
      <c r="A1252" s="16"/>
      <c r="B1252" s="17"/>
      <c r="C1252" s="24"/>
      <c r="D1252" s="25"/>
      <c r="E1252" s="24"/>
      <c r="F1252" s="25"/>
      <c r="G1252" s="24"/>
      <c r="H1252" s="25"/>
      <c r="I1252" s="24"/>
      <c r="J1252" s="25"/>
      <c r="K1252" s="25"/>
      <c r="L1252" s="24"/>
      <c r="M1252" s="24"/>
      <c r="N1252" s="24"/>
      <c r="O1252" s="24"/>
      <c r="P1252" s="24"/>
      <c r="Q1252" s="24"/>
      <c r="R1252" s="24"/>
      <c r="S1252" s="24"/>
      <c r="T1252" s="24"/>
      <c r="Z1252" s="25"/>
    </row>
    <row r="1253">
      <c r="A1253" s="16"/>
      <c r="B1253" s="17"/>
      <c r="C1253" s="24"/>
      <c r="D1253" s="25"/>
      <c r="E1253" s="24"/>
      <c r="F1253" s="25"/>
      <c r="G1253" s="24"/>
      <c r="H1253" s="25"/>
      <c r="I1253" s="24"/>
      <c r="J1253" s="25"/>
      <c r="K1253" s="25"/>
      <c r="L1253" s="24"/>
      <c r="M1253" s="24"/>
      <c r="N1253" s="24"/>
      <c r="O1253" s="24"/>
      <c r="P1253" s="24"/>
      <c r="Q1253" s="24"/>
      <c r="R1253" s="24"/>
      <c r="S1253" s="24"/>
      <c r="T1253" s="24"/>
      <c r="Z1253" s="25"/>
    </row>
    <row r="1254">
      <c r="A1254" s="16"/>
      <c r="B1254" s="17"/>
      <c r="C1254" s="24"/>
      <c r="D1254" s="25"/>
      <c r="E1254" s="24"/>
      <c r="F1254" s="25"/>
      <c r="G1254" s="24"/>
      <c r="H1254" s="25"/>
      <c r="I1254" s="24"/>
      <c r="J1254" s="25"/>
      <c r="K1254" s="25"/>
      <c r="L1254" s="24"/>
      <c r="M1254" s="24"/>
      <c r="N1254" s="24"/>
      <c r="O1254" s="24"/>
      <c r="P1254" s="24"/>
      <c r="Q1254" s="24"/>
      <c r="R1254" s="24"/>
      <c r="S1254" s="24"/>
      <c r="T1254" s="24"/>
      <c r="Z1254" s="25"/>
    </row>
    <row r="1255">
      <c r="A1255" s="16"/>
      <c r="B1255" s="17"/>
      <c r="C1255" s="24"/>
      <c r="D1255" s="25"/>
      <c r="E1255" s="24"/>
      <c r="F1255" s="25"/>
      <c r="G1255" s="24"/>
      <c r="H1255" s="25"/>
      <c r="I1255" s="24"/>
      <c r="J1255" s="25"/>
      <c r="K1255" s="25"/>
      <c r="L1255" s="24"/>
      <c r="M1255" s="24"/>
      <c r="N1255" s="24"/>
      <c r="O1255" s="24"/>
      <c r="P1255" s="24"/>
      <c r="Q1255" s="24"/>
      <c r="R1255" s="24"/>
      <c r="S1255" s="24"/>
      <c r="T1255" s="24"/>
      <c r="Z1255" s="25"/>
    </row>
    <row r="1256">
      <c r="A1256" s="16"/>
      <c r="B1256" s="17"/>
      <c r="C1256" s="24"/>
      <c r="D1256" s="25"/>
      <c r="E1256" s="24"/>
      <c r="F1256" s="25"/>
      <c r="G1256" s="24"/>
      <c r="H1256" s="25"/>
      <c r="I1256" s="24"/>
      <c r="J1256" s="25"/>
      <c r="K1256" s="25"/>
      <c r="L1256" s="24"/>
      <c r="M1256" s="24"/>
      <c r="N1256" s="24"/>
      <c r="O1256" s="24"/>
      <c r="P1256" s="24"/>
      <c r="Q1256" s="24"/>
      <c r="R1256" s="24"/>
      <c r="S1256" s="24"/>
      <c r="T1256" s="24"/>
      <c r="Z1256" s="25"/>
    </row>
    <row r="1257">
      <c r="A1257" s="16"/>
      <c r="B1257" s="17"/>
      <c r="C1257" s="24"/>
      <c r="D1257" s="25"/>
      <c r="E1257" s="24"/>
      <c r="F1257" s="25"/>
      <c r="G1257" s="24"/>
      <c r="H1257" s="25"/>
      <c r="I1257" s="24"/>
      <c r="J1257" s="25"/>
      <c r="K1257" s="25"/>
      <c r="L1257" s="24"/>
      <c r="M1257" s="24"/>
      <c r="N1257" s="24"/>
      <c r="O1257" s="24"/>
      <c r="P1257" s="24"/>
      <c r="Q1257" s="24"/>
      <c r="R1257" s="24"/>
      <c r="S1257" s="24"/>
      <c r="T1257" s="24"/>
      <c r="Z1257" s="25"/>
    </row>
    <row r="1258">
      <c r="A1258" s="16"/>
      <c r="B1258" s="17"/>
      <c r="C1258" s="24"/>
      <c r="D1258" s="25"/>
      <c r="E1258" s="24"/>
      <c r="F1258" s="25"/>
      <c r="G1258" s="24"/>
      <c r="H1258" s="25"/>
      <c r="I1258" s="24"/>
      <c r="J1258" s="25"/>
      <c r="K1258" s="25"/>
      <c r="L1258" s="24"/>
      <c r="M1258" s="24"/>
      <c r="N1258" s="24"/>
      <c r="O1258" s="24"/>
      <c r="P1258" s="24"/>
      <c r="Q1258" s="24"/>
      <c r="R1258" s="24"/>
      <c r="S1258" s="24"/>
      <c r="T1258" s="24"/>
      <c r="Z1258" s="25"/>
    </row>
    <row r="1259">
      <c r="A1259" s="16"/>
      <c r="B1259" s="17"/>
      <c r="C1259" s="24"/>
      <c r="D1259" s="25"/>
      <c r="E1259" s="24"/>
      <c r="F1259" s="25"/>
      <c r="G1259" s="24"/>
      <c r="H1259" s="25"/>
      <c r="I1259" s="24"/>
      <c r="J1259" s="25"/>
      <c r="K1259" s="25"/>
      <c r="L1259" s="24"/>
      <c r="M1259" s="24"/>
      <c r="N1259" s="24"/>
      <c r="O1259" s="24"/>
      <c r="P1259" s="24"/>
      <c r="Q1259" s="24"/>
      <c r="R1259" s="24"/>
      <c r="S1259" s="24"/>
      <c r="T1259" s="24"/>
      <c r="Z1259" s="25"/>
    </row>
    <row r="1260">
      <c r="A1260" s="16"/>
      <c r="B1260" s="17"/>
      <c r="C1260" s="24"/>
      <c r="D1260" s="25"/>
      <c r="E1260" s="24"/>
      <c r="F1260" s="25"/>
      <c r="G1260" s="24"/>
      <c r="H1260" s="25"/>
      <c r="I1260" s="24"/>
      <c r="J1260" s="25"/>
      <c r="K1260" s="25"/>
      <c r="L1260" s="24"/>
      <c r="M1260" s="24"/>
      <c r="N1260" s="24"/>
      <c r="O1260" s="24"/>
      <c r="P1260" s="24"/>
      <c r="Q1260" s="24"/>
      <c r="R1260" s="24"/>
      <c r="S1260" s="24"/>
      <c r="T1260" s="24"/>
      <c r="Z1260" s="25"/>
    </row>
    <row r="1261">
      <c r="A1261" s="16"/>
      <c r="B1261" s="17"/>
      <c r="C1261" s="24"/>
      <c r="D1261" s="25"/>
      <c r="E1261" s="24"/>
      <c r="F1261" s="25"/>
      <c r="G1261" s="24"/>
      <c r="H1261" s="25"/>
      <c r="I1261" s="24"/>
      <c r="J1261" s="25"/>
      <c r="K1261" s="25"/>
      <c r="L1261" s="24"/>
      <c r="M1261" s="24"/>
      <c r="N1261" s="24"/>
      <c r="O1261" s="24"/>
      <c r="P1261" s="24"/>
      <c r="Q1261" s="24"/>
      <c r="R1261" s="24"/>
      <c r="S1261" s="24"/>
      <c r="T1261" s="24"/>
      <c r="Z1261" s="25"/>
    </row>
    <row r="1262">
      <c r="A1262" s="16"/>
      <c r="B1262" s="17"/>
      <c r="C1262" s="24"/>
      <c r="D1262" s="25"/>
      <c r="E1262" s="24"/>
      <c r="F1262" s="25"/>
      <c r="G1262" s="24"/>
      <c r="H1262" s="25"/>
      <c r="I1262" s="24"/>
      <c r="J1262" s="25"/>
      <c r="K1262" s="25"/>
      <c r="L1262" s="24"/>
      <c r="M1262" s="24"/>
      <c r="N1262" s="24"/>
      <c r="O1262" s="24"/>
      <c r="P1262" s="24"/>
      <c r="Q1262" s="24"/>
      <c r="R1262" s="24"/>
      <c r="S1262" s="24"/>
      <c r="T1262" s="24"/>
      <c r="Z1262" s="25"/>
    </row>
    <row r="1263">
      <c r="A1263" s="16"/>
      <c r="B1263" s="17"/>
      <c r="C1263" s="24"/>
      <c r="D1263" s="25"/>
      <c r="E1263" s="24"/>
      <c r="F1263" s="25"/>
      <c r="G1263" s="24"/>
      <c r="H1263" s="25"/>
      <c r="I1263" s="24"/>
      <c r="J1263" s="25"/>
      <c r="K1263" s="25"/>
      <c r="L1263" s="24"/>
      <c r="M1263" s="24"/>
      <c r="N1263" s="24"/>
      <c r="O1263" s="24"/>
      <c r="P1263" s="24"/>
      <c r="Q1263" s="24"/>
      <c r="R1263" s="24"/>
      <c r="S1263" s="24"/>
      <c r="T1263" s="24"/>
      <c r="Z1263" s="25"/>
    </row>
    <row r="1264">
      <c r="A1264" s="16"/>
      <c r="B1264" s="17"/>
      <c r="C1264" s="24"/>
      <c r="D1264" s="25"/>
      <c r="E1264" s="24"/>
      <c r="F1264" s="25"/>
      <c r="G1264" s="24"/>
      <c r="H1264" s="25"/>
      <c r="I1264" s="24"/>
      <c r="J1264" s="25"/>
      <c r="K1264" s="25"/>
      <c r="L1264" s="24"/>
      <c r="M1264" s="24"/>
      <c r="N1264" s="24"/>
      <c r="O1264" s="24"/>
      <c r="P1264" s="24"/>
      <c r="Q1264" s="24"/>
      <c r="R1264" s="24"/>
      <c r="S1264" s="24"/>
      <c r="T1264" s="24"/>
      <c r="Z1264" s="25"/>
    </row>
    <row r="1265">
      <c r="A1265" s="16"/>
      <c r="B1265" s="17"/>
      <c r="C1265" s="24"/>
      <c r="D1265" s="25"/>
      <c r="E1265" s="24"/>
      <c r="F1265" s="25"/>
      <c r="G1265" s="24"/>
      <c r="H1265" s="25"/>
      <c r="I1265" s="24"/>
      <c r="J1265" s="25"/>
      <c r="K1265" s="25"/>
      <c r="L1265" s="24"/>
      <c r="M1265" s="24"/>
      <c r="N1265" s="24"/>
      <c r="O1265" s="24"/>
      <c r="P1265" s="24"/>
      <c r="Q1265" s="24"/>
      <c r="R1265" s="24"/>
      <c r="S1265" s="24"/>
      <c r="T1265" s="24"/>
      <c r="Z1265" s="25"/>
    </row>
    <row r="1266">
      <c r="A1266" s="16"/>
      <c r="B1266" s="17"/>
      <c r="C1266" s="24"/>
      <c r="D1266" s="25"/>
      <c r="E1266" s="24"/>
      <c r="F1266" s="25"/>
      <c r="G1266" s="24"/>
      <c r="H1266" s="25"/>
      <c r="I1266" s="24"/>
      <c r="J1266" s="25"/>
      <c r="K1266" s="25"/>
      <c r="L1266" s="24"/>
      <c r="M1266" s="24"/>
      <c r="N1266" s="24"/>
      <c r="O1266" s="24"/>
      <c r="P1266" s="24"/>
      <c r="Q1266" s="24"/>
      <c r="R1266" s="24"/>
      <c r="S1266" s="24"/>
      <c r="T1266" s="24"/>
      <c r="Z1266" s="25"/>
    </row>
    <row r="1267">
      <c r="A1267" s="16"/>
      <c r="B1267" s="17"/>
      <c r="C1267" s="24"/>
      <c r="D1267" s="25"/>
      <c r="E1267" s="24"/>
      <c r="F1267" s="25"/>
      <c r="G1267" s="24"/>
      <c r="H1267" s="25"/>
      <c r="I1267" s="24"/>
      <c r="J1267" s="25"/>
      <c r="K1267" s="25"/>
      <c r="L1267" s="24"/>
      <c r="M1267" s="24"/>
      <c r="N1267" s="24"/>
      <c r="O1267" s="24"/>
      <c r="P1267" s="24"/>
      <c r="Q1267" s="24"/>
      <c r="R1267" s="24"/>
      <c r="S1267" s="24"/>
      <c r="T1267" s="24"/>
      <c r="Z1267" s="25"/>
    </row>
    <row r="1268">
      <c r="A1268" s="16"/>
      <c r="B1268" s="17"/>
      <c r="C1268" s="24"/>
      <c r="D1268" s="25"/>
      <c r="E1268" s="24"/>
      <c r="F1268" s="25"/>
      <c r="G1268" s="24"/>
      <c r="H1268" s="25"/>
      <c r="I1268" s="24"/>
      <c r="J1268" s="25"/>
      <c r="K1268" s="25"/>
      <c r="L1268" s="24"/>
      <c r="M1268" s="24"/>
      <c r="N1268" s="24"/>
      <c r="O1268" s="24"/>
      <c r="P1268" s="24"/>
      <c r="Q1268" s="24"/>
      <c r="R1268" s="24"/>
      <c r="S1268" s="24"/>
      <c r="T1268" s="24"/>
      <c r="Z1268" s="25"/>
    </row>
    <row r="1269">
      <c r="A1269" s="16"/>
      <c r="B1269" s="17"/>
      <c r="C1269" s="24"/>
      <c r="D1269" s="25"/>
      <c r="E1269" s="24"/>
      <c r="F1269" s="25"/>
      <c r="G1269" s="24"/>
      <c r="H1269" s="25"/>
      <c r="I1269" s="24"/>
      <c r="J1269" s="25"/>
      <c r="K1269" s="25"/>
      <c r="L1269" s="24"/>
      <c r="M1269" s="24"/>
      <c r="N1269" s="24"/>
      <c r="O1269" s="24"/>
      <c r="P1269" s="24"/>
      <c r="Q1269" s="24"/>
      <c r="R1269" s="24"/>
      <c r="S1269" s="24"/>
      <c r="T1269" s="24"/>
      <c r="Z1269" s="25"/>
    </row>
    <row r="1270">
      <c r="A1270" s="16"/>
      <c r="B1270" s="17"/>
      <c r="C1270" s="24"/>
      <c r="D1270" s="25"/>
      <c r="E1270" s="24"/>
      <c r="F1270" s="25"/>
      <c r="G1270" s="24"/>
      <c r="H1270" s="25"/>
      <c r="I1270" s="24"/>
      <c r="J1270" s="25"/>
      <c r="K1270" s="25"/>
      <c r="L1270" s="24"/>
      <c r="M1270" s="24"/>
      <c r="N1270" s="24"/>
      <c r="O1270" s="24"/>
      <c r="P1270" s="24"/>
      <c r="Q1270" s="24"/>
      <c r="R1270" s="24"/>
      <c r="S1270" s="24"/>
      <c r="T1270" s="24"/>
      <c r="Z1270" s="25"/>
    </row>
    <row r="1271">
      <c r="A1271" s="16"/>
      <c r="B1271" s="17"/>
      <c r="C1271" s="24"/>
      <c r="D1271" s="25"/>
      <c r="E1271" s="24"/>
      <c r="F1271" s="25"/>
      <c r="G1271" s="24"/>
      <c r="H1271" s="25"/>
      <c r="I1271" s="24"/>
      <c r="J1271" s="25"/>
      <c r="K1271" s="25"/>
      <c r="L1271" s="24"/>
      <c r="M1271" s="24"/>
      <c r="N1271" s="24"/>
      <c r="O1271" s="24"/>
      <c r="P1271" s="24"/>
      <c r="Q1271" s="24"/>
      <c r="R1271" s="24"/>
      <c r="S1271" s="24"/>
      <c r="T1271" s="24"/>
      <c r="Z1271" s="25"/>
    </row>
    <row r="1272">
      <c r="A1272" s="16"/>
      <c r="B1272" s="17"/>
      <c r="C1272" s="24"/>
      <c r="D1272" s="25"/>
      <c r="E1272" s="24"/>
      <c r="F1272" s="25"/>
      <c r="G1272" s="24"/>
      <c r="H1272" s="25"/>
      <c r="I1272" s="24"/>
      <c r="J1272" s="25"/>
      <c r="K1272" s="25"/>
      <c r="L1272" s="24"/>
      <c r="M1272" s="24"/>
      <c r="N1272" s="24"/>
      <c r="O1272" s="24"/>
      <c r="P1272" s="24"/>
      <c r="Q1272" s="24"/>
      <c r="R1272" s="24"/>
      <c r="S1272" s="24"/>
      <c r="T1272" s="24"/>
      <c r="Z1272" s="25"/>
    </row>
    <row r="1273">
      <c r="A1273" s="16"/>
      <c r="B1273" s="17"/>
      <c r="C1273" s="24"/>
      <c r="D1273" s="25"/>
      <c r="E1273" s="24"/>
      <c r="F1273" s="25"/>
      <c r="G1273" s="24"/>
      <c r="H1273" s="25"/>
      <c r="I1273" s="24"/>
      <c r="J1273" s="25"/>
      <c r="K1273" s="25"/>
      <c r="L1273" s="24"/>
      <c r="M1273" s="24"/>
      <c r="N1273" s="24"/>
      <c r="O1273" s="24"/>
      <c r="P1273" s="24"/>
      <c r="Q1273" s="24"/>
      <c r="R1273" s="24"/>
      <c r="S1273" s="24"/>
      <c r="T1273" s="24"/>
      <c r="Z1273" s="25"/>
    </row>
    <row r="1274">
      <c r="A1274" s="16"/>
      <c r="B1274" s="17"/>
      <c r="C1274" s="24"/>
      <c r="D1274" s="25"/>
      <c r="E1274" s="24"/>
      <c r="F1274" s="25"/>
      <c r="G1274" s="24"/>
      <c r="H1274" s="25"/>
      <c r="I1274" s="24"/>
      <c r="J1274" s="25"/>
      <c r="K1274" s="25"/>
      <c r="L1274" s="24"/>
      <c r="M1274" s="24"/>
      <c r="N1274" s="24"/>
      <c r="O1274" s="24"/>
      <c r="P1274" s="24"/>
      <c r="Q1274" s="24"/>
      <c r="R1274" s="24"/>
      <c r="S1274" s="24"/>
      <c r="T1274" s="24"/>
      <c r="Z1274" s="25"/>
    </row>
    <row r="1275">
      <c r="A1275" s="16"/>
      <c r="B1275" s="17"/>
      <c r="C1275" s="24"/>
      <c r="D1275" s="25"/>
      <c r="E1275" s="24"/>
      <c r="F1275" s="25"/>
      <c r="G1275" s="24"/>
      <c r="H1275" s="25"/>
      <c r="I1275" s="24"/>
      <c r="J1275" s="25"/>
      <c r="K1275" s="25"/>
      <c r="L1275" s="24"/>
      <c r="M1275" s="24"/>
      <c r="N1275" s="24"/>
      <c r="O1275" s="24"/>
      <c r="P1275" s="24"/>
      <c r="Q1275" s="24"/>
      <c r="R1275" s="24"/>
      <c r="S1275" s="24"/>
      <c r="T1275" s="24"/>
      <c r="Z1275" s="25"/>
    </row>
    <row r="1276">
      <c r="A1276" s="16"/>
      <c r="B1276" s="17"/>
      <c r="C1276" s="24"/>
      <c r="D1276" s="25"/>
      <c r="E1276" s="24"/>
      <c r="F1276" s="25"/>
      <c r="G1276" s="24"/>
      <c r="H1276" s="25"/>
      <c r="I1276" s="24"/>
      <c r="J1276" s="25"/>
      <c r="K1276" s="25"/>
      <c r="L1276" s="24"/>
      <c r="M1276" s="24"/>
      <c r="N1276" s="24"/>
      <c r="O1276" s="24"/>
      <c r="P1276" s="24"/>
      <c r="Q1276" s="24"/>
      <c r="R1276" s="24"/>
      <c r="S1276" s="24"/>
      <c r="T1276" s="24"/>
      <c r="Z1276" s="25"/>
    </row>
    <row r="1277">
      <c r="A1277" s="16"/>
      <c r="B1277" s="17"/>
      <c r="C1277" s="24"/>
      <c r="D1277" s="25"/>
      <c r="E1277" s="24"/>
      <c r="F1277" s="25"/>
      <c r="G1277" s="24"/>
      <c r="H1277" s="25"/>
      <c r="I1277" s="24"/>
      <c r="J1277" s="25"/>
      <c r="K1277" s="25"/>
      <c r="L1277" s="24"/>
      <c r="M1277" s="24"/>
      <c r="N1277" s="24"/>
      <c r="O1277" s="24"/>
      <c r="P1277" s="24"/>
      <c r="Q1277" s="24"/>
      <c r="R1277" s="24"/>
      <c r="S1277" s="24"/>
      <c r="T1277" s="24"/>
      <c r="Z1277" s="25"/>
    </row>
    <row r="1278">
      <c r="A1278" s="16"/>
      <c r="B1278" s="17"/>
      <c r="C1278" s="24"/>
      <c r="D1278" s="25"/>
      <c r="E1278" s="24"/>
      <c r="F1278" s="25"/>
      <c r="G1278" s="24"/>
      <c r="H1278" s="25"/>
      <c r="I1278" s="24"/>
      <c r="J1278" s="25"/>
      <c r="K1278" s="25"/>
      <c r="L1278" s="24"/>
      <c r="M1278" s="24"/>
      <c r="N1278" s="24"/>
      <c r="O1278" s="24"/>
      <c r="P1278" s="24"/>
      <c r="Q1278" s="24"/>
      <c r="R1278" s="24"/>
      <c r="S1278" s="24"/>
      <c r="T1278" s="24"/>
      <c r="Z1278" s="25"/>
    </row>
    <row r="1279">
      <c r="A1279" s="16"/>
      <c r="B1279" s="17"/>
      <c r="C1279" s="24"/>
      <c r="D1279" s="25"/>
      <c r="E1279" s="24"/>
      <c r="F1279" s="25"/>
      <c r="G1279" s="24"/>
      <c r="H1279" s="25"/>
      <c r="I1279" s="24"/>
      <c r="J1279" s="25"/>
      <c r="K1279" s="25"/>
      <c r="L1279" s="24"/>
      <c r="M1279" s="24"/>
      <c r="N1279" s="24"/>
      <c r="O1279" s="24"/>
      <c r="P1279" s="24"/>
      <c r="Q1279" s="24"/>
      <c r="R1279" s="24"/>
      <c r="S1279" s="24"/>
      <c r="T1279" s="24"/>
      <c r="Z1279" s="25"/>
    </row>
    <row r="1280">
      <c r="A1280" s="16"/>
      <c r="B1280" s="17"/>
      <c r="C1280" s="24"/>
      <c r="D1280" s="25"/>
      <c r="E1280" s="24"/>
      <c r="F1280" s="25"/>
      <c r="G1280" s="24"/>
      <c r="H1280" s="25"/>
      <c r="I1280" s="24"/>
      <c r="J1280" s="25"/>
      <c r="K1280" s="25"/>
      <c r="L1280" s="24"/>
      <c r="M1280" s="24"/>
      <c r="N1280" s="24"/>
      <c r="O1280" s="24"/>
      <c r="P1280" s="24"/>
      <c r="Q1280" s="24"/>
      <c r="R1280" s="24"/>
      <c r="S1280" s="24"/>
      <c r="T1280" s="24"/>
      <c r="Z1280" s="25"/>
    </row>
    <row r="1281">
      <c r="A1281" s="16"/>
      <c r="B1281" s="17"/>
      <c r="C1281" s="24"/>
      <c r="D1281" s="25"/>
      <c r="E1281" s="24"/>
      <c r="F1281" s="25"/>
      <c r="G1281" s="24"/>
      <c r="H1281" s="25"/>
      <c r="I1281" s="24"/>
      <c r="J1281" s="25"/>
      <c r="K1281" s="25"/>
      <c r="L1281" s="24"/>
      <c r="M1281" s="24"/>
      <c r="N1281" s="24"/>
      <c r="O1281" s="24"/>
      <c r="P1281" s="24"/>
      <c r="Q1281" s="24"/>
      <c r="R1281" s="24"/>
      <c r="S1281" s="24"/>
      <c r="T1281" s="24"/>
      <c r="Z1281" s="25"/>
    </row>
    <row r="1282">
      <c r="A1282" s="16"/>
      <c r="B1282" s="17"/>
      <c r="C1282" s="24"/>
      <c r="D1282" s="25"/>
      <c r="E1282" s="24"/>
      <c r="F1282" s="25"/>
      <c r="G1282" s="24"/>
      <c r="H1282" s="25"/>
      <c r="I1282" s="24"/>
      <c r="J1282" s="25"/>
      <c r="K1282" s="25"/>
      <c r="L1282" s="24"/>
      <c r="M1282" s="24"/>
      <c r="N1282" s="24"/>
      <c r="O1282" s="24"/>
      <c r="P1282" s="24"/>
      <c r="Q1282" s="24"/>
      <c r="R1282" s="24"/>
      <c r="S1282" s="24"/>
      <c r="T1282" s="24"/>
      <c r="Z1282" s="25"/>
    </row>
    <row r="1283">
      <c r="A1283" s="16"/>
      <c r="B1283" s="17"/>
      <c r="C1283" s="24"/>
      <c r="D1283" s="25"/>
      <c r="E1283" s="24"/>
      <c r="F1283" s="25"/>
      <c r="G1283" s="24"/>
      <c r="H1283" s="25"/>
      <c r="I1283" s="24"/>
      <c r="J1283" s="25"/>
      <c r="K1283" s="25"/>
      <c r="L1283" s="24"/>
      <c r="M1283" s="24"/>
      <c r="N1283" s="24"/>
      <c r="O1283" s="24"/>
      <c r="P1283" s="24"/>
      <c r="Q1283" s="24"/>
      <c r="R1283" s="24"/>
      <c r="S1283" s="24"/>
      <c r="T1283" s="24"/>
      <c r="Z1283" s="25"/>
    </row>
    <row r="1284">
      <c r="A1284" s="16"/>
      <c r="B1284" s="17"/>
      <c r="C1284" s="24"/>
      <c r="D1284" s="25"/>
      <c r="E1284" s="24"/>
      <c r="F1284" s="25"/>
      <c r="G1284" s="24"/>
      <c r="H1284" s="25"/>
      <c r="I1284" s="24"/>
      <c r="J1284" s="25"/>
      <c r="K1284" s="25"/>
      <c r="L1284" s="24"/>
      <c r="M1284" s="24"/>
      <c r="N1284" s="24"/>
      <c r="O1284" s="24"/>
      <c r="P1284" s="24"/>
      <c r="Q1284" s="24"/>
      <c r="R1284" s="24"/>
      <c r="S1284" s="24"/>
      <c r="T1284" s="24"/>
      <c r="Z1284" s="25"/>
    </row>
    <row r="1285">
      <c r="A1285" s="16"/>
      <c r="B1285" s="17"/>
      <c r="C1285" s="24"/>
      <c r="D1285" s="25"/>
      <c r="E1285" s="24"/>
      <c r="F1285" s="25"/>
      <c r="G1285" s="24"/>
      <c r="H1285" s="25"/>
      <c r="I1285" s="24"/>
      <c r="J1285" s="25"/>
      <c r="K1285" s="25"/>
      <c r="L1285" s="24"/>
      <c r="M1285" s="24"/>
      <c r="N1285" s="24"/>
      <c r="O1285" s="24"/>
      <c r="P1285" s="24"/>
      <c r="Q1285" s="24"/>
      <c r="R1285" s="24"/>
      <c r="S1285" s="24"/>
      <c r="T1285" s="24"/>
      <c r="Z1285" s="25"/>
    </row>
    <row r="1286">
      <c r="A1286" s="16"/>
      <c r="B1286" s="17"/>
      <c r="C1286" s="24"/>
      <c r="D1286" s="25"/>
      <c r="E1286" s="24"/>
      <c r="F1286" s="25"/>
      <c r="G1286" s="24"/>
      <c r="H1286" s="25"/>
      <c r="I1286" s="24"/>
      <c r="J1286" s="25"/>
      <c r="K1286" s="25"/>
      <c r="L1286" s="24"/>
      <c r="M1286" s="24"/>
      <c r="N1286" s="24"/>
      <c r="O1286" s="24"/>
      <c r="P1286" s="24"/>
      <c r="Q1286" s="24"/>
      <c r="R1286" s="24"/>
      <c r="S1286" s="24"/>
      <c r="T1286" s="24"/>
      <c r="Z1286" s="25"/>
    </row>
    <row r="1287">
      <c r="A1287" s="16"/>
      <c r="B1287" s="17"/>
      <c r="C1287" s="24"/>
      <c r="D1287" s="25"/>
      <c r="E1287" s="24"/>
      <c r="F1287" s="25"/>
      <c r="G1287" s="24"/>
      <c r="H1287" s="25"/>
      <c r="I1287" s="24"/>
      <c r="J1287" s="25"/>
      <c r="K1287" s="25"/>
      <c r="L1287" s="24"/>
      <c r="M1287" s="24"/>
      <c r="N1287" s="24"/>
      <c r="O1287" s="24"/>
      <c r="P1287" s="24"/>
      <c r="Q1287" s="24"/>
      <c r="R1287" s="24"/>
      <c r="S1287" s="24"/>
      <c r="T1287" s="24"/>
      <c r="Z1287" s="25"/>
    </row>
    <row r="1288">
      <c r="A1288" s="16"/>
      <c r="B1288" s="17"/>
      <c r="C1288" s="24"/>
      <c r="D1288" s="25"/>
      <c r="E1288" s="24"/>
      <c r="F1288" s="25"/>
      <c r="G1288" s="24"/>
      <c r="H1288" s="25"/>
      <c r="I1288" s="24"/>
      <c r="J1288" s="25"/>
      <c r="K1288" s="25"/>
      <c r="L1288" s="24"/>
      <c r="M1288" s="24"/>
      <c r="N1288" s="24"/>
      <c r="O1288" s="24"/>
      <c r="P1288" s="24"/>
      <c r="Q1288" s="24"/>
      <c r="R1288" s="24"/>
      <c r="S1288" s="24"/>
      <c r="T1288" s="24"/>
      <c r="Z1288" s="25"/>
    </row>
    <row r="1289">
      <c r="A1289" s="16"/>
      <c r="B1289" s="17"/>
      <c r="C1289" s="24"/>
      <c r="D1289" s="25"/>
      <c r="E1289" s="24"/>
      <c r="F1289" s="25"/>
      <c r="G1289" s="24"/>
      <c r="H1289" s="25"/>
      <c r="I1289" s="24"/>
      <c r="J1289" s="25"/>
      <c r="K1289" s="25"/>
      <c r="L1289" s="24"/>
      <c r="M1289" s="24"/>
      <c r="N1289" s="24"/>
      <c r="O1289" s="24"/>
      <c r="P1289" s="24"/>
      <c r="Q1289" s="24"/>
      <c r="R1289" s="24"/>
      <c r="S1289" s="24"/>
      <c r="T1289" s="24"/>
      <c r="Z1289" s="25"/>
    </row>
    <row r="1290">
      <c r="A1290" s="16"/>
      <c r="B1290" s="17"/>
      <c r="C1290" s="24"/>
      <c r="D1290" s="25"/>
      <c r="E1290" s="24"/>
      <c r="F1290" s="25"/>
      <c r="G1290" s="24"/>
      <c r="H1290" s="25"/>
      <c r="I1290" s="24"/>
      <c r="J1290" s="25"/>
      <c r="K1290" s="25"/>
      <c r="L1290" s="24"/>
      <c r="M1290" s="24"/>
      <c r="N1290" s="24"/>
      <c r="O1290" s="24"/>
      <c r="P1290" s="24"/>
      <c r="Q1290" s="24"/>
      <c r="R1290" s="24"/>
      <c r="S1290" s="24"/>
      <c r="T1290" s="24"/>
      <c r="Z1290" s="25"/>
    </row>
    <row r="1291">
      <c r="A1291" s="16"/>
      <c r="B1291" s="17"/>
      <c r="C1291" s="24"/>
      <c r="D1291" s="25"/>
      <c r="E1291" s="24"/>
      <c r="F1291" s="25"/>
      <c r="G1291" s="24"/>
      <c r="H1291" s="25"/>
      <c r="I1291" s="24"/>
      <c r="J1291" s="25"/>
      <c r="K1291" s="25"/>
      <c r="L1291" s="24"/>
      <c r="M1291" s="24"/>
      <c r="N1291" s="24"/>
      <c r="O1291" s="24"/>
      <c r="P1291" s="24"/>
      <c r="Q1291" s="24"/>
      <c r="R1291" s="24"/>
      <c r="S1291" s="24"/>
      <c r="T1291" s="24"/>
      <c r="Z1291" s="25"/>
    </row>
    <row r="1292">
      <c r="A1292" s="16"/>
      <c r="B1292" s="17"/>
      <c r="C1292" s="24"/>
      <c r="D1292" s="25"/>
      <c r="E1292" s="24"/>
      <c r="F1292" s="25"/>
      <c r="G1292" s="24"/>
      <c r="H1292" s="25"/>
      <c r="I1292" s="24"/>
      <c r="J1292" s="25"/>
      <c r="K1292" s="25"/>
      <c r="L1292" s="24"/>
      <c r="M1292" s="24"/>
      <c r="N1292" s="24"/>
      <c r="O1292" s="24"/>
      <c r="P1292" s="24"/>
      <c r="Q1292" s="24"/>
      <c r="R1292" s="24"/>
      <c r="S1292" s="24"/>
      <c r="T1292" s="24"/>
      <c r="Z1292" s="25"/>
    </row>
    <row r="1293">
      <c r="A1293" s="16"/>
      <c r="B1293" s="17"/>
      <c r="C1293" s="24"/>
      <c r="D1293" s="25"/>
      <c r="E1293" s="24"/>
      <c r="F1293" s="25"/>
      <c r="G1293" s="24"/>
      <c r="H1293" s="25"/>
      <c r="I1293" s="24"/>
      <c r="J1293" s="25"/>
      <c r="K1293" s="25"/>
      <c r="L1293" s="24"/>
      <c r="M1293" s="24"/>
      <c r="N1293" s="24"/>
      <c r="O1293" s="24"/>
      <c r="P1293" s="24"/>
      <c r="Q1293" s="24"/>
      <c r="R1293" s="24"/>
      <c r="S1293" s="24"/>
      <c r="T1293" s="24"/>
      <c r="Z1293" s="25"/>
    </row>
    <row r="1294">
      <c r="A1294" s="16"/>
      <c r="B1294" s="17"/>
      <c r="C1294" s="24"/>
      <c r="D1294" s="25"/>
      <c r="E1294" s="24"/>
      <c r="F1294" s="25"/>
      <c r="G1294" s="24"/>
      <c r="H1294" s="25"/>
      <c r="I1294" s="24"/>
      <c r="J1294" s="25"/>
      <c r="K1294" s="25"/>
      <c r="L1294" s="24"/>
      <c r="M1294" s="24"/>
      <c r="N1294" s="24"/>
      <c r="O1294" s="24"/>
      <c r="P1294" s="24"/>
      <c r="Q1294" s="24"/>
      <c r="R1294" s="24"/>
      <c r="S1294" s="24"/>
      <c r="T1294" s="24"/>
      <c r="Z1294" s="25"/>
    </row>
    <row r="1295">
      <c r="A1295" s="16"/>
      <c r="B1295" s="17"/>
      <c r="C1295" s="24"/>
      <c r="D1295" s="25"/>
      <c r="E1295" s="24"/>
      <c r="F1295" s="25"/>
      <c r="G1295" s="24"/>
      <c r="H1295" s="25"/>
      <c r="I1295" s="24"/>
      <c r="J1295" s="25"/>
      <c r="K1295" s="25"/>
      <c r="L1295" s="24"/>
      <c r="M1295" s="24"/>
      <c r="N1295" s="24"/>
      <c r="O1295" s="24"/>
      <c r="P1295" s="24"/>
      <c r="Q1295" s="24"/>
      <c r="R1295" s="24"/>
      <c r="S1295" s="24"/>
      <c r="T1295" s="24"/>
      <c r="Z1295" s="25"/>
    </row>
    <row r="1296">
      <c r="A1296" s="16"/>
      <c r="B1296" s="17"/>
      <c r="C1296" s="24"/>
      <c r="D1296" s="25"/>
      <c r="E1296" s="24"/>
      <c r="F1296" s="25"/>
      <c r="G1296" s="24"/>
      <c r="H1296" s="25"/>
      <c r="I1296" s="24"/>
      <c r="J1296" s="25"/>
      <c r="K1296" s="25"/>
      <c r="L1296" s="24"/>
      <c r="M1296" s="24"/>
      <c r="N1296" s="24"/>
      <c r="O1296" s="24"/>
      <c r="P1296" s="24"/>
      <c r="Q1296" s="24"/>
      <c r="R1296" s="24"/>
      <c r="S1296" s="24"/>
      <c r="T1296" s="24"/>
      <c r="Z1296" s="25"/>
    </row>
    <row r="1297">
      <c r="A1297" s="16"/>
      <c r="B1297" s="17"/>
      <c r="C1297" s="24"/>
      <c r="D1297" s="25"/>
      <c r="E1297" s="24"/>
      <c r="F1297" s="25"/>
      <c r="G1297" s="24"/>
      <c r="H1297" s="25"/>
      <c r="I1297" s="24"/>
      <c r="J1297" s="25"/>
      <c r="K1297" s="25"/>
      <c r="L1297" s="24"/>
      <c r="M1297" s="24"/>
      <c r="N1297" s="24"/>
      <c r="O1297" s="24"/>
      <c r="P1297" s="24"/>
      <c r="Q1297" s="24"/>
      <c r="R1297" s="24"/>
      <c r="S1297" s="24"/>
      <c r="T1297" s="24"/>
      <c r="Z1297" s="25"/>
    </row>
    <row r="1298">
      <c r="A1298" s="16"/>
      <c r="B1298" s="17"/>
      <c r="C1298" s="24"/>
      <c r="D1298" s="25"/>
      <c r="E1298" s="24"/>
      <c r="F1298" s="25"/>
      <c r="G1298" s="24"/>
      <c r="H1298" s="25"/>
      <c r="I1298" s="24"/>
      <c r="J1298" s="25"/>
      <c r="K1298" s="25"/>
      <c r="L1298" s="24"/>
      <c r="M1298" s="24"/>
      <c r="N1298" s="24"/>
      <c r="O1298" s="24"/>
      <c r="P1298" s="24"/>
      <c r="Q1298" s="24"/>
      <c r="R1298" s="24"/>
      <c r="S1298" s="24"/>
      <c r="T1298" s="24"/>
      <c r="Z1298" s="25"/>
    </row>
    <row r="1299">
      <c r="A1299" s="16"/>
      <c r="B1299" s="17"/>
      <c r="C1299" s="24"/>
      <c r="D1299" s="25"/>
      <c r="E1299" s="24"/>
      <c r="F1299" s="25"/>
      <c r="G1299" s="24"/>
      <c r="H1299" s="25"/>
      <c r="I1299" s="24"/>
      <c r="J1299" s="25"/>
      <c r="K1299" s="25"/>
      <c r="L1299" s="24"/>
      <c r="M1299" s="24"/>
      <c r="N1299" s="24"/>
      <c r="O1299" s="24"/>
      <c r="P1299" s="24"/>
      <c r="Q1299" s="24"/>
      <c r="R1299" s="24"/>
      <c r="S1299" s="24"/>
      <c r="T1299" s="24"/>
      <c r="Z1299" s="25"/>
    </row>
    <row r="1300">
      <c r="A1300" s="16"/>
      <c r="B1300" s="17"/>
      <c r="C1300" s="24"/>
      <c r="D1300" s="25"/>
      <c r="E1300" s="24"/>
      <c r="F1300" s="25"/>
      <c r="G1300" s="24"/>
      <c r="H1300" s="25"/>
      <c r="I1300" s="24"/>
      <c r="J1300" s="25"/>
      <c r="K1300" s="25"/>
      <c r="L1300" s="24"/>
      <c r="M1300" s="24"/>
      <c r="N1300" s="24"/>
      <c r="O1300" s="24"/>
      <c r="P1300" s="24"/>
      <c r="Q1300" s="24"/>
      <c r="R1300" s="24"/>
      <c r="S1300" s="24"/>
      <c r="T1300" s="24"/>
      <c r="Z1300" s="25"/>
    </row>
    <row r="1301">
      <c r="A1301" s="16"/>
      <c r="B1301" s="17"/>
      <c r="C1301" s="24"/>
      <c r="D1301" s="25"/>
      <c r="E1301" s="24"/>
      <c r="F1301" s="25"/>
      <c r="G1301" s="24"/>
      <c r="H1301" s="25"/>
      <c r="I1301" s="24"/>
      <c r="J1301" s="25"/>
      <c r="K1301" s="25"/>
      <c r="L1301" s="24"/>
      <c r="M1301" s="24"/>
      <c r="N1301" s="24"/>
      <c r="O1301" s="24"/>
      <c r="P1301" s="24"/>
      <c r="Q1301" s="24"/>
      <c r="R1301" s="24"/>
      <c r="S1301" s="24"/>
      <c r="T1301" s="24"/>
      <c r="Z1301" s="25"/>
    </row>
    <row r="1302">
      <c r="A1302" s="16"/>
      <c r="B1302" s="17"/>
      <c r="C1302" s="24"/>
      <c r="D1302" s="25"/>
      <c r="E1302" s="24"/>
      <c r="F1302" s="25"/>
      <c r="G1302" s="24"/>
      <c r="H1302" s="25"/>
      <c r="I1302" s="24"/>
      <c r="J1302" s="25"/>
      <c r="K1302" s="25"/>
      <c r="L1302" s="24"/>
      <c r="M1302" s="24"/>
      <c r="N1302" s="24"/>
      <c r="O1302" s="24"/>
      <c r="P1302" s="24"/>
      <c r="Q1302" s="24"/>
      <c r="R1302" s="24"/>
      <c r="S1302" s="24"/>
      <c r="T1302" s="24"/>
      <c r="Z1302" s="25"/>
    </row>
    <row r="1303">
      <c r="A1303" s="16"/>
      <c r="B1303" s="17"/>
      <c r="C1303" s="24"/>
      <c r="D1303" s="25"/>
      <c r="E1303" s="24"/>
      <c r="F1303" s="25"/>
      <c r="G1303" s="24"/>
      <c r="H1303" s="25"/>
      <c r="I1303" s="24"/>
      <c r="J1303" s="25"/>
      <c r="K1303" s="25"/>
      <c r="L1303" s="24"/>
      <c r="M1303" s="24"/>
      <c r="N1303" s="24"/>
      <c r="O1303" s="24"/>
      <c r="P1303" s="24"/>
      <c r="Q1303" s="24"/>
      <c r="R1303" s="24"/>
      <c r="S1303" s="24"/>
      <c r="T1303" s="24"/>
      <c r="Z1303" s="25"/>
    </row>
    <row r="1304">
      <c r="A1304" s="16"/>
      <c r="B1304" s="17"/>
      <c r="C1304" s="24"/>
      <c r="D1304" s="25"/>
      <c r="E1304" s="24"/>
      <c r="F1304" s="25"/>
      <c r="G1304" s="24"/>
      <c r="H1304" s="25"/>
      <c r="I1304" s="24"/>
      <c r="J1304" s="25"/>
      <c r="K1304" s="25"/>
      <c r="L1304" s="24"/>
      <c r="M1304" s="24"/>
      <c r="N1304" s="24"/>
      <c r="O1304" s="24"/>
      <c r="P1304" s="24"/>
      <c r="Q1304" s="24"/>
      <c r="R1304" s="24"/>
      <c r="S1304" s="24"/>
      <c r="T1304" s="24"/>
      <c r="Z1304" s="25"/>
    </row>
    <row r="1305">
      <c r="A1305" s="16"/>
      <c r="B1305" s="17"/>
      <c r="C1305" s="24"/>
      <c r="D1305" s="25"/>
      <c r="E1305" s="24"/>
      <c r="F1305" s="25"/>
      <c r="G1305" s="24"/>
      <c r="H1305" s="25"/>
      <c r="I1305" s="24"/>
      <c r="J1305" s="25"/>
      <c r="K1305" s="25"/>
      <c r="L1305" s="24"/>
      <c r="M1305" s="24"/>
      <c r="N1305" s="24"/>
      <c r="O1305" s="24"/>
      <c r="P1305" s="24"/>
      <c r="Q1305" s="24"/>
      <c r="R1305" s="24"/>
      <c r="S1305" s="24"/>
      <c r="T1305" s="24"/>
      <c r="Z1305" s="25"/>
    </row>
    <row r="1306">
      <c r="A1306" s="16"/>
      <c r="B1306" s="17"/>
      <c r="C1306" s="24"/>
      <c r="D1306" s="25"/>
      <c r="E1306" s="24"/>
      <c r="F1306" s="25"/>
      <c r="G1306" s="24"/>
      <c r="H1306" s="25"/>
      <c r="I1306" s="24"/>
      <c r="J1306" s="25"/>
      <c r="K1306" s="25"/>
      <c r="L1306" s="24"/>
      <c r="M1306" s="24"/>
      <c r="N1306" s="24"/>
      <c r="O1306" s="24"/>
      <c r="P1306" s="24"/>
      <c r="Q1306" s="24"/>
      <c r="R1306" s="24"/>
      <c r="S1306" s="24"/>
      <c r="T1306" s="24"/>
      <c r="Z1306" s="25"/>
    </row>
    <row r="1307">
      <c r="A1307" s="16"/>
      <c r="B1307" s="17"/>
      <c r="C1307" s="24"/>
      <c r="D1307" s="25"/>
      <c r="E1307" s="24"/>
      <c r="F1307" s="25"/>
      <c r="G1307" s="24"/>
      <c r="H1307" s="25"/>
      <c r="I1307" s="24"/>
      <c r="J1307" s="25"/>
      <c r="K1307" s="25"/>
      <c r="L1307" s="24"/>
      <c r="M1307" s="24"/>
      <c r="N1307" s="24"/>
      <c r="O1307" s="24"/>
      <c r="P1307" s="24"/>
      <c r="Q1307" s="24"/>
      <c r="R1307" s="24"/>
      <c r="S1307" s="24"/>
      <c r="T1307" s="24"/>
      <c r="Z1307" s="25"/>
    </row>
    <row r="1308">
      <c r="A1308" s="16"/>
      <c r="B1308" s="17"/>
      <c r="C1308" s="24"/>
      <c r="D1308" s="25"/>
      <c r="E1308" s="24"/>
      <c r="F1308" s="25"/>
      <c r="G1308" s="24"/>
      <c r="H1308" s="25"/>
      <c r="I1308" s="24"/>
      <c r="J1308" s="25"/>
      <c r="K1308" s="25"/>
      <c r="L1308" s="24"/>
      <c r="M1308" s="24"/>
      <c r="N1308" s="24"/>
      <c r="O1308" s="24"/>
      <c r="P1308" s="24"/>
      <c r="Q1308" s="24"/>
      <c r="R1308" s="24"/>
      <c r="S1308" s="24"/>
      <c r="T1308" s="24"/>
      <c r="Z1308" s="25"/>
    </row>
    <row r="1309">
      <c r="A1309" s="16"/>
      <c r="B1309" s="17"/>
      <c r="C1309" s="24"/>
      <c r="D1309" s="25"/>
      <c r="E1309" s="24"/>
      <c r="F1309" s="25"/>
      <c r="G1309" s="24"/>
      <c r="H1309" s="25"/>
      <c r="I1309" s="24"/>
      <c r="J1309" s="25"/>
      <c r="K1309" s="25"/>
      <c r="L1309" s="24"/>
      <c r="M1309" s="24"/>
      <c r="N1309" s="24"/>
      <c r="O1309" s="24"/>
      <c r="P1309" s="24"/>
      <c r="Q1309" s="24"/>
      <c r="R1309" s="24"/>
      <c r="S1309" s="24"/>
      <c r="T1309" s="24"/>
      <c r="Z1309" s="25"/>
    </row>
    <row r="1310">
      <c r="A1310" s="16"/>
      <c r="B1310" s="17"/>
      <c r="C1310" s="24"/>
      <c r="D1310" s="25"/>
      <c r="E1310" s="24"/>
      <c r="F1310" s="25"/>
      <c r="G1310" s="24"/>
      <c r="H1310" s="25"/>
      <c r="I1310" s="24"/>
      <c r="J1310" s="25"/>
      <c r="K1310" s="25"/>
      <c r="L1310" s="24"/>
      <c r="M1310" s="24"/>
      <c r="N1310" s="24"/>
      <c r="O1310" s="24"/>
      <c r="P1310" s="24"/>
      <c r="Q1310" s="24"/>
      <c r="R1310" s="24"/>
      <c r="S1310" s="24"/>
      <c r="T1310" s="24"/>
      <c r="Z1310" s="25"/>
    </row>
    <row r="1311">
      <c r="A1311" s="16"/>
      <c r="B1311" s="17"/>
      <c r="C1311" s="24"/>
      <c r="D1311" s="25"/>
      <c r="E1311" s="24"/>
      <c r="F1311" s="25"/>
      <c r="G1311" s="24"/>
      <c r="H1311" s="25"/>
      <c r="I1311" s="24"/>
      <c r="J1311" s="25"/>
      <c r="K1311" s="25"/>
      <c r="L1311" s="24"/>
      <c r="M1311" s="24"/>
      <c r="N1311" s="24"/>
      <c r="O1311" s="24"/>
      <c r="P1311" s="24"/>
      <c r="Q1311" s="24"/>
      <c r="R1311" s="24"/>
      <c r="S1311" s="24"/>
      <c r="T1311" s="24"/>
      <c r="Z1311" s="25"/>
    </row>
    <row r="1312">
      <c r="A1312" s="16"/>
      <c r="B1312" s="17"/>
      <c r="C1312" s="24"/>
      <c r="D1312" s="25"/>
      <c r="E1312" s="24"/>
      <c r="F1312" s="25"/>
      <c r="G1312" s="24"/>
      <c r="H1312" s="25"/>
      <c r="I1312" s="24"/>
      <c r="J1312" s="25"/>
      <c r="K1312" s="25"/>
      <c r="L1312" s="24"/>
      <c r="M1312" s="24"/>
      <c r="N1312" s="24"/>
      <c r="O1312" s="24"/>
      <c r="P1312" s="24"/>
      <c r="Q1312" s="24"/>
      <c r="R1312" s="24"/>
      <c r="S1312" s="24"/>
      <c r="T1312" s="24"/>
      <c r="Z1312" s="25"/>
    </row>
    <row r="1313">
      <c r="A1313" s="16"/>
      <c r="B1313" s="17"/>
      <c r="C1313" s="24"/>
      <c r="D1313" s="25"/>
      <c r="E1313" s="24"/>
      <c r="F1313" s="25"/>
      <c r="G1313" s="24"/>
      <c r="H1313" s="25"/>
      <c r="I1313" s="24"/>
      <c r="J1313" s="25"/>
      <c r="K1313" s="25"/>
      <c r="L1313" s="24"/>
      <c r="M1313" s="24"/>
      <c r="N1313" s="24"/>
      <c r="O1313" s="24"/>
      <c r="P1313" s="24"/>
      <c r="Q1313" s="24"/>
      <c r="R1313" s="24"/>
      <c r="S1313" s="24"/>
      <c r="T1313" s="24"/>
      <c r="Z1313" s="25"/>
    </row>
    <row r="1314">
      <c r="A1314" s="16"/>
      <c r="B1314" s="17"/>
      <c r="C1314" s="24"/>
      <c r="D1314" s="25"/>
      <c r="E1314" s="24"/>
      <c r="F1314" s="25"/>
      <c r="G1314" s="24"/>
      <c r="H1314" s="25"/>
      <c r="I1314" s="24"/>
      <c r="J1314" s="25"/>
      <c r="K1314" s="25"/>
      <c r="L1314" s="24"/>
      <c r="M1314" s="24"/>
      <c r="N1314" s="24"/>
      <c r="O1314" s="24"/>
      <c r="P1314" s="24"/>
      <c r="Q1314" s="24"/>
      <c r="R1314" s="24"/>
      <c r="S1314" s="24"/>
      <c r="T1314" s="24"/>
      <c r="Z1314" s="25"/>
    </row>
    <row r="1315">
      <c r="A1315" s="16"/>
      <c r="B1315" s="17"/>
      <c r="C1315" s="24"/>
      <c r="D1315" s="25"/>
      <c r="E1315" s="24"/>
      <c r="F1315" s="25"/>
      <c r="G1315" s="24"/>
      <c r="H1315" s="25"/>
      <c r="I1315" s="24"/>
      <c r="J1315" s="25"/>
      <c r="K1315" s="25"/>
      <c r="L1315" s="24"/>
      <c r="M1315" s="24"/>
      <c r="N1315" s="24"/>
      <c r="O1315" s="24"/>
      <c r="P1315" s="24"/>
      <c r="Q1315" s="24"/>
      <c r="R1315" s="24"/>
      <c r="S1315" s="24"/>
      <c r="T1315" s="24"/>
      <c r="Z1315" s="25"/>
    </row>
    <row r="1316">
      <c r="A1316" s="16"/>
      <c r="B1316" s="17"/>
      <c r="C1316" s="24"/>
      <c r="D1316" s="25"/>
      <c r="E1316" s="24"/>
      <c r="F1316" s="25"/>
      <c r="G1316" s="24"/>
      <c r="H1316" s="25"/>
      <c r="I1316" s="24"/>
      <c r="J1316" s="25"/>
      <c r="K1316" s="25"/>
      <c r="L1316" s="24"/>
      <c r="M1316" s="24"/>
      <c r="N1316" s="24"/>
      <c r="O1316" s="24"/>
      <c r="P1316" s="24"/>
      <c r="Q1316" s="24"/>
      <c r="R1316" s="24"/>
      <c r="S1316" s="24"/>
      <c r="T1316" s="24"/>
      <c r="Z1316" s="25"/>
    </row>
    <row r="1317">
      <c r="A1317" s="16"/>
      <c r="B1317" s="17"/>
      <c r="C1317" s="24"/>
      <c r="D1317" s="25"/>
      <c r="E1317" s="24"/>
      <c r="F1317" s="25"/>
      <c r="G1317" s="24"/>
      <c r="H1317" s="25"/>
      <c r="I1317" s="24"/>
      <c r="J1317" s="25"/>
      <c r="K1317" s="25"/>
      <c r="L1317" s="24"/>
      <c r="M1317" s="24"/>
      <c r="N1317" s="24"/>
      <c r="O1317" s="24"/>
      <c r="P1317" s="24"/>
      <c r="Q1317" s="24"/>
      <c r="R1317" s="24"/>
      <c r="S1317" s="24"/>
      <c r="T1317" s="24"/>
      <c r="Z1317" s="25"/>
    </row>
    <row r="1318">
      <c r="A1318" s="16"/>
      <c r="B1318" s="17"/>
      <c r="C1318" s="24"/>
      <c r="D1318" s="25"/>
      <c r="E1318" s="24"/>
      <c r="F1318" s="25"/>
      <c r="G1318" s="24"/>
      <c r="H1318" s="25"/>
      <c r="I1318" s="24"/>
      <c r="J1318" s="25"/>
      <c r="K1318" s="25"/>
      <c r="L1318" s="24"/>
      <c r="M1318" s="24"/>
      <c r="N1318" s="24"/>
      <c r="O1318" s="24"/>
      <c r="P1318" s="24"/>
      <c r="Q1318" s="24"/>
      <c r="R1318" s="24"/>
      <c r="S1318" s="24"/>
      <c r="T1318" s="24"/>
      <c r="Z1318" s="25"/>
    </row>
    <row r="1319">
      <c r="A1319" s="16"/>
      <c r="B1319" s="17"/>
      <c r="C1319" s="24"/>
      <c r="D1319" s="25"/>
      <c r="E1319" s="24"/>
      <c r="F1319" s="25"/>
      <c r="G1319" s="24"/>
      <c r="H1319" s="25"/>
      <c r="I1319" s="24"/>
      <c r="J1319" s="25"/>
      <c r="K1319" s="25"/>
      <c r="L1319" s="24"/>
      <c r="M1319" s="24"/>
      <c r="N1319" s="24"/>
      <c r="O1319" s="24"/>
      <c r="P1319" s="24"/>
      <c r="Q1319" s="24"/>
      <c r="R1319" s="24"/>
      <c r="S1319" s="24"/>
      <c r="T1319" s="24"/>
      <c r="Z1319" s="25"/>
    </row>
    <row r="1320">
      <c r="A1320" s="16"/>
      <c r="B1320" s="17"/>
      <c r="C1320" s="24"/>
      <c r="D1320" s="25"/>
      <c r="E1320" s="24"/>
      <c r="F1320" s="25"/>
      <c r="G1320" s="24"/>
      <c r="H1320" s="25"/>
      <c r="I1320" s="24"/>
      <c r="J1320" s="25"/>
      <c r="K1320" s="25"/>
      <c r="L1320" s="24"/>
      <c r="M1320" s="24"/>
      <c r="N1320" s="24"/>
      <c r="O1320" s="24"/>
      <c r="P1320" s="24"/>
      <c r="Q1320" s="24"/>
      <c r="R1320" s="24"/>
      <c r="S1320" s="24"/>
      <c r="T1320" s="24"/>
      <c r="Z1320" s="25"/>
    </row>
    <row r="1321">
      <c r="A1321" s="16"/>
      <c r="B1321" s="17"/>
      <c r="C1321" s="24"/>
      <c r="D1321" s="25"/>
      <c r="E1321" s="24"/>
      <c r="F1321" s="25"/>
      <c r="G1321" s="24"/>
      <c r="H1321" s="25"/>
      <c r="I1321" s="24"/>
      <c r="J1321" s="25"/>
      <c r="K1321" s="25"/>
      <c r="L1321" s="24"/>
      <c r="M1321" s="24"/>
      <c r="N1321" s="24"/>
      <c r="O1321" s="24"/>
      <c r="P1321" s="24"/>
      <c r="Q1321" s="24"/>
      <c r="R1321" s="24"/>
      <c r="S1321" s="24"/>
      <c r="T1321" s="24"/>
      <c r="Z1321" s="25"/>
    </row>
    <row r="1322">
      <c r="A1322" s="16"/>
      <c r="B1322" s="17"/>
      <c r="C1322" s="24"/>
      <c r="D1322" s="25"/>
      <c r="E1322" s="24"/>
      <c r="F1322" s="25"/>
      <c r="G1322" s="24"/>
      <c r="H1322" s="25"/>
      <c r="I1322" s="24"/>
      <c r="J1322" s="25"/>
      <c r="K1322" s="25"/>
      <c r="L1322" s="24"/>
      <c r="M1322" s="24"/>
      <c r="N1322" s="24"/>
      <c r="O1322" s="24"/>
      <c r="P1322" s="24"/>
      <c r="Q1322" s="24"/>
      <c r="R1322" s="24"/>
      <c r="S1322" s="24"/>
      <c r="T1322" s="24"/>
      <c r="Z1322" s="25"/>
    </row>
    <row r="1323">
      <c r="A1323" s="16"/>
      <c r="B1323" s="17"/>
      <c r="C1323" s="24"/>
      <c r="D1323" s="25"/>
      <c r="E1323" s="24"/>
      <c r="F1323" s="25"/>
      <c r="G1323" s="24"/>
      <c r="H1323" s="25"/>
      <c r="I1323" s="24"/>
      <c r="J1323" s="25"/>
      <c r="K1323" s="25"/>
      <c r="L1323" s="24"/>
      <c r="M1323" s="24"/>
      <c r="N1323" s="24"/>
      <c r="O1323" s="24"/>
      <c r="P1323" s="24"/>
      <c r="Q1323" s="24"/>
      <c r="R1323" s="24"/>
      <c r="S1323" s="24"/>
      <c r="T1323" s="24"/>
      <c r="Z1323" s="25"/>
    </row>
    <row r="1324">
      <c r="A1324" s="16"/>
      <c r="B1324" s="17"/>
      <c r="C1324" s="24"/>
      <c r="D1324" s="25"/>
      <c r="E1324" s="24"/>
      <c r="F1324" s="25"/>
      <c r="G1324" s="24"/>
      <c r="H1324" s="25"/>
      <c r="I1324" s="24"/>
      <c r="J1324" s="25"/>
      <c r="K1324" s="25"/>
      <c r="L1324" s="24"/>
      <c r="M1324" s="24"/>
      <c r="N1324" s="24"/>
      <c r="O1324" s="24"/>
      <c r="P1324" s="24"/>
      <c r="Q1324" s="24"/>
      <c r="R1324" s="24"/>
      <c r="S1324" s="24"/>
      <c r="T1324" s="24"/>
      <c r="Z1324" s="25"/>
    </row>
    <row r="1325">
      <c r="A1325" s="16"/>
      <c r="B1325" s="17"/>
      <c r="C1325" s="24"/>
      <c r="D1325" s="25"/>
      <c r="E1325" s="24"/>
      <c r="F1325" s="25"/>
      <c r="G1325" s="24"/>
      <c r="H1325" s="25"/>
      <c r="I1325" s="24"/>
      <c r="J1325" s="25"/>
      <c r="K1325" s="25"/>
      <c r="L1325" s="24"/>
      <c r="M1325" s="24"/>
      <c r="N1325" s="24"/>
      <c r="O1325" s="24"/>
      <c r="P1325" s="24"/>
      <c r="Q1325" s="24"/>
      <c r="R1325" s="24"/>
      <c r="S1325" s="24"/>
      <c r="T1325" s="24"/>
      <c r="Z1325" s="25"/>
    </row>
    <row r="1326">
      <c r="A1326" s="16"/>
      <c r="B1326" s="17"/>
      <c r="C1326" s="24"/>
      <c r="D1326" s="25"/>
      <c r="E1326" s="24"/>
      <c r="F1326" s="25"/>
      <c r="G1326" s="24"/>
      <c r="H1326" s="25"/>
      <c r="I1326" s="24"/>
      <c r="J1326" s="25"/>
      <c r="K1326" s="25"/>
      <c r="L1326" s="24"/>
      <c r="M1326" s="24"/>
      <c r="N1326" s="24"/>
      <c r="O1326" s="24"/>
      <c r="P1326" s="24"/>
      <c r="Q1326" s="24"/>
      <c r="R1326" s="24"/>
      <c r="S1326" s="24"/>
      <c r="T1326" s="24"/>
      <c r="Z1326" s="25"/>
    </row>
    <row r="1327">
      <c r="A1327" s="16"/>
      <c r="B1327" s="17"/>
      <c r="C1327" s="24"/>
      <c r="D1327" s="25"/>
      <c r="E1327" s="24"/>
      <c r="F1327" s="25"/>
      <c r="G1327" s="24"/>
      <c r="H1327" s="25"/>
      <c r="I1327" s="24"/>
      <c r="J1327" s="25"/>
      <c r="K1327" s="25"/>
      <c r="L1327" s="24"/>
      <c r="M1327" s="24"/>
      <c r="N1327" s="24"/>
      <c r="O1327" s="24"/>
      <c r="P1327" s="24"/>
      <c r="Q1327" s="24"/>
      <c r="R1327" s="24"/>
      <c r="S1327" s="24"/>
      <c r="T1327" s="24"/>
      <c r="Z1327" s="25"/>
    </row>
    <row r="1328">
      <c r="A1328" s="16"/>
      <c r="B1328" s="17"/>
      <c r="C1328" s="24"/>
      <c r="D1328" s="25"/>
      <c r="E1328" s="24"/>
      <c r="F1328" s="25"/>
      <c r="G1328" s="24"/>
      <c r="H1328" s="25"/>
      <c r="I1328" s="24"/>
      <c r="J1328" s="25"/>
      <c r="K1328" s="25"/>
      <c r="L1328" s="24"/>
      <c r="M1328" s="24"/>
      <c r="N1328" s="24"/>
      <c r="O1328" s="24"/>
      <c r="P1328" s="24"/>
      <c r="Q1328" s="24"/>
      <c r="R1328" s="24"/>
      <c r="S1328" s="24"/>
      <c r="T1328" s="24"/>
      <c r="Z1328" s="25"/>
    </row>
    <row r="1329">
      <c r="A1329" s="16"/>
      <c r="B1329" s="17"/>
      <c r="C1329" s="24"/>
      <c r="D1329" s="25"/>
      <c r="E1329" s="24"/>
      <c r="F1329" s="25"/>
      <c r="G1329" s="24"/>
      <c r="H1329" s="25"/>
      <c r="I1329" s="24"/>
      <c r="J1329" s="25"/>
      <c r="K1329" s="25"/>
      <c r="L1329" s="24"/>
      <c r="M1329" s="24"/>
      <c r="N1329" s="24"/>
      <c r="O1329" s="24"/>
      <c r="P1329" s="24"/>
      <c r="Q1329" s="24"/>
      <c r="R1329" s="24"/>
      <c r="S1329" s="24"/>
      <c r="T1329" s="24"/>
      <c r="Z1329" s="25"/>
    </row>
    <row r="1330">
      <c r="A1330" s="16"/>
      <c r="B1330" s="17"/>
      <c r="C1330" s="24"/>
      <c r="D1330" s="25"/>
      <c r="E1330" s="24"/>
      <c r="F1330" s="25"/>
      <c r="G1330" s="24"/>
      <c r="H1330" s="25"/>
      <c r="I1330" s="24"/>
      <c r="J1330" s="25"/>
      <c r="K1330" s="25"/>
      <c r="L1330" s="24"/>
      <c r="M1330" s="24"/>
      <c r="N1330" s="24"/>
      <c r="O1330" s="24"/>
      <c r="P1330" s="24"/>
      <c r="Q1330" s="24"/>
      <c r="R1330" s="24"/>
      <c r="S1330" s="24"/>
      <c r="T1330" s="24"/>
      <c r="Z1330" s="25"/>
    </row>
    <row r="1331">
      <c r="A1331" s="16"/>
      <c r="B1331" s="17"/>
      <c r="C1331" s="24"/>
      <c r="D1331" s="25"/>
      <c r="E1331" s="24"/>
      <c r="F1331" s="25"/>
      <c r="G1331" s="24"/>
      <c r="H1331" s="25"/>
      <c r="I1331" s="24"/>
      <c r="J1331" s="25"/>
      <c r="K1331" s="25"/>
      <c r="L1331" s="24"/>
      <c r="M1331" s="24"/>
      <c r="N1331" s="24"/>
      <c r="O1331" s="24"/>
      <c r="P1331" s="24"/>
      <c r="Q1331" s="24"/>
      <c r="R1331" s="24"/>
      <c r="S1331" s="24"/>
      <c r="T1331" s="24"/>
      <c r="Z1331" s="25"/>
    </row>
    <row r="1332">
      <c r="A1332" s="16"/>
      <c r="B1332" s="17"/>
      <c r="C1332" s="24"/>
      <c r="D1332" s="25"/>
      <c r="E1332" s="24"/>
      <c r="F1332" s="25"/>
      <c r="G1332" s="24"/>
      <c r="H1332" s="25"/>
      <c r="I1332" s="24"/>
      <c r="J1332" s="25"/>
      <c r="K1332" s="25"/>
      <c r="L1332" s="24"/>
      <c r="M1332" s="24"/>
      <c r="N1332" s="24"/>
      <c r="O1332" s="24"/>
      <c r="P1332" s="24"/>
      <c r="Q1332" s="24"/>
      <c r="R1332" s="24"/>
      <c r="S1332" s="24"/>
      <c r="T1332" s="24"/>
      <c r="Z1332" s="25"/>
    </row>
    <row r="1333">
      <c r="A1333" s="16"/>
      <c r="B1333" s="17"/>
      <c r="C1333" s="24"/>
      <c r="D1333" s="25"/>
      <c r="E1333" s="24"/>
      <c r="F1333" s="25"/>
      <c r="G1333" s="24"/>
      <c r="H1333" s="25"/>
      <c r="I1333" s="24"/>
      <c r="J1333" s="25"/>
      <c r="K1333" s="25"/>
      <c r="L1333" s="24"/>
      <c r="M1333" s="24"/>
      <c r="N1333" s="24"/>
      <c r="O1333" s="24"/>
      <c r="P1333" s="24"/>
      <c r="Q1333" s="24"/>
      <c r="R1333" s="24"/>
      <c r="S1333" s="24"/>
      <c r="T1333" s="24"/>
      <c r="Z1333" s="25"/>
    </row>
    <row r="1334">
      <c r="A1334" s="16"/>
      <c r="B1334" s="17"/>
      <c r="C1334" s="24"/>
      <c r="D1334" s="25"/>
      <c r="E1334" s="24"/>
      <c r="F1334" s="25"/>
      <c r="G1334" s="24"/>
      <c r="H1334" s="25"/>
      <c r="I1334" s="24"/>
      <c r="J1334" s="25"/>
      <c r="K1334" s="25"/>
      <c r="L1334" s="24"/>
      <c r="M1334" s="24"/>
      <c r="N1334" s="24"/>
      <c r="O1334" s="24"/>
      <c r="P1334" s="24"/>
      <c r="Q1334" s="24"/>
      <c r="R1334" s="24"/>
      <c r="S1334" s="24"/>
      <c r="T1334" s="24"/>
      <c r="Z1334" s="25"/>
    </row>
    <row r="1335">
      <c r="A1335" s="16"/>
      <c r="B1335" s="17"/>
      <c r="C1335" s="24"/>
      <c r="D1335" s="25"/>
      <c r="E1335" s="24"/>
      <c r="F1335" s="25"/>
      <c r="G1335" s="24"/>
      <c r="H1335" s="25"/>
      <c r="I1335" s="24"/>
      <c r="J1335" s="25"/>
      <c r="K1335" s="25"/>
      <c r="L1335" s="24"/>
      <c r="M1335" s="24"/>
      <c r="N1335" s="24"/>
      <c r="O1335" s="24"/>
      <c r="P1335" s="24"/>
      <c r="Q1335" s="24"/>
      <c r="R1335" s="24"/>
      <c r="S1335" s="24"/>
      <c r="T1335" s="24"/>
      <c r="Z1335" s="25"/>
    </row>
    <row r="1336">
      <c r="A1336" s="16"/>
      <c r="B1336" s="17"/>
      <c r="C1336" s="24"/>
      <c r="D1336" s="25"/>
      <c r="E1336" s="24"/>
      <c r="F1336" s="25"/>
      <c r="G1336" s="24"/>
      <c r="H1336" s="25"/>
      <c r="I1336" s="24"/>
      <c r="J1336" s="25"/>
      <c r="K1336" s="25"/>
      <c r="L1336" s="24"/>
      <c r="M1336" s="24"/>
      <c r="N1336" s="24"/>
      <c r="O1336" s="24"/>
      <c r="P1336" s="24"/>
      <c r="Q1336" s="24"/>
      <c r="R1336" s="24"/>
      <c r="S1336" s="24"/>
      <c r="T1336" s="24"/>
      <c r="Z1336" s="25"/>
    </row>
    <row r="1337">
      <c r="A1337" s="16"/>
      <c r="B1337" s="17"/>
      <c r="C1337" s="24"/>
      <c r="D1337" s="25"/>
      <c r="E1337" s="24"/>
      <c r="F1337" s="25"/>
      <c r="G1337" s="24"/>
      <c r="H1337" s="25"/>
      <c r="I1337" s="24"/>
      <c r="J1337" s="25"/>
      <c r="K1337" s="25"/>
      <c r="L1337" s="24"/>
      <c r="M1337" s="24"/>
      <c r="N1337" s="24"/>
      <c r="O1337" s="24"/>
      <c r="P1337" s="24"/>
      <c r="Q1337" s="24"/>
      <c r="R1337" s="24"/>
      <c r="S1337" s="24"/>
      <c r="T1337" s="24"/>
      <c r="Z1337" s="25"/>
    </row>
    <row r="1338">
      <c r="A1338" s="16"/>
      <c r="B1338" s="17"/>
      <c r="C1338" s="24"/>
      <c r="D1338" s="25"/>
      <c r="E1338" s="24"/>
      <c r="F1338" s="25"/>
      <c r="G1338" s="24"/>
      <c r="H1338" s="25"/>
      <c r="I1338" s="24"/>
      <c r="J1338" s="25"/>
      <c r="K1338" s="25"/>
      <c r="L1338" s="24"/>
      <c r="M1338" s="24"/>
      <c r="N1338" s="24"/>
      <c r="O1338" s="24"/>
      <c r="P1338" s="24"/>
      <c r="Q1338" s="24"/>
      <c r="R1338" s="24"/>
      <c r="S1338" s="24"/>
      <c r="T1338" s="24"/>
      <c r="Z1338" s="25"/>
    </row>
    <row r="1339">
      <c r="A1339" s="16"/>
      <c r="B1339" s="17"/>
      <c r="C1339" s="24"/>
      <c r="D1339" s="25"/>
      <c r="E1339" s="24"/>
      <c r="F1339" s="25"/>
      <c r="G1339" s="24"/>
      <c r="H1339" s="25"/>
      <c r="I1339" s="24"/>
      <c r="J1339" s="25"/>
      <c r="K1339" s="25"/>
      <c r="L1339" s="24"/>
      <c r="M1339" s="24"/>
      <c r="N1339" s="24"/>
      <c r="O1339" s="24"/>
      <c r="P1339" s="24"/>
      <c r="Q1339" s="24"/>
      <c r="R1339" s="24"/>
      <c r="S1339" s="24"/>
      <c r="T1339" s="24"/>
      <c r="Z1339" s="25"/>
    </row>
    <row r="1340">
      <c r="A1340" s="16"/>
      <c r="B1340" s="17"/>
      <c r="C1340" s="24"/>
      <c r="D1340" s="25"/>
      <c r="E1340" s="24"/>
      <c r="F1340" s="25"/>
      <c r="G1340" s="24"/>
      <c r="H1340" s="25"/>
      <c r="I1340" s="24"/>
      <c r="J1340" s="25"/>
      <c r="K1340" s="25"/>
      <c r="L1340" s="24"/>
      <c r="M1340" s="24"/>
      <c r="N1340" s="24"/>
      <c r="O1340" s="24"/>
      <c r="P1340" s="24"/>
      <c r="Q1340" s="24"/>
      <c r="R1340" s="24"/>
      <c r="S1340" s="24"/>
      <c r="T1340" s="24"/>
      <c r="Z1340" s="25"/>
    </row>
    <row r="1341">
      <c r="A1341" s="16"/>
      <c r="B1341" s="17"/>
      <c r="C1341" s="24"/>
      <c r="D1341" s="25"/>
      <c r="E1341" s="24"/>
      <c r="F1341" s="25"/>
      <c r="G1341" s="24"/>
      <c r="H1341" s="25"/>
      <c r="I1341" s="24"/>
      <c r="J1341" s="25"/>
      <c r="K1341" s="25"/>
      <c r="L1341" s="24"/>
      <c r="M1341" s="24"/>
      <c r="N1341" s="24"/>
      <c r="O1341" s="24"/>
      <c r="P1341" s="24"/>
      <c r="Q1341" s="24"/>
      <c r="R1341" s="24"/>
      <c r="S1341" s="24"/>
      <c r="T1341" s="24"/>
      <c r="Z1341" s="25"/>
    </row>
    <row r="1342">
      <c r="A1342" s="16"/>
      <c r="B1342" s="17"/>
      <c r="C1342" s="24"/>
      <c r="D1342" s="25"/>
      <c r="E1342" s="24"/>
      <c r="F1342" s="25"/>
      <c r="G1342" s="24"/>
      <c r="H1342" s="25"/>
      <c r="I1342" s="24"/>
      <c r="J1342" s="25"/>
      <c r="K1342" s="25"/>
      <c r="L1342" s="24"/>
      <c r="M1342" s="24"/>
      <c r="N1342" s="24"/>
      <c r="O1342" s="24"/>
      <c r="P1342" s="24"/>
      <c r="Q1342" s="24"/>
      <c r="R1342" s="24"/>
      <c r="S1342" s="24"/>
      <c r="T1342" s="24"/>
      <c r="Z1342" s="25"/>
    </row>
    <row r="1343">
      <c r="A1343" s="16"/>
      <c r="B1343" s="17"/>
      <c r="C1343" s="24"/>
      <c r="D1343" s="25"/>
      <c r="E1343" s="24"/>
      <c r="F1343" s="25"/>
      <c r="G1343" s="24"/>
      <c r="H1343" s="25"/>
      <c r="I1343" s="24"/>
      <c r="J1343" s="25"/>
      <c r="K1343" s="25"/>
      <c r="L1343" s="24"/>
      <c r="M1343" s="24"/>
      <c r="N1343" s="24"/>
      <c r="O1343" s="24"/>
      <c r="P1343" s="24"/>
      <c r="Q1343" s="24"/>
      <c r="R1343" s="24"/>
      <c r="S1343" s="24"/>
      <c r="T1343" s="24"/>
      <c r="Z1343" s="25"/>
    </row>
    <row r="1344">
      <c r="A1344" s="16"/>
      <c r="B1344" s="17"/>
      <c r="C1344" s="24"/>
      <c r="D1344" s="25"/>
      <c r="E1344" s="24"/>
      <c r="F1344" s="25"/>
      <c r="G1344" s="24"/>
      <c r="H1344" s="25"/>
      <c r="I1344" s="24"/>
      <c r="J1344" s="25"/>
      <c r="K1344" s="25"/>
      <c r="L1344" s="24"/>
      <c r="M1344" s="24"/>
      <c r="N1344" s="24"/>
      <c r="O1344" s="24"/>
      <c r="P1344" s="24"/>
      <c r="Q1344" s="24"/>
      <c r="R1344" s="24"/>
      <c r="S1344" s="24"/>
      <c r="T1344" s="24"/>
      <c r="Z1344" s="25"/>
    </row>
    <row r="1345">
      <c r="A1345" s="16"/>
      <c r="B1345" s="17"/>
      <c r="C1345" s="24"/>
      <c r="D1345" s="25"/>
      <c r="E1345" s="24"/>
      <c r="F1345" s="25"/>
      <c r="G1345" s="24"/>
      <c r="H1345" s="25"/>
      <c r="I1345" s="24"/>
      <c r="J1345" s="25"/>
      <c r="K1345" s="25"/>
      <c r="L1345" s="24"/>
      <c r="M1345" s="24"/>
      <c r="N1345" s="24"/>
      <c r="O1345" s="24"/>
      <c r="P1345" s="24"/>
      <c r="Q1345" s="24"/>
      <c r="R1345" s="24"/>
      <c r="S1345" s="24"/>
      <c r="T1345" s="24"/>
      <c r="Z1345" s="25"/>
    </row>
    <row r="1346">
      <c r="A1346" s="16"/>
      <c r="B1346" s="17"/>
      <c r="C1346" s="24"/>
      <c r="D1346" s="25"/>
      <c r="E1346" s="24"/>
      <c r="F1346" s="25"/>
      <c r="G1346" s="24"/>
      <c r="H1346" s="25"/>
      <c r="I1346" s="24"/>
      <c r="J1346" s="25"/>
      <c r="K1346" s="25"/>
      <c r="L1346" s="24"/>
      <c r="M1346" s="24"/>
      <c r="N1346" s="24"/>
      <c r="O1346" s="24"/>
      <c r="P1346" s="24"/>
      <c r="Q1346" s="24"/>
      <c r="R1346" s="24"/>
      <c r="S1346" s="24"/>
      <c r="T1346" s="24"/>
      <c r="Z1346" s="25"/>
    </row>
    <row r="1347">
      <c r="A1347" s="16"/>
      <c r="B1347" s="17"/>
      <c r="C1347" s="24"/>
      <c r="D1347" s="25"/>
      <c r="E1347" s="24"/>
      <c r="F1347" s="25"/>
      <c r="G1347" s="24"/>
      <c r="H1347" s="25"/>
      <c r="I1347" s="24"/>
      <c r="J1347" s="25"/>
      <c r="K1347" s="25"/>
      <c r="L1347" s="24"/>
      <c r="M1347" s="24"/>
      <c r="N1347" s="24"/>
      <c r="O1347" s="24"/>
      <c r="P1347" s="24"/>
      <c r="Q1347" s="24"/>
      <c r="R1347" s="24"/>
      <c r="S1347" s="24"/>
      <c r="T1347" s="24"/>
      <c r="Z1347" s="25"/>
    </row>
    <row r="1348">
      <c r="A1348" s="16"/>
      <c r="B1348" s="17"/>
      <c r="C1348" s="24"/>
      <c r="D1348" s="25"/>
      <c r="E1348" s="24"/>
      <c r="F1348" s="25"/>
      <c r="G1348" s="24"/>
      <c r="H1348" s="25"/>
      <c r="I1348" s="24"/>
      <c r="J1348" s="25"/>
      <c r="K1348" s="25"/>
      <c r="L1348" s="24"/>
      <c r="M1348" s="24"/>
      <c r="N1348" s="24"/>
      <c r="O1348" s="24"/>
      <c r="P1348" s="24"/>
      <c r="Q1348" s="24"/>
      <c r="R1348" s="24"/>
      <c r="S1348" s="24"/>
      <c r="T1348" s="24"/>
      <c r="Z1348" s="25"/>
    </row>
    <row r="1349">
      <c r="A1349" s="16"/>
      <c r="B1349" s="17"/>
      <c r="C1349" s="24"/>
      <c r="D1349" s="25"/>
      <c r="E1349" s="24"/>
      <c r="F1349" s="25"/>
      <c r="G1349" s="24"/>
      <c r="H1349" s="25"/>
      <c r="I1349" s="24"/>
      <c r="J1349" s="25"/>
      <c r="K1349" s="25"/>
      <c r="L1349" s="24"/>
      <c r="M1349" s="24"/>
      <c r="N1349" s="24"/>
      <c r="O1349" s="24"/>
      <c r="P1349" s="24"/>
      <c r="Q1349" s="24"/>
      <c r="R1349" s="24"/>
      <c r="S1349" s="24"/>
      <c r="T1349" s="24"/>
      <c r="Z1349" s="25"/>
    </row>
    <row r="1350">
      <c r="A1350" s="16"/>
      <c r="B1350" s="17"/>
      <c r="C1350" s="24"/>
      <c r="D1350" s="25"/>
      <c r="E1350" s="24"/>
      <c r="F1350" s="25"/>
      <c r="G1350" s="24"/>
      <c r="H1350" s="25"/>
      <c r="I1350" s="24"/>
      <c r="J1350" s="25"/>
      <c r="K1350" s="25"/>
      <c r="L1350" s="24"/>
      <c r="M1350" s="24"/>
      <c r="N1350" s="24"/>
      <c r="O1350" s="24"/>
      <c r="P1350" s="24"/>
      <c r="Q1350" s="24"/>
      <c r="R1350" s="24"/>
      <c r="S1350" s="24"/>
      <c r="T1350" s="24"/>
      <c r="Z1350" s="25"/>
    </row>
    <row r="1351">
      <c r="A1351" s="16"/>
      <c r="B1351" s="17"/>
      <c r="C1351" s="24"/>
      <c r="D1351" s="25"/>
      <c r="E1351" s="24"/>
      <c r="F1351" s="25"/>
      <c r="G1351" s="24"/>
      <c r="H1351" s="25"/>
      <c r="I1351" s="24"/>
      <c r="J1351" s="25"/>
      <c r="K1351" s="25"/>
      <c r="L1351" s="24"/>
      <c r="M1351" s="24"/>
      <c r="N1351" s="24"/>
      <c r="O1351" s="24"/>
      <c r="P1351" s="24"/>
      <c r="Q1351" s="24"/>
      <c r="R1351" s="24"/>
      <c r="S1351" s="24"/>
      <c r="T1351" s="24"/>
      <c r="Z1351" s="25"/>
    </row>
    <row r="1352">
      <c r="A1352" s="16"/>
      <c r="B1352" s="17"/>
      <c r="C1352" s="24"/>
      <c r="D1352" s="25"/>
      <c r="E1352" s="24"/>
      <c r="F1352" s="25"/>
      <c r="G1352" s="24"/>
      <c r="H1352" s="25"/>
      <c r="I1352" s="24"/>
      <c r="J1352" s="25"/>
      <c r="K1352" s="25"/>
      <c r="L1352" s="24"/>
      <c r="M1352" s="24"/>
      <c r="N1352" s="24"/>
      <c r="O1352" s="24"/>
      <c r="P1352" s="24"/>
      <c r="Q1352" s="24"/>
      <c r="R1352" s="24"/>
      <c r="S1352" s="24"/>
      <c r="T1352" s="24"/>
      <c r="Z1352" s="25"/>
    </row>
    <row r="1353">
      <c r="A1353" s="16"/>
      <c r="B1353" s="17"/>
      <c r="C1353" s="24"/>
      <c r="D1353" s="25"/>
      <c r="E1353" s="24"/>
      <c r="F1353" s="25"/>
      <c r="G1353" s="24"/>
      <c r="H1353" s="25"/>
      <c r="I1353" s="24"/>
      <c r="J1353" s="25"/>
      <c r="K1353" s="25"/>
      <c r="L1353" s="24"/>
      <c r="M1353" s="24"/>
      <c r="N1353" s="24"/>
      <c r="O1353" s="24"/>
      <c r="P1353" s="24"/>
      <c r="Q1353" s="24"/>
      <c r="R1353" s="24"/>
      <c r="S1353" s="24"/>
      <c r="T1353" s="24"/>
      <c r="Z1353" s="25"/>
    </row>
    <row r="1354">
      <c r="A1354" s="16"/>
      <c r="B1354" s="17"/>
      <c r="C1354" s="24"/>
      <c r="D1354" s="25"/>
      <c r="E1354" s="24"/>
      <c r="F1354" s="25"/>
      <c r="G1354" s="24"/>
      <c r="H1354" s="25"/>
      <c r="I1354" s="24"/>
      <c r="J1354" s="25"/>
      <c r="K1354" s="25"/>
      <c r="L1354" s="24"/>
      <c r="M1354" s="24"/>
      <c r="N1354" s="24"/>
      <c r="O1354" s="24"/>
      <c r="P1354" s="24"/>
      <c r="Q1354" s="24"/>
      <c r="R1354" s="24"/>
      <c r="S1354" s="24"/>
      <c r="T1354" s="24"/>
      <c r="Z1354" s="25"/>
    </row>
    <row r="1355">
      <c r="A1355" s="16"/>
      <c r="B1355" s="17"/>
      <c r="C1355" s="24"/>
      <c r="D1355" s="25"/>
      <c r="E1355" s="24"/>
      <c r="F1355" s="25"/>
      <c r="G1355" s="24"/>
      <c r="H1355" s="25"/>
      <c r="I1355" s="24"/>
      <c r="J1355" s="25"/>
      <c r="K1355" s="25"/>
      <c r="L1355" s="24"/>
      <c r="M1355" s="24"/>
      <c r="N1355" s="24"/>
      <c r="O1355" s="24"/>
      <c r="P1355" s="24"/>
      <c r="Q1355" s="24"/>
      <c r="R1355" s="24"/>
      <c r="S1355" s="24"/>
      <c r="T1355" s="24"/>
      <c r="Z1355" s="25"/>
    </row>
    <row r="1356">
      <c r="A1356" s="16"/>
      <c r="B1356" s="17"/>
      <c r="C1356" s="24"/>
      <c r="D1356" s="25"/>
      <c r="E1356" s="24"/>
      <c r="F1356" s="25"/>
      <c r="G1356" s="24"/>
      <c r="H1356" s="25"/>
      <c r="I1356" s="24"/>
      <c r="J1356" s="25"/>
      <c r="K1356" s="25"/>
      <c r="L1356" s="24"/>
      <c r="M1356" s="24"/>
      <c r="N1356" s="24"/>
      <c r="O1356" s="24"/>
      <c r="P1356" s="24"/>
      <c r="Q1356" s="24"/>
      <c r="R1356" s="24"/>
      <c r="S1356" s="24"/>
      <c r="T1356" s="24"/>
      <c r="Z1356" s="25"/>
    </row>
    <row r="1357">
      <c r="A1357" s="16"/>
      <c r="B1357" s="17"/>
      <c r="C1357" s="24"/>
      <c r="D1357" s="25"/>
      <c r="E1357" s="24"/>
      <c r="F1357" s="25"/>
      <c r="G1357" s="24"/>
      <c r="H1357" s="25"/>
      <c r="I1357" s="24"/>
      <c r="J1357" s="25"/>
      <c r="K1357" s="25"/>
      <c r="L1357" s="24"/>
      <c r="M1357" s="24"/>
      <c r="N1357" s="24"/>
      <c r="O1357" s="24"/>
      <c r="P1357" s="24"/>
      <c r="Q1357" s="24"/>
      <c r="R1357" s="24"/>
      <c r="S1357" s="24"/>
      <c r="T1357" s="24"/>
      <c r="Z1357" s="25"/>
    </row>
    <row r="1358">
      <c r="A1358" s="16"/>
      <c r="B1358" s="17"/>
      <c r="C1358" s="24"/>
      <c r="D1358" s="25"/>
      <c r="E1358" s="24"/>
      <c r="F1358" s="25"/>
      <c r="G1358" s="24"/>
      <c r="H1358" s="25"/>
      <c r="I1358" s="24"/>
      <c r="J1358" s="25"/>
      <c r="K1358" s="25"/>
      <c r="L1358" s="24"/>
      <c r="M1358" s="24"/>
      <c r="N1358" s="24"/>
      <c r="O1358" s="24"/>
      <c r="P1358" s="24"/>
      <c r="Q1358" s="24"/>
      <c r="R1358" s="24"/>
      <c r="S1358" s="24"/>
      <c r="T1358" s="24"/>
      <c r="Z1358" s="25"/>
    </row>
    <row r="1359">
      <c r="A1359" s="16"/>
      <c r="B1359" s="17"/>
      <c r="C1359" s="24"/>
      <c r="D1359" s="25"/>
      <c r="E1359" s="24"/>
      <c r="F1359" s="25"/>
      <c r="G1359" s="24"/>
      <c r="H1359" s="25"/>
      <c r="I1359" s="24"/>
      <c r="J1359" s="25"/>
      <c r="K1359" s="25"/>
      <c r="L1359" s="24"/>
      <c r="M1359" s="24"/>
      <c r="N1359" s="24"/>
      <c r="O1359" s="24"/>
      <c r="P1359" s="24"/>
      <c r="Q1359" s="24"/>
      <c r="R1359" s="24"/>
      <c r="S1359" s="24"/>
      <c r="T1359" s="24"/>
      <c r="Z1359" s="25"/>
    </row>
    <row r="1360">
      <c r="A1360" s="16"/>
      <c r="B1360" s="17"/>
      <c r="C1360" s="24"/>
      <c r="D1360" s="25"/>
      <c r="E1360" s="24"/>
      <c r="F1360" s="25"/>
      <c r="G1360" s="24"/>
      <c r="H1360" s="25"/>
      <c r="I1360" s="24"/>
      <c r="J1360" s="25"/>
      <c r="K1360" s="25"/>
      <c r="L1360" s="24"/>
      <c r="M1360" s="24"/>
      <c r="N1360" s="24"/>
      <c r="O1360" s="24"/>
      <c r="P1360" s="24"/>
      <c r="Q1360" s="24"/>
      <c r="R1360" s="24"/>
      <c r="S1360" s="24"/>
      <c r="T1360" s="24"/>
      <c r="Z1360" s="25"/>
    </row>
    <row r="1361">
      <c r="A1361" s="16"/>
      <c r="B1361" s="17"/>
      <c r="C1361" s="24"/>
      <c r="D1361" s="25"/>
      <c r="E1361" s="24"/>
      <c r="F1361" s="25"/>
      <c r="G1361" s="24"/>
      <c r="H1361" s="25"/>
      <c r="I1361" s="24"/>
      <c r="J1361" s="25"/>
      <c r="K1361" s="25"/>
      <c r="L1361" s="24"/>
      <c r="M1361" s="24"/>
      <c r="N1361" s="24"/>
      <c r="O1361" s="24"/>
      <c r="P1361" s="24"/>
      <c r="Q1361" s="24"/>
      <c r="R1361" s="24"/>
      <c r="S1361" s="24"/>
      <c r="T1361" s="24"/>
      <c r="Z1361" s="25"/>
    </row>
    <row r="1362">
      <c r="A1362" s="16"/>
      <c r="B1362" s="17"/>
      <c r="C1362" s="24"/>
      <c r="D1362" s="25"/>
      <c r="E1362" s="24"/>
      <c r="F1362" s="25"/>
      <c r="G1362" s="24"/>
      <c r="H1362" s="25"/>
      <c r="I1362" s="24"/>
      <c r="J1362" s="25"/>
      <c r="K1362" s="25"/>
      <c r="L1362" s="24"/>
      <c r="M1362" s="24"/>
      <c r="N1362" s="24"/>
      <c r="O1362" s="24"/>
      <c r="P1362" s="24"/>
      <c r="Q1362" s="24"/>
      <c r="R1362" s="24"/>
      <c r="S1362" s="24"/>
      <c r="T1362" s="24"/>
      <c r="Z1362" s="25"/>
    </row>
    <row r="1363">
      <c r="A1363" s="16"/>
      <c r="B1363" s="17"/>
      <c r="C1363" s="24"/>
      <c r="D1363" s="25"/>
      <c r="E1363" s="24"/>
      <c r="F1363" s="25"/>
      <c r="G1363" s="24"/>
      <c r="H1363" s="25"/>
      <c r="I1363" s="24"/>
      <c r="J1363" s="25"/>
      <c r="K1363" s="25"/>
      <c r="L1363" s="24"/>
      <c r="M1363" s="24"/>
      <c r="N1363" s="24"/>
      <c r="O1363" s="24"/>
      <c r="P1363" s="24"/>
      <c r="Q1363" s="24"/>
      <c r="R1363" s="24"/>
      <c r="S1363" s="24"/>
      <c r="T1363" s="24"/>
      <c r="Z1363" s="25"/>
    </row>
    <row r="1364">
      <c r="A1364" s="16"/>
      <c r="B1364" s="17"/>
      <c r="C1364" s="24"/>
      <c r="D1364" s="25"/>
      <c r="E1364" s="24"/>
      <c r="F1364" s="25"/>
      <c r="G1364" s="24"/>
      <c r="H1364" s="25"/>
      <c r="I1364" s="24"/>
      <c r="J1364" s="25"/>
      <c r="K1364" s="25"/>
      <c r="L1364" s="24"/>
      <c r="M1364" s="24"/>
      <c r="N1364" s="24"/>
      <c r="O1364" s="24"/>
      <c r="P1364" s="24"/>
      <c r="Q1364" s="24"/>
      <c r="R1364" s="24"/>
      <c r="S1364" s="24"/>
      <c r="T1364" s="24"/>
      <c r="Z1364" s="25"/>
    </row>
    <row r="1365">
      <c r="A1365" s="16"/>
      <c r="B1365" s="17"/>
      <c r="C1365" s="24"/>
      <c r="D1365" s="25"/>
      <c r="E1365" s="24"/>
      <c r="F1365" s="25"/>
      <c r="G1365" s="24"/>
      <c r="H1365" s="25"/>
      <c r="I1365" s="24"/>
      <c r="J1365" s="25"/>
      <c r="K1365" s="25"/>
      <c r="L1365" s="24"/>
      <c r="M1365" s="24"/>
      <c r="N1365" s="24"/>
      <c r="O1365" s="24"/>
      <c r="P1365" s="24"/>
      <c r="Q1365" s="24"/>
      <c r="R1365" s="24"/>
      <c r="S1365" s="24"/>
      <c r="T1365" s="24"/>
      <c r="Z1365" s="25"/>
    </row>
    <row r="1366">
      <c r="A1366" s="16"/>
      <c r="B1366" s="17"/>
      <c r="C1366" s="24"/>
      <c r="D1366" s="25"/>
      <c r="E1366" s="24"/>
      <c r="F1366" s="25"/>
      <c r="G1366" s="24"/>
      <c r="H1366" s="25"/>
      <c r="I1366" s="24"/>
      <c r="J1366" s="25"/>
      <c r="K1366" s="25"/>
      <c r="L1366" s="24"/>
      <c r="M1366" s="24"/>
      <c r="N1366" s="24"/>
      <c r="O1366" s="24"/>
      <c r="P1366" s="24"/>
      <c r="Q1366" s="24"/>
      <c r="R1366" s="24"/>
      <c r="S1366" s="24"/>
      <c r="T1366" s="24"/>
      <c r="Z1366" s="25"/>
    </row>
    <row r="1367">
      <c r="A1367" s="16"/>
      <c r="B1367" s="17"/>
      <c r="C1367" s="24"/>
      <c r="D1367" s="25"/>
      <c r="E1367" s="24"/>
      <c r="F1367" s="25"/>
      <c r="G1367" s="24"/>
      <c r="H1367" s="25"/>
      <c r="I1367" s="24"/>
      <c r="J1367" s="25"/>
      <c r="K1367" s="25"/>
      <c r="L1367" s="24"/>
      <c r="M1367" s="24"/>
      <c r="N1367" s="24"/>
      <c r="O1367" s="24"/>
      <c r="P1367" s="24"/>
      <c r="Q1367" s="24"/>
      <c r="R1367" s="24"/>
      <c r="S1367" s="24"/>
      <c r="T1367" s="24"/>
      <c r="Z1367" s="25"/>
    </row>
    <row r="1368">
      <c r="A1368" s="16"/>
      <c r="B1368" s="17"/>
      <c r="C1368" s="24"/>
      <c r="D1368" s="25"/>
      <c r="E1368" s="24"/>
      <c r="F1368" s="25"/>
      <c r="G1368" s="24"/>
      <c r="H1368" s="25"/>
      <c r="I1368" s="24"/>
      <c r="J1368" s="25"/>
      <c r="K1368" s="25"/>
      <c r="L1368" s="24"/>
      <c r="M1368" s="24"/>
      <c r="N1368" s="24"/>
      <c r="O1368" s="24"/>
      <c r="P1368" s="24"/>
      <c r="Q1368" s="24"/>
      <c r="R1368" s="24"/>
      <c r="S1368" s="24"/>
      <c r="T1368" s="24"/>
      <c r="Z1368" s="25"/>
    </row>
    <row r="1369">
      <c r="A1369" s="16"/>
      <c r="B1369" s="17"/>
      <c r="C1369" s="24"/>
      <c r="D1369" s="25"/>
      <c r="E1369" s="24"/>
      <c r="F1369" s="25"/>
      <c r="G1369" s="24"/>
      <c r="H1369" s="25"/>
      <c r="I1369" s="24"/>
      <c r="J1369" s="25"/>
      <c r="K1369" s="25"/>
      <c r="L1369" s="24"/>
      <c r="M1369" s="24"/>
      <c r="N1369" s="24"/>
      <c r="O1369" s="24"/>
      <c r="P1369" s="24"/>
      <c r="Q1369" s="24"/>
      <c r="R1369" s="24"/>
      <c r="S1369" s="24"/>
      <c r="T1369" s="24"/>
      <c r="Z1369" s="25"/>
    </row>
    <row r="1370">
      <c r="A1370" s="16"/>
      <c r="B1370" s="17"/>
      <c r="C1370" s="24"/>
      <c r="D1370" s="25"/>
      <c r="E1370" s="24"/>
      <c r="F1370" s="25"/>
      <c r="G1370" s="24"/>
      <c r="H1370" s="25"/>
      <c r="I1370" s="24"/>
      <c r="J1370" s="25"/>
      <c r="K1370" s="25"/>
      <c r="L1370" s="24"/>
      <c r="M1370" s="24"/>
      <c r="N1370" s="24"/>
      <c r="O1370" s="24"/>
      <c r="P1370" s="24"/>
      <c r="Q1370" s="24"/>
      <c r="R1370" s="24"/>
      <c r="S1370" s="24"/>
      <c r="T1370" s="24"/>
      <c r="Z1370" s="25"/>
    </row>
    <row r="1371">
      <c r="A1371" s="16"/>
      <c r="B1371" s="17"/>
      <c r="C1371" s="24"/>
      <c r="D1371" s="25"/>
      <c r="E1371" s="24"/>
      <c r="F1371" s="25"/>
      <c r="G1371" s="24"/>
      <c r="H1371" s="25"/>
      <c r="I1371" s="24"/>
      <c r="J1371" s="25"/>
      <c r="K1371" s="25"/>
      <c r="L1371" s="24"/>
      <c r="M1371" s="24"/>
      <c r="N1371" s="24"/>
      <c r="O1371" s="24"/>
      <c r="P1371" s="24"/>
      <c r="Q1371" s="24"/>
      <c r="R1371" s="24"/>
      <c r="S1371" s="24"/>
      <c r="T1371" s="24"/>
      <c r="Z1371" s="25"/>
    </row>
    <row r="1372">
      <c r="A1372" s="16"/>
      <c r="B1372" s="17"/>
      <c r="C1372" s="24"/>
      <c r="D1372" s="25"/>
      <c r="E1372" s="24"/>
      <c r="F1372" s="25"/>
      <c r="G1372" s="24"/>
      <c r="H1372" s="25"/>
      <c r="I1372" s="24"/>
      <c r="J1372" s="25"/>
      <c r="K1372" s="25"/>
      <c r="L1372" s="24"/>
      <c r="M1372" s="24"/>
      <c r="N1372" s="24"/>
      <c r="O1372" s="24"/>
      <c r="P1372" s="24"/>
      <c r="Q1372" s="24"/>
      <c r="R1372" s="24"/>
      <c r="S1372" s="24"/>
      <c r="T1372" s="24"/>
      <c r="Z1372" s="25"/>
    </row>
    <row r="1373">
      <c r="A1373" s="16"/>
      <c r="B1373" s="17"/>
      <c r="C1373" s="24"/>
      <c r="D1373" s="25"/>
      <c r="E1373" s="24"/>
      <c r="F1373" s="25"/>
      <c r="G1373" s="24"/>
      <c r="H1373" s="25"/>
      <c r="I1373" s="24"/>
      <c r="J1373" s="25"/>
      <c r="K1373" s="25"/>
      <c r="L1373" s="24"/>
      <c r="M1373" s="24"/>
      <c r="N1373" s="24"/>
      <c r="O1373" s="24"/>
      <c r="P1373" s="24"/>
      <c r="Q1373" s="24"/>
      <c r="R1373" s="24"/>
      <c r="S1373" s="24"/>
      <c r="T1373" s="24"/>
      <c r="Z1373" s="25"/>
    </row>
    <row r="1374">
      <c r="A1374" s="16"/>
      <c r="B1374" s="17"/>
      <c r="C1374" s="24"/>
      <c r="D1374" s="25"/>
      <c r="E1374" s="24"/>
      <c r="F1374" s="25"/>
      <c r="G1374" s="24"/>
      <c r="H1374" s="25"/>
      <c r="I1374" s="24"/>
      <c r="J1374" s="25"/>
      <c r="K1374" s="25"/>
      <c r="L1374" s="24"/>
      <c r="M1374" s="24"/>
      <c r="N1374" s="24"/>
      <c r="O1374" s="24"/>
      <c r="P1374" s="24"/>
      <c r="Q1374" s="24"/>
      <c r="R1374" s="24"/>
      <c r="S1374" s="24"/>
      <c r="T1374" s="24"/>
      <c r="Z1374" s="25"/>
    </row>
    <row r="1375">
      <c r="A1375" s="16"/>
      <c r="B1375" s="17"/>
      <c r="C1375" s="24"/>
      <c r="D1375" s="25"/>
      <c r="E1375" s="24"/>
      <c r="F1375" s="25"/>
      <c r="G1375" s="24"/>
      <c r="H1375" s="25"/>
      <c r="I1375" s="24"/>
      <c r="J1375" s="25"/>
      <c r="K1375" s="25"/>
      <c r="L1375" s="24"/>
      <c r="M1375" s="24"/>
      <c r="N1375" s="24"/>
      <c r="O1375" s="24"/>
      <c r="P1375" s="24"/>
      <c r="Q1375" s="24"/>
      <c r="R1375" s="24"/>
      <c r="S1375" s="24"/>
      <c r="T1375" s="24"/>
      <c r="Z1375" s="25"/>
    </row>
    <row r="1376">
      <c r="A1376" s="16"/>
      <c r="B1376" s="17"/>
      <c r="C1376" s="24"/>
      <c r="D1376" s="25"/>
      <c r="E1376" s="24"/>
      <c r="F1376" s="25"/>
      <c r="G1376" s="24"/>
      <c r="H1376" s="25"/>
      <c r="I1376" s="24"/>
      <c r="J1376" s="25"/>
      <c r="K1376" s="25"/>
      <c r="L1376" s="24"/>
      <c r="M1376" s="24"/>
      <c r="N1376" s="24"/>
      <c r="O1376" s="24"/>
      <c r="P1376" s="24"/>
      <c r="Q1376" s="24"/>
      <c r="R1376" s="24"/>
      <c r="S1376" s="24"/>
      <c r="T1376" s="24"/>
      <c r="Z1376" s="25"/>
    </row>
    <row r="1377">
      <c r="A1377" s="16"/>
      <c r="B1377" s="17"/>
      <c r="C1377" s="24"/>
      <c r="D1377" s="25"/>
      <c r="E1377" s="24"/>
      <c r="F1377" s="25"/>
      <c r="G1377" s="24"/>
      <c r="H1377" s="25"/>
      <c r="I1377" s="24"/>
      <c r="J1377" s="25"/>
      <c r="K1377" s="25"/>
      <c r="L1377" s="24"/>
      <c r="M1377" s="24"/>
      <c r="N1377" s="24"/>
      <c r="O1377" s="24"/>
      <c r="P1377" s="24"/>
      <c r="Q1377" s="24"/>
      <c r="R1377" s="24"/>
      <c r="S1377" s="24"/>
      <c r="T1377" s="24"/>
      <c r="Z1377" s="25"/>
    </row>
    <row r="1378">
      <c r="A1378" s="16"/>
      <c r="B1378" s="17"/>
      <c r="C1378" s="24"/>
      <c r="D1378" s="25"/>
      <c r="E1378" s="24"/>
      <c r="F1378" s="25"/>
      <c r="G1378" s="24"/>
      <c r="H1378" s="25"/>
      <c r="I1378" s="24"/>
      <c r="J1378" s="25"/>
      <c r="K1378" s="25"/>
      <c r="L1378" s="24"/>
      <c r="M1378" s="24"/>
      <c r="N1378" s="24"/>
      <c r="O1378" s="24"/>
      <c r="P1378" s="24"/>
      <c r="Q1378" s="24"/>
      <c r="R1378" s="24"/>
      <c r="S1378" s="24"/>
      <c r="T1378" s="24"/>
      <c r="Z1378" s="25"/>
    </row>
    <row r="1379">
      <c r="A1379" s="16"/>
      <c r="B1379" s="17"/>
      <c r="C1379" s="24"/>
      <c r="D1379" s="25"/>
      <c r="E1379" s="24"/>
      <c r="F1379" s="25"/>
      <c r="G1379" s="24"/>
      <c r="H1379" s="25"/>
      <c r="I1379" s="24"/>
      <c r="J1379" s="25"/>
      <c r="K1379" s="25"/>
      <c r="L1379" s="24"/>
      <c r="M1379" s="24"/>
      <c r="N1379" s="24"/>
      <c r="O1379" s="24"/>
      <c r="P1379" s="24"/>
      <c r="Q1379" s="24"/>
      <c r="R1379" s="24"/>
      <c r="S1379" s="24"/>
      <c r="T1379" s="24"/>
      <c r="Z1379" s="25"/>
    </row>
    <row r="1380">
      <c r="A1380" s="16"/>
      <c r="B1380" s="17"/>
      <c r="C1380" s="24"/>
      <c r="D1380" s="25"/>
      <c r="E1380" s="24"/>
      <c r="F1380" s="25"/>
      <c r="G1380" s="24"/>
      <c r="H1380" s="25"/>
      <c r="I1380" s="24"/>
      <c r="J1380" s="25"/>
      <c r="K1380" s="25"/>
      <c r="L1380" s="24"/>
      <c r="M1380" s="24"/>
      <c r="N1380" s="24"/>
      <c r="O1380" s="24"/>
      <c r="P1380" s="24"/>
      <c r="Q1380" s="24"/>
      <c r="R1380" s="24"/>
      <c r="S1380" s="24"/>
      <c r="T1380" s="24"/>
      <c r="Z1380" s="25"/>
    </row>
    <row r="1381">
      <c r="A1381" s="16"/>
      <c r="B1381" s="17"/>
      <c r="C1381" s="24"/>
      <c r="D1381" s="25"/>
      <c r="E1381" s="24"/>
      <c r="F1381" s="25"/>
      <c r="G1381" s="24"/>
      <c r="H1381" s="25"/>
      <c r="I1381" s="24"/>
      <c r="J1381" s="25"/>
      <c r="K1381" s="25"/>
      <c r="L1381" s="24"/>
      <c r="M1381" s="24"/>
      <c r="N1381" s="24"/>
      <c r="O1381" s="24"/>
      <c r="P1381" s="24"/>
      <c r="Q1381" s="24"/>
      <c r="R1381" s="24"/>
      <c r="S1381" s="24"/>
      <c r="T1381" s="24"/>
      <c r="Z1381" s="25"/>
    </row>
    <row r="1382">
      <c r="A1382" s="16"/>
      <c r="B1382" s="17"/>
      <c r="C1382" s="24"/>
      <c r="D1382" s="25"/>
      <c r="E1382" s="24"/>
      <c r="F1382" s="25"/>
      <c r="G1382" s="24"/>
      <c r="H1382" s="25"/>
      <c r="I1382" s="24"/>
      <c r="J1382" s="25"/>
      <c r="K1382" s="25"/>
      <c r="L1382" s="24"/>
      <c r="M1382" s="24"/>
      <c r="N1382" s="24"/>
      <c r="O1382" s="24"/>
      <c r="P1382" s="24"/>
      <c r="Q1382" s="24"/>
      <c r="R1382" s="24"/>
      <c r="S1382" s="24"/>
      <c r="T1382" s="24"/>
      <c r="Z1382" s="25"/>
    </row>
    <row r="1383">
      <c r="A1383" s="16"/>
      <c r="B1383" s="17"/>
      <c r="C1383" s="24"/>
      <c r="D1383" s="25"/>
      <c r="E1383" s="24"/>
      <c r="F1383" s="25"/>
      <c r="G1383" s="24"/>
      <c r="H1383" s="25"/>
      <c r="I1383" s="24"/>
      <c r="J1383" s="25"/>
      <c r="K1383" s="25"/>
      <c r="L1383" s="24"/>
      <c r="M1383" s="24"/>
      <c r="N1383" s="24"/>
      <c r="O1383" s="24"/>
      <c r="P1383" s="24"/>
      <c r="Q1383" s="24"/>
      <c r="R1383" s="24"/>
      <c r="S1383" s="24"/>
      <c r="T1383" s="24"/>
      <c r="Z1383" s="25"/>
    </row>
    <row r="1384">
      <c r="A1384" s="16"/>
      <c r="B1384" s="17"/>
      <c r="C1384" s="24"/>
      <c r="D1384" s="25"/>
      <c r="E1384" s="24"/>
      <c r="F1384" s="25"/>
      <c r="G1384" s="24"/>
      <c r="H1384" s="25"/>
      <c r="I1384" s="24"/>
      <c r="J1384" s="25"/>
      <c r="K1384" s="25"/>
      <c r="L1384" s="24"/>
      <c r="M1384" s="24"/>
      <c r="N1384" s="24"/>
      <c r="O1384" s="24"/>
      <c r="P1384" s="24"/>
      <c r="Q1384" s="24"/>
      <c r="R1384" s="24"/>
      <c r="S1384" s="24"/>
      <c r="T1384" s="24"/>
      <c r="Z1384" s="25"/>
    </row>
    <row r="1385">
      <c r="A1385" s="16"/>
      <c r="B1385" s="17"/>
      <c r="C1385" s="24"/>
      <c r="D1385" s="25"/>
      <c r="E1385" s="24"/>
      <c r="F1385" s="25"/>
      <c r="G1385" s="24"/>
      <c r="H1385" s="25"/>
      <c r="I1385" s="24"/>
      <c r="J1385" s="25"/>
      <c r="K1385" s="25"/>
      <c r="L1385" s="24"/>
      <c r="M1385" s="24"/>
      <c r="N1385" s="24"/>
      <c r="O1385" s="24"/>
      <c r="P1385" s="24"/>
      <c r="Q1385" s="24"/>
      <c r="R1385" s="24"/>
      <c r="S1385" s="24"/>
      <c r="T1385" s="24"/>
      <c r="Z1385" s="25"/>
    </row>
    <row r="1386">
      <c r="A1386" s="16"/>
      <c r="B1386" s="17"/>
      <c r="C1386" s="24"/>
      <c r="D1386" s="25"/>
      <c r="E1386" s="24"/>
      <c r="F1386" s="25"/>
      <c r="G1386" s="24"/>
      <c r="H1386" s="25"/>
      <c r="I1386" s="24"/>
      <c r="J1386" s="25"/>
      <c r="K1386" s="25"/>
      <c r="L1386" s="24"/>
      <c r="M1386" s="24"/>
      <c r="N1386" s="24"/>
      <c r="O1386" s="24"/>
      <c r="P1386" s="24"/>
      <c r="Q1386" s="24"/>
      <c r="R1386" s="24"/>
      <c r="S1386" s="24"/>
      <c r="T1386" s="24"/>
      <c r="Z1386" s="25"/>
    </row>
    <row r="1387">
      <c r="A1387" s="16"/>
      <c r="B1387" s="17"/>
      <c r="C1387" s="24"/>
      <c r="D1387" s="25"/>
      <c r="E1387" s="24"/>
      <c r="F1387" s="25"/>
      <c r="G1387" s="24"/>
      <c r="H1387" s="25"/>
      <c r="I1387" s="24"/>
      <c r="J1387" s="25"/>
      <c r="K1387" s="25"/>
      <c r="L1387" s="24"/>
      <c r="M1387" s="24"/>
      <c r="N1387" s="24"/>
      <c r="O1387" s="24"/>
      <c r="P1387" s="24"/>
      <c r="Q1387" s="24"/>
      <c r="R1387" s="24"/>
      <c r="S1387" s="24"/>
      <c r="T1387" s="24"/>
      <c r="Z1387" s="25"/>
    </row>
    <row r="1388">
      <c r="A1388" s="16"/>
      <c r="B1388" s="17"/>
      <c r="C1388" s="24"/>
      <c r="D1388" s="25"/>
      <c r="E1388" s="24"/>
      <c r="F1388" s="25"/>
      <c r="G1388" s="24"/>
      <c r="H1388" s="25"/>
      <c r="I1388" s="24"/>
      <c r="J1388" s="25"/>
      <c r="K1388" s="25"/>
      <c r="L1388" s="24"/>
      <c r="M1388" s="24"/>
      <c r="N1388" s="24"/>
      <c r="O1388" s="24"/>
      <c r="P1388" s="24"/>
      <c r="Q1388" s="24"/>
      <c r="R1388" s="24"/>
      <c r="S1388" s="24"/>
      <c r="T1388" s="24"/>
      <c r="Z1388" s="25"/>
    </row>
    <row r="1389">
      <c r="A1389" s="16"/>
      <c r="B1389" s="17"/>
      <c r="C1389" s="24"/>
      <c r="D1389" s="25"/>
      <c r="E1389" s="24"/>
      <c r="F1389" s="25"/>
      <c r="G1389" s="24"/>
      <c r="H1389" s="25"/>
      <c r="I1389" s="24"/>
      <c r="J1389" s="25"/>
      <c r="K1389" s="25"/>
      <c r="L1389" s="24"/>
      <c r="M1389" s="24"/>
      <c r="N1389" s="24"/>
      <c r="O1389" s="24"/>
      <c r="P1389" s="24"/>
      <c r="Q1389" s="24"/>
      <c r="R1389" s="24"/>
      <c r="S1389" s="24"/>
      <c r="T1389" s="24"/>
      <c r="Z1389" s="25"/>
    </row>
    <row r="1390">
      <c r="A1390" s="16"/>
      <c r="B1390" s="17"/>
      <c r="C1390" s="24"/>
      <c r="D1390" s="25"/>
      <c r="E1390" s="24"/>
      <c r="F1390" s="25"/>
      <c r="G1390" s="24"/>
      <c r="H1390" s="25"/>
      <c r="I1390" s="24"/>
      <c r="J1390" s="25"/>
      <c r="K1390" s="25"/>
      <c r="L1390" s="24"/>
      <c r="M1390" s="24"/>
      <c r="N1390" s="24"/>
      <c r="O1390" s="24"/>
      <c r="P1390" s="24"/>
      <c r="Q1390" s="24"/>
      <c r="R1390" s="24"/>
      <c r="S1390" s="24"/>
      <c r="T1390" s="24"/>
      <c r="Z1390" s="25"/>
    </row>
    <row r="1391">
      <c r="A1391" s="16"/>
      <c r="B1391" s="17"/>
      <c r="C1391" s="24"/>
      <c r="D1391" s="25"/>
      <c r="E1391" s="24"/>
      <c r="F1391" s="25"/>
      <c r="G1391" s="24"/>
      <c r="H1391" s="25"/>
      <c r="I1391" s="24"/>
      <c r="J1391" s="25"/>
      <c r="K1391" s="25"/>
      <c r="L1391" s="24"/>
      <c r="M1391" s="24"/>
      <c r="N1391" s="24"/>
      <c r="O1391" s="24"/>
      <c r="P1391" s="24"/>
      <c r="Q1391" s="24"/>
      <c r="R1391" s="24"/>
      <c r="S1391" s="24"/>
      <c r="T1391" s="24"/>
      <c r="Z1391" s="25"/>
    </row>
    <row r="1392">
      <c r="A1392" s="16"/>
      <c r="B1392" s="17"/>
      <c r="C1392" s="24"/>
      <c r="D1392" s="25"/>
      <c r="E1392" s="24"/>
      <c r="F1392" s="25"/>
      <c r="G1392" s="24"/>
      <c r="H1392" s="25"/>
      <c r="I1392" s="24"/>
      <c r="J1392" s="25"/>
      <c r="K1392" s="25"/>
      <c r="L1392" s="24"/>
      <c r="M1392" s="24"/>
      <c r="N1392" s="24"/>
      <c r="O1392" s="24"/>
      <c r="P1392" s="24"/>
      <c r="Q1392" s="24"/>
      <c r="R1392" s="24"/>
      <c r="S1392" s="24"/>
      <c r="T1392" s="24"/>
      <c r="Z1392" s="25"/>
    </row>
    <row r="1393">
      <c r="A1393" s="16"/>
      <c r="B1393" s="17"/>
      <c r="C1393" s="24"/>
      <c r="D1393" s="25"/>
      <c r="E1393" s="24"/>
      <c r="F1393" s="25"/>
      <c r="G1393" s="24"/>
      <c r="H1393" s="25"/>
      <c r="I1393" s="24"/>
      <c r="J1393" s="25"/>
      <c r="K1393" s="25"/>
      <c r="L1393" s="24"/>
      <c r="M1393" s="24"/>
      <c r="N1393" s="24"/>
      <c r="O1393" s="24"/>
      <c r="P1393" s="24"/>
      <c r="Q1393" s="24"/>
      <c r="R1393" s="24"/>
      <c r="S1393" s="24"/>
      <c r="T1393" s="24"/>
      <c r="Z1393" s="25"/>
    </row>
    <row r="1394">
      <c r="A1394" s="16"/>
      <c r="B1394" s="17"/>
      <c r="C1394" s="24"/>
      <c r="D1394" s="25"/>
      <c r="E1394" s="24"/>
      <c r="F1394" s="25"/>
      <c r="G1394" s="24"/>
      <c r="H1394" s="25"/>
      <c r="I1394" s="24"/>
      <c r="J1394" s="25"/>
      <c r="K1394" s="25"/>
      <c r="L1394" s="24"/>
      <c r="M1394" s="24"/>
      <c r="N1394" s="24"/>
      <c r="O1394" s="24"/>
      <c r="P1394" s="24"/>
      <c r="Q1394" s="24"/>
      <c r="R1394" s="24"/>
      <c r="S1394" s="24"/>
      <c r="T1394" s="24"/>
      <c r="Z1394" s="25"/>
    </row>
    <row r="1395">
      <c r="A1395" s="16"/>
      <c r="B1395" s="17"/>
      <c r="C1395" s="24"/>
      <c r="D1395" s="25"/>
      <c r="E1395" s="24"/>
      <c r="F1395" s="25"/>
      <c r="G1395" s="24"/>
      <c r="H1395" s="25"/>
      <c r="I1395" s="24"/>
      <c r="J1395" s="25"/>
      <c r="K1395" s="25"/>
      <c r="L1395" s="24"/>
      <c r="M1395" s="24"/>
      <c r="N1395" s="24"/>
      <c r="O1395" s="24"/>
      <c r="P1395" s="24"/>
      <c r="Q1395" s="24"/>
      <c r="R1395" s="24"/>
      <c r="S1395" s="24"/>
      <c r="T1395" s="24"/>
      <c r="Z1395" s="25"/>
    </row>
    <row r="1396">
      <c r="A1396" s="16"/>
      <c r="B1396" s="17"/>
      <c r="C1396" s="24"/>
      <c r="D1396" s="25"/>
      <c r="E1396" s="24"/>
      <c r="F1396" s="25"/>
      <c r="G1396" s="24"/>
      <c r="H1396" s="25"/>
      <c r="I1396" s="24"/>
      <c r="J1396" s="25"/>
      <c r="K1396" s="25"/>
      <c r="L1396" s="24"/>
      <c r="M1396" s="24"/>
      <c r="N1396" s="24"/>
      <c r="O1396" s="24"/>
      <c r="P1396" s="24"/>
      <c r="Q1396" s="24"/>
      <c r="R1396" s="24"/>
      <c r="S1396" s="24"/>
      <c r="T1396" s="24"/>
      <c r="Z1396" s="25"/>
    </row>
    <row r="1397">
      <c r="A1397" s="16"/>
      <c r="B1397" s="17"/>
      <c r="C1397" s="24"/>
      <c r="D1397" s="25"/>
      <c r="E1397" s="24"/>
      <c r="F1397" s="25"/>
      <c r="G1397" s="24"/>
      <c r="H1397" s="25"/>
      <c r="I1397" s="24"/>
      <c r="J1397" s="25"/>
      <c r="K1397" s="25"/>
      <c r="L1397" s="24"/>
      <c r="M1397" s="24"/>
      <c r="N1397" s="24"/>
      <c r="O1397" s="24"/>
      <c r="P1397" s="24"/>
      <c r="Q1397" s="24"/>
      <c r="R1397" s="24"/>
      <c r="S1397" s="24"/>
      <c r="T1397" s="24"/>
      <c r="Z1397" s="25"/>
    </row>
    <row r="1398">
      <c r="A1398" s="16"/>
      <c r="B1398" s="17"/>
      <c r="C1398" s="24"/>
      <c r="D1398" s="25"/>
      <c r="E1398" s="24"/>
      <c r="F1398" s="25"/>
      <c r="G1398" s="24"/>
      <c r="H1398" s="25"/>
      <c r="I1398" s="24"/>
      <c r="J1398" s="25"/>
      <c r="K1398" s="25"/>
      <c r="L1398" s="24"/>
      <c r="M1398" s="24"/>
      <c r="N1398" s="24"/>
      <c r="O1398" s="24"/>
      <c r="P1398" s="24"/>
      <c r="Q1398" s="24"/>
      <c r="R1398" s="24"/>
      <c r="S1398" s="24"/>
      <c r="T1398" s="24"/>
      <c r="Z1398" s="25"/>
    </row>
    <row r="1399">
      <c r="A1399" s="16"/>
      <c r="B1399" s="17"/>
      <c r="C1399" s="24"/>
      <c r="D1399" s="25"/>
      <c r="E1399" s="24"/>
      <c r="F1399" s="25"/>
      <c r="G1399" s="24"/>
      <c r="H1399" s="25"/>
      <c r="I1399" s="24"/>
      <c r="J1399" s="25"/>
      <c r="K1399" s="25"/>
      <c r="L1399" s="24"/>
      <c r="M1399" s="24"/>
      <c r="N1399" s="24"/>
      <c r="O1399" s="24"/>
      <c r="P1399" s="24"/>
      <c r="Q1399" s="24"/>
      <c r="R1399" s="24"/>
      <c r="S1399" s="24"/>
      <c r="T1399" s="24"/>
      <c r="Z1399" s="25"/>
    </row>
    <row r="1400">
      <c r="A1400" s="16"/>
      <c r="B1400" s="17"/>
      <c r="C1400" s="24"/>
      <c r="D1400" s="25"/>
      <c r="E1400" s="24"/>
      <c r="F1400" s="25"/>
      <c r="G1400" s="24"/>
      <c r="H1400" s="25"/>
      <c r="I1400" s="24"/>
      <c r="J1400" s="25"/>
      <c r="K1400" s="25"/>
      <c r="L1400" s="24"/>
      <c r="M1400" s="24"/>
      <c r="N1400" s="24"/>
      <c r="O1400" s="24"/>
      <c r="P1400" s="24"/>
      <c r="Q1400" s="24"/>
      <c r="R1400" s="24"/>
      <c r="S1400" s="24"/>
      <c r="T1400" s="24"/>
      <c r="Z1400" s="25"/>
    </row>
    <row r="1401">
      <c r="A1401" s="16"/>
      <c r="B1401" s="17"/>
      <c r="C1401" s="24"/>
      <c r="D1401" s="25"/>
      <c r="E1401" s="24"/>
      <c r="F1401" s="25"/>
      <c r="G1401" s="24"/>
      <c r="H1401" s="25"/>
      <c r="I1401" s="24"/>
      <c r="J1401" s="25"/>
      <c r="K1401" s="25"/>
      <c r="L1401" s="24"/>
      <c r="M1401" s="24"/>
      <c r="N1401" s="24"/>
      <c r="O1401" s="24"/>
      <c r="P1401" s="24"/>
      <c r="Q1401" s="24"/>
      <c r="R1401" s="24"/>
      <c r="S1401" s="24"/>
      <c r="T1401" s="24"/>
      <c r="Z1401" s="25"/>
    </row>
    <row r="1402">
      <c r="A1402" s="16"/>
      <c r="B1402" s="17"/>
      <c r="C1402" s="24"/>
      <c r="D1402" s="25"/>
      <c r="E1402" s="24"/>
      <c r="F1402" s="25"/>
      <c r="G1402" s="24"/>
      <c r="H1402" s="25"/>
      <c r="I1402" s="24"/>
      <c r="J1402" s="25"/>
      <c r="K1402" s="25"/>
      <c r="L1402" s="24"/>
      <c r="M1402" s="24"/>
      <c r="N1402" s="24"/>
      <c r="O1402" s="24"/>
      <c r="P1402" s="24"/>
      <c r="Q1402" s="24"/>
      <c r="R1402" s="24"/>
      <c r="S1402" s="24"/>
      <c r="T1402" s="24"/>
      <c r="Z1402" s="25"/>
    </row>
    <row r="1403">
      <c r="A1403" s="16"/>
      <c r="B1403" s="17"/>
      <c r="C1403" s="24"/>
      <c r="D1403" s="25"/>
      <c r="E1403" s="24"/>
      <c r="F1403" s="25"/>
      <c r="G1403" s="24"/>
      <c r="H1403" s="25"/>
      <c r="I1403" s="24"/>
      <c r="J1403" s="25"/>
      <c r="K1403" s="25"/>
      <c r="L1403" s="24"/>
      <c r="M1403" s="24"/>
      <c r="N1403" s="24"/>
      <c r="O1403" s="24"/>
      <c r="P1403" s="24"/>
      <c r="Q1403" s="24"/>
      <c r="R1403" s="24"/>
      <c r="S1403" s="24"/>
      <c r="T1403" s="24"/>
      <c r="Z1403" s="25"/>
    </row>
    <row r="1404">
      <c r="A1404" s="16"/>
      <c r="B1404" s="17"/>
      <c r="C1404" s="24"/>
      <c r="D1404" s="25"/>
      <c r="E1404" s="24"/>
      <c r="F1404" s="25"/>
      <c r="G1404" s="24"/>
      <c r="H1404" s="25"/>
      <c r="I1404" s="24"/>
      <c r="J1404" s="25"/>
      <c r="K1404" s="25"/>
      <c r="L1404" s="24"/>
      <c r="M1404" s="24"/>
      <c r="N1404" s="24"/>
      <c r="O1404" s="24"/>
      <c r="P1404" s="24"/>
      <c r="Q1404" s="24"/>
      <c r="R1404" s="24"/>
      <c r="S1404" s="24"/>
      <c r="T1404" s="24"/>
      <c r="Z1404" s="25"/>
    </row>
    <row r="1405">
      <c r="A1405" s="16"/>
      <c r="B1405" s="17"/>
      <c r="C1405" s="24"/>
      <c r="D1405" s="25"/>
      <c r="E1405" s="24"/>
      <c r="F1405" s="25"/>
      <c r="G1405" s="24"/>
      <c r="H1405" s="25"/>
      <c r="I1405" s="24"/>
      <c r="J1405" s="25"/>
      <c r="K1405" s="25"/>
      <c r="L1405" s="24"/>
      <c r="M1405" s="24"/>
      <c r="N1405" s="24"/>
      <c r="O1405" s="24"/>
      <c r="P1405" s="24"/>
      <c r="Q1405" s="24"/>
      <c r="R1405" s="24"/>
      <c r="S1405" s="24"/>
      <c r="T1405" s="24"/>
      <c r="Z1405" s="25"/>
    </row>
    <row r="1406">
      <c r="A1406" s="16"/>
      <c r="B1406" s="17"/>
      <c r="C1406" s="24"/>
      <c r="D1406" s="25"/>
      <c r="E1406" s="24"/>
      <c r="F1406" s="25"/>
      <c r="G1406" s="24"/>
      <c r="H1406" s="25"/>
      <c r="I1406" s="24"/>
      <c r="J1406" s="25"/>
      <c r="K1406" s="25"/>
      <c r="L1406" s="24"/>
      <c r="M1406" s="24"/>
      <c r="N1406" s="24"/>
      <c r="O1406" s="24"/>
      <c r="P1406" s="24"/>
      <c r="Q1406" s="24"/>
      <c r="R1406" s="24"/>
      <c r="S1406" s="24"/>
      <c r="T1406" s="24"/>
      <c r="Z1406" s="25"/>
    </row>
    <row r="1407">
      <c r="A1407" s="16"/>
      <c r="B1407" s="17"/>
      <c r="C1407" s="24"/>
      <c r="D1407" s="25"/>
      <c r="E1407" s="24"/>
      <c r="F1407" s="25"/>
      <c r="G1407" s="24"/>
      <c r="H1407" s="25"/>
      <c r="I1407" s="24"/>
      <c r="J1407" s="25"/>
      <c r="K1407" s="25"/>
      <c r="L1407" s="24"/>
      <c r="M1407" s="24"/>
      <c r="N1407" s="24"/>
      <c r="O1407" s="24"/>
      <c r="P1407" s="24"/>
      <c r="Q1407" s="24"/>
      <c r="R1407" s="24"/>
      <c r="S1407" s="24"/>
      <c r="T1407" s="24"/>
      <c r="Z1407" s="25"/>
    </row>
    <row r="1408">
      <c r="A1408" s="16"/>
      <c r="B1408" s="17"/>
      <c r="C1408" s="24"/>
      <c r="D1408" s="25"/>
      <c r="E1408" s="24"/>
      <c r="F1408" s="25"/>
      <c r="G1408" s="24"/>
      <c r="H1408" s="25"/>
      <c r="I1408" s="24"/>
      <c r="J1408" s="25"/>
      <c r="K1408" s="25"/>
      <c r="L1408" s="24"/>
      <c r="M1408" s="24"/>
      <c r="N1408" s="24"/>
      <c r="O1408" s="24"/>
      <c r="P1408" s="24"/>
      <c r="Q1408" s="24"/>
      <c r="R1408" s="24"/>
      <c r="S1408" s="24"/>
      <c r="T1408" s="24"/>
      <c r="Z1408" s="25"/>
    </row>
    <row r="1409">
      <c r="A1409" s="16"/>
      <c r="B1409" s="17"/>
      <c r="C1409" s="24"/>
      <c r="D1409" s="25"/>
      <c r="E1409" s="24"/>
      <c r="F1409" s="25"/>
      <c r="G1409" s="24"/>
      <c r="H1409" s="25"/>
      <c r="I1409" s="24"/>
      <c r="J1409" s="25"/>
      <c r="K1409" s="25"/>
      <c r="L1409" s="24"/>
      <c r="M1409" s="24"/>
      <c r="N1409" s="24"/>
      <c r="O1409" s="24"/>
      <c r="P1409" s="24"/>
      <c r="Q1409" s="24"/>
      <c r="R1409" s="24"/>
      <c r="S1409" s="24"/>
      <c r="T1409" s="24"/>
      <c r="Z1409" s="25"/>
    </row>
    <row r="1410">
      <c r="A1410" s="16"/>
      <c r="B1410" s="17"/>
      <c r="C1410" s="24"/>
      <c r="D1410" s="25"/>
      <c r="E1410" s="24"/>
      <c r="F1410" s="25"/>
      <c r="G1410" s="24"/>
      <c r="H1410" s="25"/>
      <c r="I1410" s="24"/>
      <c r="J1410" s="25"/>
      <c r="K1410" s="25"/>
      <c r="L1410" s="24"/>
      <c r="M1410" s="24"/>
      <c r="N1410" s="24"/>
      <c r="O1410" s="24"/>
      <c r="P1410" s="24"/>
      <c r="Q1410" s="24"/>
      <c r="R1410" s="24"/>
      <c r="S1410" s="24"/>
      <c r="T1410" s="24"/>
      <c r="Z1410" s="25"/>
    </row>
    <row r="1411">
      <c r="A1411" s="16"/>
      <c r="B1411" s="17"/>
      <c r="C1411" s="24"/>
      <c r="D1411" s="25"/>
      <c r="E1411" s="24"/>
      <c r="F1411" s="25"/>
      <c r="G1411" s="24"/>
      <c r="H1411" s="25"/>
      <c r="I1411" s="24"/>
      <c r="J1411" s="25"/>
      <c r="K1411" s="25"/>
      <c r="L1411" s="24"/>
      <c r="M1411" s="24"/>
      <c r="N1411" s="24"/>
      <c r="O1411" s="24"/>
      <c r="P1411" s="24"/>
      <c r="Q1411" s="24"/>
      <c r="R1411" s="24"/>
      <c r="S1411" s="24"/>
      <c r="T1411" s="24"/>
      <c r="Z1411" s="25"/>
    </row>
    <row r="1412">
      <c r="A1412" s="16"/>
      <c r="B1412" s="17"/>
      <c r="C1412" s="24"/>
      <c r="D1412" s="25"/>
      <c r="E1412" s="24"/>
      <c r="F1412" s="25"/>
      <c r="G1412" s="24"/>
      <c r="H1412" s="25"/>
      <c r="I1412" s="24"/>
      <c r="J1412" s="25"/>
      <c r="K1412" s="25"/>
      <c r="L1412" s="24"/>
      <c r="M1412" s="24"/>
      <c r="N1412" s="24"/>
      <c r="O1412" s="24"/>
      <c r="P1412" s="24"/>
      <c r="Q1412" s="24"/>
      <c r="R1412" s="24"/>
      <c r="S1412" s="24"/>
      <c r="T1412" s="24"/>
      <c r="Z1412" s="25"/>
    </row>
    <row r="1413">
      <c r="A1413" s="16"/>
      <c r="B1413" s="17"/>
      <c r="C1413" s="24"/>
      <c r="D1413" s="25"/>
      <c r="E1413" s="24"/>
      <c r="F1413" s="25"/>
      <c r="G1413" s="24"/>
      <c r="H1413" s="25"/>
      <c r="I1413" s="24"/>
      <c r="J1413" s="25"/>
      <c r="K1413" s="25"/>
      <c r="L1413" s="24"/>
      <c r="M1413" s="24"/>
      <c r="N1413" s="24"/>
      <c r="O1413" s="24"/>
      <c r="P1413" s="24"/>
      <c r="Q1413" s="24"/>
      <c r="R1413" s="24"/>
      <c r="S1413" s="24"/>
      <c r="T1413" s="24"/>
      <c r="Z1413" s="25"/>
    </row>
    <row r="1414">
      <c r="A1414" s="16"/>
      <c r="B1414" s="17"/>
      <c r="C1414" s="24"/>
      <c r="D1414" s="25"/>
      <c r="E1414" s="24"/>
      <c r="F1414" s="25"/>
      <c r="G1414" s="24"/>
      <c r="H1414" s="25"/>
      <c r="I1414" s="24"/>
      <c r="J1414" s="25"/>
      <c r="K1414" s="25"/>
      <c r="L1414" s="24"/>
      <c r="M1414" s="24"/>
      <c r="N1414" s="24"/>
      <c r="O1414" s="24"/>
      <c r="P1414" s="24"/>
      <c r="Q1414" s="24"/>
      <c r="R1414" s="24"/>
      <c r="S1414" s="24"/>
      <c r="T1414" s="24"/>
      <c r="Z1414" s="25"/>
    </row>
    <row r="1415">
      <c r="A1415" s="16"/>
      <c r="B1415" s="17"/>
      <c r="C1415" s="24"/>
      <c r="D1415" s="25"/>
      <c r="E1415" s="24"/>
      <c r="F1415" s="25"/>
      <c r="G1415" s="24"/>
      <c r="H1415" s="25"/>
      <c r="I1415" s="24"/>
      <c r="J1415" s="25"/>
      <c r="K1415" s="25"/>
      <c r="L1415" s="24"/>
      <c r="M1415" s="24"/>
      <c r="N1415" s="24"/>
      <c r="O1415" s="24"/>
      <c r="P1415" s="24"/>
      <c r="Q1415" s="24"/>
      <c r="R1415" s="24"/>
      <c r="S1415" s="24"/>
      <c r="T1415" s="24"/>
      <c r="Z1415" s="25"/>
    </row>
    <row r="1416">
      <c r="A1416" s="16"/>
      <c r="B1416" s="17"/>
      <c r="C1416" s="24"/>
      <c r="D1416" s="25"/>
      <c r="E1416" s="24"/>
      <c r="F1416" s="25"/>
      <c r="G1416" s="24"/>
      <c r="H1416" s="25"/>
      <c r="I1416" s="24"/>
      <c r="J1416" s="25"/>
      <c r="K1416" s="25"/>
      <c r="L1416" s="24"/>
      <c r="M1416" s="24"/>
      <c r="N1416" s="24"/>
      <c r="O1416" s="24"/>
      <c r="P1416" s="24"/>
      <c r="Q1416" s="24"/>
      <c r="R1416" s="24"/>
      <c r="S1416" s="24"/>
      <c r="T1416" s="24"/>
      <c r="Z1416" s="25"/>
    </row>
    <row r="1417">
      <c r="A1417" s="16"/>
      <c r="B1417" s="17"/>
      <c r="C1417" s="24"/>
      <c r="D1417" s="25"/>
      <c r="E1417" s="24"/>
      <c r="F1417" s="25"/>
      <c r="G1417" s="24"/>
      <c r="H1417" s="25"/>
      <c r="I1417" s="24"/>
      <c r="J1417" s="25"/>
      <c r="K1417" s="25"/>
      <c r="L1417" s="24"/>
      <c r="M1417" s="24"/>
      <c r="N1417" s="24"/>
      <c r="O1417" s="24"/>
      <c r="P1417" s="24"/>
      <c r="Q1417" s="24"/>
      <c r="R1417" s="24"/>
      <c r="S1417" s="24"/>
      <c r="T1417" s="24"/>
      <c r="Z1417" s="25"/>
    </row>
    <row r="1418">
      <c r="A1418" s="16"/>
      <c r="B1418" s="17"/>
      <c r="C1418" s="24"/>
      <c r="D1418" s="25"/>
      <c r="E1418" s="24"/>
      <c r="F1418" s="25"/>
      <c r="G1418" s="24"/>
      <c r="H1418" s="25"/>
      <c r="I1418" s="24"/>
      <c r="J1418" s="25"/>
      <c r="K1418" s="25"/>
      <c r="L1418" s="24"/>
      <c r="M1418" s="24"/>
      <c r="N1418" s="24"/>
      <c r="O1418" s="24"/>
      <c r="P1418" s="24"/>
      <c r="Q1418" s="24"/>
      <c r="R1418" s="24"/>
      <c r="S1418" s="24"/>
      <c r="T1418" s="24"/>
      <c r="Z1418" s="25"/>
    </row>
    <row r="1419">
      <c r="A1419" s="16"/>
      <c r="B1419" s="17"/>
      <c r="C1419" s="24"/>
      <c r="D1419" s="25"/>
      <c r="E1419" s="24"/>
      <c r="F1419" s="25"/>
      <c r="G1419" s="24"/>
      <c r="H1419" s="25"/>
      <c r="I1419" s="24"/>
      <c r="J1419" s="25"/>
      <c r="K1419" s="25"/>
      <c r="L1419" s="24"/>
      <c r="M1419" s="24"/>
      <c r="N1419" s="24"/>
      <c r="O1419" s="24"/>
      <c r="P1419" s="24"/>
      <c r="Q1419" s="24"/>
      <c r="R1419" s="24"/>
      <c r="S1419" s="24"/>
      <c r="T1419" s="24"/>
      <c r="Z1419" s="25"/>
    </row>
    <row r="1420">
      <c r="A1420" s="16"/>
      <c r="B1420" s="17"/>
      <c r="C1420" s="24"/>
      <c r="D1420" s="25"/>
      <c r="E1420" s="24"/>
      <c r="F1420" s="25"/>
      <c r="G1420" s="24"/>
      <c r="H1420" s="25"/>
      <c r="I1420" s="24"/>
      <c r="J1420" s="25"/>
      <c r="K1420" s="25"/>
      <c r="L1420" s="24"/>
      <c r="M1420" s="24"/>
      <c r="N1420" s="24"/>
      <c r="O1420" s="24"/>
      <c r="P1420" s="24"/>
      <c r="Q1420" s="24"/>
      <c r="R1420" s="24"/>
      <c r="S1420" s="24"/>
      <c r="T1420" s="24"/>
      <c r="Z1420" s="25"/>
    </row>
    <row r="1421">
      <c r="A1421" s="16"/>
      <c r="B1421" s="17"/>
      <c r="C1421" s="24"/>
      <c r="D1421" s="25"/>
      <c r="E1421" s="24"/>
      <c r="F1421" s="25"/>
      <c r="G1421" s="24"/>
      <c r="H1421" s="25"/>
      <c r="I1421" s="24"/>
      <c r="J1421" s="25"/>
      <c r="K1421" s="25"/>
      <c r="L1421" s="24"/>
      <c r="M1421" s="24"/>
      <c r="N1421" s="24"/>
      <c r="O1421" s="24"/>
      <c r="P1421" s="24"/>
      <c r="Q1421" s="24"/>
      <c r="R1421" s="24"/>
      <c r="S1421" s="24"/>
      <c r="T1421" s="24"/>
      <c r="Z1421" s="25"/>
    </row>
    <row r="1422">
      <c r="A1422" s="16"/>
      <c r="B1422" s="17"/>
      <c r="C1422" s="24"/>
      <c r="D1422" s="25"/>
      <c r="E1422" s="24"/>
      <c r="F1422" s="25"/>
      <c r="G1422" s="24"/>
      <c r="H1422" s="25"/>
      <c r="I1422" s="24"/>
      <c r="J1422" s="25"/>
      <c r="K1422" s="25"/>
      <c r="L1422" s="24"/>
      <c r="M1422" s="24"/>
      <c r="N1422" s="24"/>
      <c r="O1422" s="24"/>
      <c r="P1422" s="24"/>
      <c r="Q1422" s="24"/>
      <c r="R1422" s="24"/>
      <c r="S1422" s="24"/>
      <c r="T1422" s="24"/>
      <c r="Z1422" s="25"/>
    </row>
    <row r="1423">
      <c r="A1423" s="16"/>
      <c r="B1423" s="17"/>
      <c r="C1423" s="24"/>
      <c r="D1423" s="25"/>
      <c r="E1423" s="24"/>
      <c r="F1423" s="25"/>
      <c r="G1423" s="24"/>
      <c r="H1423" s="25"/>
      <c r="I1423" s="24"/>
      <c r="J1423" s="25"/>
      <c r="K1423" s="25"/>
      <c r="L1423" s="24"/>
      <c r="M1423" s="24"/>
      <c r="N1423" s="24"/>
      <c r="O1423" s="24"/>
      <c r="P1423" s="24"/>
      <c r="Q1423" s="24"/>
      <c r="R1423" s="24"/>
      <c r="S1423" s="24"/>
      <c r="T1423" s="24"/>
      <c r="Z1423" s="25"/>
    </row>
    <row r="1424">
      <c r="A1424" s="16"/>
      <c r="B1424" s="17"/>
      <c r="C1424" s="24"/>
      <c r="D1424" s="25"/>
      <c r="E1424" s="24"/>
      <c r="F1424" s="25"/>
      <c r="G1424" s="24"/>
      <c r="H1424" s="25"/>
      <c r="I1424" s="24"/>
      <c r="J1424" s="25"/>
      <c r="K1424" s="25"/>
      <c r="L1424" s="24"/>
      <c r="M1424" s="24"/>
      <c r="N1424" s="24"/>
      <c r="O1424" s="24"/>
      <c r="P1424" s="24"/>
      <c r="Q1424" s="24"/>
      <c r="R1424" s="24"/>
      <c r="S1424" s="24"/>
      <c r="T1424" s="24"/>
      <c r="Z1424" s="25"/>
    </row>
    <row r="1425">
      <c r="A1425" s="16"/>
      <c r="B1425" s="17"/>
      <c r="C1425" s="24"/>
      <c r="D1425" s="25"/>
      <c r="E1425" s="24"/>
      <c r="F1425" s="25"/>
      <c r="G1425" s="24"/>
      <c r="H1425" s="25"/>
      <c r="I1425" s="24"/>
      <c r="J1425" s="25"/>
      <c r="K1425" s="25"/>
      <c r="L1425" s="24"/>
      <c r="M1425" s="24"/>
      <c r="N1425" s="24"/>
      <c r="O1425" s="24"/>
      <c r="P1425" s="24"/>
      <c r="Q1425" s="24"/>
      <c r="R1425" s="24"/>
      <c r="S1425" s="24"/>
      <c r="T1425" s="24"/>
      <c r="Z1425" s="25"/>
    </row>
    <row r="1426">
      <c r="A1426" s="16"/>
      <c r="B1426" s="17"/>
      <c r="C1426" s="24"/>
      <c r="D1426" s="25"/>
      <c r="E1426" s="24"/>
      <c r="F1426" s="25"/>
      <c r="G1426" s="24"/>
      <c r="H1426" s="25"/>
      <c r="I1426" s="24"/>
      <c r="J1426" s="25"/>
      <c r="K1426" s="25"/>
      <c r="L1426" s="24"/>
      <c r="M1426" s="24"/>
      <c r="N1426" s="24"/>
      <c r="O1426" s="24"/>
      <c r="P1426" s="24"/>
      <c r="Q1426" s="24"/>
      <c r="R1426" s="24"/>
      <c r="S1426" s="24"/>
      <c r="T1426" s="24"/>
      <c r="Z1426" s="25"/>
    </row>
    <row r="1427">
      <c r="A1427" s="16"/>
      <c r="B1427" s="17"/>
      <c r="C1427" s="24"/>
      <c r="D1427" s="25"/>
      <c r="E1427" s="24"/>
      <c r="F1427" s="25"/>
      <c r="G1427" s="24"/>
      <c r="H1427" s="25"/>
      <c r="I1427" s="24"/>
      <c r="J1427" s="25"/>
      <c r="K1427" s="25"/>
      <c r="L1427" s="24"/>
      <c r="M1427" s="24"/>
      <c r="N1427" s="24"/>
      <c r="O1427" s="24"/>
      <c r="P1427" s="24"/>
      <c r="Q1427" s="24"/>
      <c r="R1427" s="24"/>
      <c r="S1427" s="24"/>
      <c r="T1427" s="24"/>
      <c r="Z1427" s="25"/>
    </row>
    <row r="1428">
      <c r="A1428" s="16"/>
      <c r="B1428" s="17"/>
      <c r="C1428" s="24"/>
      <c r="D1428" s="25"/>
      <c r="E1428" s="24"/>
      <c r="F1428" s="25"/>
      <c r="G1428" s="24"/>
      <c r="H1428" s="25"/>
      <c r="I1428" s="24"/>
      <c r="J1428" s="25"/>
      <c r="K1428" s="25"/>
      <c r="L1428" s="24"/>
      <c r="M1428" s="24"/>
      <c r="N1428" s="24"/>
      <c r="O1428" s="24"/>
      <c r="P1428" s="24"/>
      <c r="Q1428" s="24"/>
      <c r="R1428" s="24"/>
      <c r="S1428" s="24"/>
      <c r="T1428" s="24"/>
      <c r="Z1428" s="25"/>
    </row>
    <row r="1429">
      <c r="A1429" s="16"/>
      <c r="B1429" s="17"/>
      <c r="C1429" s="24"/>
      <c r="D1429" s="25"/>
      <c r="E1429" s="24"/>
      <c r="F1429" s="25"/>
      <c r="G1429" s="24"/>
      <c r="H1429" s="25"/>
      <c r="I1429" s="24"/>
      <c r="J1429" s="25"/>
      <c r="K1429" s="25"/>
      <c r="L1429" s="24"/>
      <c r="M1429" s="24"/>
      <c r="N1429" s="24"/>
      <c r="O1429" s="24"/>
      <c r="P1429" s="24"/>
      <c r="Q1429" s="24"/>
      <c r="R1429" s="24"/>
      <c r="S1429" s="24"/>
      <c r="T1429" s="24"/>
      <c r="Z1429" s="25"/>
    </row>
    <row r="1430">
      <c r="A1430" s="16"/>
      <c r="B1430" s="17"/>
      <c r="C1430" s="24"/>
      <c r="D1430" s="25"/>
      <c r="E1430" s="24"/>
      <c r="F1430" s="25"/>
      <c r="G1430" s="24"/>
      <c r="H1430" s="25"/>
      <c r="I1430" s="24"/>
      <c r="J1430" s="25"/>
      <c r="K1430" s="25"/>
      <c r="L1430" s="24"/>
      <c r="M1430" s="24"/>
      <c r="N1430" s="24"/>
      <c r="O1430" s="24"/>
      <c r="P1430" s="24"/>
      <c r="Q1430" s="24"/>
      <c r="R1430" s="24"/>
      <c r="S1430" s="24"/>
      <c r="T1430" s="24"/>
      <c r="Z1430" s="25"/>
    </row>
    <row r="1431">
      <c r="A1431" s="16"/>
      <c r="B1431" s="17"/>
      <c r="C1431" s="24"/>
      <c r="D1431" s="25"/>
      <c r="E1431" s="24"/>
      <c r="F1431" s="25"/>
      <c r="G1431" s="24"/>
      <c r="H1431" s="25"/>
      <c r="I1431" s="24"/>
      <c r="J1431" s="25"/>
      <c r="K1431" s="25"/>
      <c r="L1431" s="24"/>
      <c r="M1431" s="24"/>
      <c r="N1431" s="24"/>
      <c r="O1431" s="24"/>
      <c r="P1431" s="24"/>
      <c r="Q1431" s="24"/>
      <c r="R1431" s="24"/>
      <c r="S1431" s="24"/>
      <c r="T1431" s="24"/>
      <c r="Z1431" s="25"/>
    </row>
    <row r="1432">
      <c r="A1432" s="16"/>
      <c r="B1432" s="17"/>
      <c r="C1432" s="24"/>
      <c r="D1432" s="25"/>
      <c r="E1432" s="24"/>
      <c r="F1432" s="25"/>
      <c r="G1432" s="24"/>
      <c r="H1432" s="25"/>
      <c r="I1432" s="24"/>
      <c r="J1432" s="25"/>
      <c r="K1432" s="25"/>
      <c r="L1432" s="24"/>
      <c r="M1432" s="24"/>
      <c r="N1432" s="24"/>
      <c r="O1432" s="24"/>
      <c r="P1432" s="24"/>
      <c r="Q1432" s="24"/>
      <c r="R1432" s="24"/>
      <c r="S1432" s="24"/>
      <c r="T1432" s="24"/>
      <c r="Z1432" s="25"/>
    </row>
    <row r="1433">
      <c r="A1433" s="16"/>
      <c r="B1433" s="17"/>
      <c r="C1433" s="24"/>
      <c r="D1433" s="25"/>
      <c r="E1433" s="24"/>
      <c r="F1433" s="25"/>
      <c r="G1433" s="24"/>
      <c r="H1433" s="25"/>
      <c r="I1433" s="24"/>
      <c r="J1433" s="25"/>
      <c r="K1433" s="25"/>
      <c r="L1433" s="24"/>
      <c r="M1433" s="24"/>
      <c r="N1433" s="24"/>
      <c r="O1433" s="24"/>
      <c r="P1433" s="24"/>
      <c r="Q1433" s="24"/>
      <c r="R1433" s="24"/>
      <c r="S1433" s="24"/>
      <c r="T1433" s="24"/>
      <c r="Z1433" s="25"/>
    </row>
    <row r="1434">
      <c r="A1434" s="16"/>
      <c r="B1434" s="17"/>
      <c r="C1434" s="24"/>
      <c r="D1434" s="25"/>
      <c r="E1434" s="24"/>
      <c r="F1434" s="25"/>
      <c r="G1434" s="24"/>
      <c r="H1434" s="25"/>
      <c r="I1434" s="24"/>
      <c r="J1434" s="25"/>
      <c r="K1434" s="25"/>
      <c r="L1434" s="24"/>
      <c r="M1434" s="24"/>
      <c r="N1434" s="24"/>
      <c r="O1434" s="24"/>
      <c r="P1434" s="24"/>
      <c r="Q1434" s="24"/>
      <c r="R1434" s="24"/>
      <c r="S1434" s="24"/>
      <c r="T1434" s="24"/>
      <c r="Z1434" s="25"/>
    </row>
    <row r="1435">
      <c r="A1435" s="16"/>
      <c r="B1435" s="17"/>
      <c r="C1435" s="24"/>
      <c r="D1435" s="25"/>
      <c r="E1435" s="24"/>
      <c r="F1435" s="25"/>
      <c r="G1435" s="24"/>
      <c r="H1435" s="25"/>
      <c r="I1435" s="24"/>
      <c r="J1435" s="25"/>
      <c r="K1435" s="25"/>
      <c r="L1435" s="24"/>
      <c r="M1435" s="24"/>
      <c r="N1435" s="24"/>
      <c r="O1435" s="24"/>
      <c r="P1435" s="24"/>
      <c r="Q1435" s="24"/>
      <c r="R1435" s="24"/>
      <c r="S1435" s="24"/>
      <c r="T1435" s="24"/>
      <c r="Z1435" s="25"/>
    </row>
    <row r="1436">
      <c r="A1436" s="16"/>
      <c r="B1436" s="17"/>
      <c r="C1436" s="24"/>
      <c r="D1436" s="25"/>
      <c r="E1436" s="24"/>
      <c r="F1436" s="25"/>
      <c r="G1436" s="24"/>
      <c r="H1436" s="25"/>
      <c r="I1436" s="24"/>
      <c r="J1436" s="25"/>
      <c r="K1436" s="25"/>
      <c r="L1436" s="24"/>
      <c r="M1436" s="24"/>
      <c r="N1436" s="24"/>
      <c r="O1436" s="24"/>
      <c r="P1436" s="24"/>
      <c r="Q1436" s="24"/>
      <c r="R1436" s="24"/>
      <c r="S1436" s="24"/>
      <c r="T1436" s="24"/>
      <c r="Z1436" s="25"/>
    </row>
    <row r="1437">
      <c r="A1437" s="16"/>
      <c r="B1437" s="17"/>
      <c r="C1437" s="24"/>
      <c r="D1437" s="25"/>
      <c r="E1437" s="24"/>
      <c r="F1437" s="25"/>
      <c r="G1437" s="24"/>
      <c r="H1437" s="25"/>
      <c r="I1437" s="24"/>
      <c r="J1437" s="25"/>
      <c r="K1437" s="25"/>
      <c r="L1437" s="24"/>
      <c r="M1437" s="24"/>
      <c r="N1437" s="24"/>
      <c r="O1437" s="24"/>
      <c r="P1437" s="24"/>
      <c r="Q1437" s="24"/>
      <c r="R1437" s="24"/>
      <c r="S1437" s="24"/>
      <c r="T1437" s="24"/>
      <c r="Z1437" s="25"/>
    </row>
    <row r="1438">
      <c r="A1438" s="16"/>
      <c r="B1438" s="17"/>
      <c r="C1438" s="24"/>
      <c r="D1438" s="25"/>
      <c r="E1438" s="24"/>
      <c r="F1438" s="25"/>
      <c r="G1438" s="24"/>
      <c r="H1438" s="25"/>
      <c r="I1438" s="24"/>
      <c r="J1438" s="25"/>
      <c r="K1438" s="25"/>
      <c r="L1438" s="24"/>
      <c r="M1438" s="24"/>
      <c r="N1438" s="24"/>
      <c r="O1438" s="24"/>
      <c r="P1438" s="24"/>
      <c r="Q1438" s="24"/>
      <c r="R1438" s="24"/>
      <c r="S1438" s="24"/>
      <c r="T1438" s="24"/>
      <c r="Z1438" s="25"/>
    </row>
    <row r="1439">
      <c r="A1439" s="16"/>
      <c r="B1439" s="17"/>
      <c r="C1439" s="24"/>
      <c r="D1439" s="25"/>
      <c r="E1439" s="24"/>
      <c r="F1439" s="25"/>
      <c r="G1439" s="24"/>
      <c r="H1439" s="25"/>
      <c r="I1439" s="24"/>
      <c r="J1439" s="25"/>
      <c r="K1439" s="25"/>
      <c r="L1439" s="24"/>
      <c r="M1439" s="24"/>
      <c r="N1439" s="24"/>
      <c r="O1439" s="24"/>
      <c r="P1439" s="24"/>
      <c r="Q1439" s="24"/>
      <c r="R1439" s="24"/>
      <c r="S1439" s="24"/>
      <c r="T1439" s="24"/>
      <c r="Z1439" s="25"/>
    </row>
    <row r="1440">
      <c r="A1440" s="16"/>
      <c r="B1440" s="17"/>
      <c r="C1440" s="24"/>
      <c r="D1440" s="25"/>
      <c r="E1440" s="24"/>
      <c r="F1440" s="25"/>
      <c r="G1440" s="24"/>
      <c r="H1440" s="25"/>
      <c r="I1440" s="24"/>
      <c r="J1440" s="25"/>
      <c r="K1440" s="25"/>
      <c r="L1440" s="24"/>
      <c r="M1440" s="24"/>
      <c r="N1440" s="24"/>
      <c r="O1440" s="24"/>
      <c r="P1440" s="24"/>
      <c r="Q1440" s="24"/>
      <c r="R1440" s="24"/>
      <c r="S1440" s="24"/>
      <c r="T1440" s="24"/>
      <c r="Z1440" s="25"/>
    </row>
    <row r="1441">
      <c r="A1441" s="16"/>
      <c r="B1441" s="17"/>
      <c r="C1441" s="24"/>
      <c r="D1441" s="25"/>
      <c r="E1441" s="24"/>
      <c r="F1441" s="25"/>
      <c r="G1441" s="24"/>
      <c r="H1441" s="25"/>
      <c r="I1441" s="24"/>
      <c r="J1441" s="25"/>
      <c r="K1441" s="25"/>
      <c r="L1441" s="24"/>
      <c r="M1441" s="24"/>
      <c r="N1441" s="24"/>
      <c r="O1441" s="24"/>
      <c r="P1441" s="24"/>
      <c r="Q1441" s="24"/>
      <c r="R1441" s="24"/>
      <c r="S1441" s="24"/>
      <c r="T1441" s="24"/>
      <c r="Z1441" s="25"/>
    </row>
    <row r="1442">
      <c r="A1442" s="16"/>
      <c r="B1442" s="17"/>
      <c r="C1442" s="24"/>
      <c r="D1442" s="25"/>
      <c r="E1442" s="24"/>
      <c r="F1442" s="25"/>
      <c r="G1442" s="24"/>
      <c r="H1442" s="25"/>
      <c r="I1442" s="24"/>
      <c r="J1442" s="25"/>
      <c r="K1442" s="25"/>
      <c r="L1442" s="24"/>
      <c r="M1442" s="24"/>
      <c r="N1442" s="24"/>
      <c r="O1442" s="24"/>
      <c r="P1442" s="24"/>
      <c r="Q1442" s="24"/>
      <c r="R1442" s="24"/>
      <c r="S1442" s="24"/>
      <c r="T1442" s="24"/>
      <c r="Z1442" s="25"/>
    </row>
    <row r="1443">
      <c r="A1443" s="16"/>
      <c r="B1443" s="17"/>
      <c r="C1443" s="24"/>
      <c r="D1443" s="25"/>
      <c r="E1443" s="24"/>
      <c r="F1443" s="25"/>
      <c r="G1443" s="24"/>
      <c r="H1443" s="25"/>
      <c r="I1443" s="24"/>
      <c r="J1443" s="25"/>
      <c r="K1443" s="25"/>
      <c r="L1443" s="24"/>
      <c r="M1443" s="24"/>
      <c r="N1443" s="24"/>
      <c r="O1443" s="24"/>
      <c r="P1443" s="24"/>
      <c r="Q1443" s="24"/>
      <c r="R1443" s="24"/>
      <c r="S1443" s="24"/>
      <c r="T1443" s="24"/>
      <c r="Z1443" s="25"/>
    </row>
    <row r="1444">
      <c r="A1444" s="16"/>
      <c r="B1444" s="17"/>
      <c r="C1444" s="24"/>
      <c r="D1444" s="25"/>
      <c r="E1444" s="24"/>
      <c r="F1444" s="25"/>
      <c r="G1444" s="24"/>
      <c r="H1444" s="25"/>
      <c r="I1444" s="24"/>
      <c r="J1444" s="25"/>
      <c r="K1444" s="25"/>
      <c r="L1444" s="24"/>
      <c r="M1444" s="24"/>
      <c r="N1444" s="24"/>
      <c r="O1444" s="24"/>
      <c r="P1444" s="24"/>
      <c r="Q1444" s="24"/>
      <c r="R1444" s="24"/>
      <c r="S1444" s="24"/>
      <c r="T1444" s="24"/>
      <c r="Z1444" s="25"/>
    </row>
    <row r="1445">
      <c r="A1445" s="16"/>
      <c r="B1445" s="17"/>
      <c r="C1445" s="24"/>
      <c r="D1445" s="25"/>
      <c r="E1445" s="24"/>
      <c r="F1445" s="25"/>
      <c r="G1445" s="24"/>
      <c r="H1445" s="25"/>
      <c r="I1445" s="24"/>
      <c r="J1445" s="25"/>
      <c r="K1445" s="25"/>
      <c r="L1445" s="24"/>
      <c r="M1445" s="24"/>
      <c r="N1445" s="24"/>
      <c r="O1445" s="24"/>
      <c r="P1445" s="24"/>
      <c r="Q1445" s="24"/>
      <c r="R1445" s="24"/>
      <c r="S1445" s="24"/>
      <c r="T1445" s="24"/>
      <c r="Z1445" s="25"/>
    </row>
    <row r="1446">
      <c r="A1446" s="16"/>
      <c r="B1446" s="17"/>
      <c r="C1446" s="24"/>
      <c r="D1446" s="25"/>
      <c r="E1446" s="24"/>
      <c r="F1446" s="25"/>
      <c r="G1446" s="24"/>
      <c r="H1446" s="25"/>
      <c r="I1446" s="24"/>
      <c r="J1446" s="25"/>
      <c r="K1446" s="25"/>
      <c r="L1446" s="24"/>
      <c r="M1446" s="24"/>
      <c r="N1446" s="24"/>
      <c r="O1446" s="24"/>
      <c r="P1446" s="24"/>
      <c r="Q1446" s="24"/>
      <c r="R1446" s="24"/>
      <c r="S1446" s="24"/>
      <c r="T1446" s="24"/>
      <c r="Z1446" s="25"/>
    </row>
    <row r="1447">
      <c r="A1447" s="16"/>
      <c r="B1447" s="17"/>
      <c r="C1447" s="24"/>
      <c r="D1447" s="25"/>
      <c r="E1447" s="24"/>
      <c r="F1447" s="25"/>
      <c r="G1447" s="24"/>
      <c r="H1447" s="25"/>
      <c r="I1447" s="24"/>
      <c r="J1447" s="25"/>
      <c r="K1447" s="25"/>
      <c r="L1447" s="24"/>
      <c r="M1447" s="24"/>
      <c r="N1447" s="24"/>
      <c r="O1447" s="24"/>
      <c r="P1447" s="24"/>
      <c r="Q1447" s="24"/>
      <c r="R1447" s="24"/>
      <c r="S1447" s="24"/>
      <c r="T1447" s="24"/>
      <c r="Z1447" s="25"/>
    </row>
    <row r="1448">
      <c r="A1448" s="16"/>
      <c r="B1448" s="17"/>
      <c r="C1448" s="24"/>
      <c r="D1448" s="25"/>
      <c r="E1448" s="24"/>
      <c r="F1448" s="25"/>
      <c r="G1448" s="24"/>
      <c r="H1448" s="25"/>
      <c r="I1448" s="24"/>
      <c r="J1448" s="25"/>
      <c r="K1448" s="25"/>
      <c r="L1448" s="24"/>
      <c r="M1448" s="24"/>
      <c r="N1448" s="24"/>
      <c r="O1448" s="24"/>
      <c r="P1448" s="24"/>
      <c r="Q1448" s="24"/>
      <c r="R1448" s="24"/>
      <c r="S1448" s="24"/>
      <c r="T1448" s="24"/>
      <c r="Z1448" s="25"/>
    </row>
    <row r="1449">
      <c r="A1449" s="16"/>
      <c r="B1449" s="17"/>
      <c r="C1449" s="24"/>
      <c r="D1449" s="25"/>
      <c r="E1449" s="24"/>
      <c r="F1449" s="25"/>
      <c r="G1449" s="24"/>
      <c r="H1449" s="25"/>
      <c r="I1449" s="24"/>
      <c r="J1449" s="25"/>
      <c r="K1449" s="25"/>
      <c r="L1449" s="24"/>
      <c r="M1449" s="24"/>
      <c r="N1449" s="24"/>
      <c r="O1449" s="24"/>
      <c r="P1449" s="24"/>
      <c r="Q1449" s="24"/>
      <c r="R1449" s="24"/>
      <c r="S1449" s="24"/>
      <c r="T1449" s="24"/>
      <c r="Z1449" s="25"/>
    </row>
    <row r="1450">
      <c r="A1450" s="16"/>
      <c r="B1450" s="17"/>
      <c r="C1450" s="24"/>
      <c r="D1450" s="25"/>
      <c r="E1450" s="24"/>
      <c r="F1450" s="25"/>
      <c r="G1450" s="24"/>
      <c r="H1450" s="25"/>
      <c r="I1450" s="24"/>
      <c r="J1450" s="25"/>
      <c r="K1450" s="25"/>
      <c r="L1450" s="24"/>
      <c r="M1450" s="24"/>
      <c r="N1450" s="24"/>
      <c r="O1450" s="24"/>
      <c r="P1450" s="24"/>
      <c r="Q1450" s="24"/>
      <c r="R1450" s="24"/>
      <c r="S1450" s="24"/>
      <c r="T1450" s="24"/>
      <c r="Z1450" s="25"/>
    </row>
    <row r="1451">
      <c r="A1451" s="16"/>
      <c r="B1451" s="17"/>
      <c r="C1451" s="24"/>
      <c r="D1451" s="25"/>
      <c r="E1451" s="24"/>
      <c r="F1451" s="25"/>
      <c r="G1451" s="24"/>
      <c r="H1451" s="25"/>
      <c r="I1451" s="24"/>
      <c r="J1451" s="25"/>
      <c r="K1451" s="25"/>
      <c r="L1451" s="24"/>
      <c r="M1451" s="24"/>
      <c r="N1451" s="24"/>
      <c r="O1451" s="24"/>
      <c r="P1451" s="24"/>
      <c r="Q1451" s="24"/>
      <c r="R1451" s="24"/>
      <c r="S1451" s="24"/>
      <c r="T1451" s="24"/>
      <c r="Z1451" s="25"/>
    </row>
    <row r="1452">
      <c r="A1452" s="16"/>
      <c r="B1452" s="17"/>
      <c r="C1452" s="24"/>
      <c r="D1452" s="25"/>
      <c r="E1452" s="24"/>
      <c r="F1452" s="25"/>
      <c r="G1452" s="24"/>
      <c r="H1452" s="25"/>
      <c r="I1452" s="24"/>
      <c r="J1452" s="25"/>
      <c r="K1452" s="25"/>
      <c r="L1452" s="24"/>
      <c r="M1452" s="24"/>
      <c r="N1452" s="24"/>
      <c r="O1452" s="24"/>
      <c r="P1452" s="24"/>
      <c r="Q1452" s="24"/>
      <c r="R1452" s="24"/>
      <c r="S1452" s="24"/>
      <c r="T1452" s="24"/>
      <c r="Z1452" s="25"/>
    </row>
    <row r="1453">
      <c r="A1453" s="16"/>
      <c r="B1453" s="17"/>
      <c r="C1453" s="24"/>
      <c r="D1453" s="25"/>
      <c r="E1453" s="24"/>
      <c r="F1453" s="25"/>
      <c r="G1453" s="24"/>
      <c r="H1453" s="25"/>
      <c r="I1453" s="24"/>
      <c r="J1453" s="25"/>
      <c r="K1453" s="25"/>
      <c r="L1453" s="24"/>
      <c r="M1453" s="24"/>
      <c r="N1453" s="24"/>
      <c r="O1453" s="24"/>
      <c r="P1453" s="24"/>
      <c r="Q1453" s="24"/>
      <c r="R1453" s="24"/>
      <c r="S1453" s="24"/>
      <c r="T1453" s="24"/>
      <c r="Z1453" s="25"/>
    </row>
    <row r="1454">
      <c r="A1454" s="16"/>
      <c r="B1454" s="17"/>
      <c r="C1454" s="24"/>
      <c r="D1454" s="25"/>
      <c r="E1454" s="24"/>
      <c r="F1454" s="25"/>
      <c r="G1454" s="24"/>
      <c r="H1454" s="25"/>
      <c r="I1454" s="24"/>
      <c r="J1454" s="25"/>
      <c r="K1454" s="25"/>
      <c r="L1454" s="24"/>
      <c r="M1454" s="24"/>
      <c r="N1454" s="24"/>
      <c r="O1454" s="24"/>
      <c r="P1454" s="24"/>
      <c r="Q1454" s="24"/>
      <c r="R1454" s="24"/>
      <c r="S1454" s="24"/>
      <c r="T1454" s="24"/>
      <c r="Z1454" s="25"/>
    </row>
    <row r="1455">
      <c r="A1455" s="16"/>
      <c r="B1455" s="17"/>
      <c r="C1455" s="24"/>
      <c r="D1455" s="25"/>
      <c r="E1455" s="24"/>
      <c r="F1455" s="25"/>
      <c r="G1455" s="24"/>
      <c r="H1455" s="25"/>
      <c r="I1455" s="24"/>
      <c r="J1455" s="25"/>
      <c r="K1455" s="25"/>
      <c r="L1455" s="24"/>
      <c r="M1455" s="24"/>
      <c r="N1455" s="24"/>
      <c r="O1455" s="24"/>
      <c r="P1455" s="24"/>
      <c r="Q1455" s="24"/>
      <c r="R1455" s="24"/>
      <c r="S1455" s="24"/>
      <c r="T1455" s="24"/>
      <c r="Z1455" s="25"/>
    </row>
    <row r="1456">
      <c r="A1456" s="16"/>
      <c r="B1456" s="17"/>
      <c r="C1456" s="24"/>
      <c r="D1456" s="25"/>
      <c r="E1456" s="24"/>
      <c r="F1456" s="25"/>
      <c r="G1456" s="24"/>
      <c r="H1456" s="25"/>
      <c r="I1456" s="24"/>
      <c r="J1456" s="25"/>
      <c r="K1456" s="25"/>
      <c r="L1456" s="24"/>
      <c r="M1456" s="24"/>
      <c r="N1456" s="24"/>
      <c r="O1456" s="24"/>
      <c r="P1456" s="24"/>
      <c r="Q1456" s="24"/>
      <c r="R1456" s="24"/>
      <c r="S1456" s="24"/>
      <c r="T1456" s="24"/>
      <c r="Z1456" s="25"/>
    </row>
    <row r="1457">
      <c r="A1457" s="16"/>
      <c r="B1457" s="17"/>
      <c r="C1457" s="24"/>
      <c r="D1457" s="25"/>
      <c r="E1457" s="24"/>
      <c r="F1457" s="25"/>
      <c r="G1457" s="24"/>
      <c r="H1457" s="25"/>
      <c r="I1457" s="24"/>
      <c r="J1457" s="25"/>
      <c r="K1457" s="25"/>
      <c r="L1457" s="24"/>
      <c r="M1457" s="24"/>
      <c r="N1457" s="24"/>
      <c r="O1457" s="24"/>
      <c r="P1457" s="24"/>
      <c r="Q1457" s="24"/>
      <c r="R1457" s="24"/>
      <c r="S1457" s="24"/>
      <c r="T1457" s="24"/>
      <c r="Z1457" s="25"/>
    </row>
    <row r="1458">
      <c r="A1458" s="16"/>
      <c r="B1458" s="17"/>
      <c r="C1458" s="24"/>
      <c r="D1458" s="25"/>
      <c r="E1458" s="24"/>
      <c r="F1458" s="25"/>
      <c r="G1458" s="24"/>
      <c r="H1458" s="25"/>
      <c r="I1458" s="24"/>
      <c r="J1458" s="25"/>
      <c r="K1458" s="25"/>
      <c r="L1458" s="24"/>
      <c r="M1458" s="24"/>
      <c r="N1458" s="24"/>
      <c r="O1458" s="24"/>
      <c r="P1458" s="24"/>
      <c r="Q1458" s="24"/>
      <c r="R1458" s="24"/>
      <c r="S1458" s="24"/>
      <c r="T1458" s="24"/>
      <c r="Z1458" s="25"/>
    </row>
    <row r="1459">
      <c r="A1459" s="16"/>
      <c r="B1459" s="17"/>
      <c r="C1459" s="24"/>
      <c r="D1459" s="25"/>
      <c r="E1459" s="24"/>
      <c r="F1459" s="25"/>
      <c r="G1459" s="24"/>
      <c r="H1459" s="25"/>
      <c r="I1459" s="24"/>
      <c r="J1459" s="25"/>
      <c r="K1459" s="25"/>
      <c r="L1459" s="24"/>
      <c r="M1459" s="24"/>
      <c r="N1459" s="24"/>
      <c r="O1459" s="24"/>
      <c r="P1459" s="24"/>
      <c r="Q1459" s="24"/>
      <c r="R1459" s="24"/>
      <c r="S1459" s="24"/>
      <c r="T1459" s="24"/>
      <c r="Z1459" s="25"/>
    </row>
    <row r="1460">
      <c r="A1460" s="16"/>
      <c r="B1460" s="17"/>
      <c r="C1460" s="24"/>
      <c r="D1460" s="25"/>
      <c r="E1460" s="24"/>
      <c r="F1460" s="25"/>
      <c r="G1460" s="24"/>
      <c r="H1460" s="25"/>
      <c r="I1460" s="24"/>
      <c r="J1460" s="25"/>
      <c r="K1460" s="25"/>
      <c r="L1460" s="24"/>
      <c r="M1460" s="24"/>
      <c r="N1460" s="24"/>
      <c r="O1460" s="24"/>
      <c r="P1460" s="24"/>
      <c r="Q1460" s="24"/>
      <c r="R1460" s="24"/>
      <c r="S1460" s="24"/>
      <c r="T1460" s="24"/>
      <c r="Z1460" s="25"/>
    </row>
    <row r="1461">
      <c r="A1461" s="16"/>
      <c r="B1461" s="17"/>
      <c r="C1461" s="24"/>
      <c r="D1461" s="25"/>
      <c r="E1461" s="24"/>
      <c r="F1461" s="25"/>
      <c r="G1461" s="24"/>
      <c r="H1461" s="25"/>
      <c r="I1461" s="24"/>
      <c r="J1461" s="25"/>
      <c r="K1461" s="25"/>
      <c r="L1461" s="24"/>
      <c r="M1461" s="24"/>
      <c r="N1461" s="24"/>
      <c r="O1461" s="24"/>
      <c r="P1461" s="24"/>
      <c r="Q1461" s="24"/>
      <c r="R1461" s="24"/>
      <c r="S1461" s="24"/>
      <c r="T1461" s="24"/>
      <c r="Z1461" s="25"/>
    </row>
    <row r="1462">
      <c r="A1462" s="16"/>
      <c r="B1462" s="17"/>
      <c r="C1462" s="24"/>
      <c r="D1462" s="25"/>
      <c r="E1462" s="24"/>
      <c r="F1462" s="25"/>
      <c r="G1462" s="24"/>
      <c r="H1462" s="25"/>
      <c r="I1462" s="24"/>
      <c r="J1462" s="25"/>
      <c r="K1462" s="25"/>
      <c r="L1462" s="24"/>
      <c r="M1462" s="24"/>
      <c r="N1462" s="24"/>
      <c r="O1462" s="24"/>
      <c r="P1462" s="24"/>
      <c r="Q1462" s="24"/>
      <c r="R1462" s="24"/>
      <c r="S1462" s="24"/>
      <c r="T1462" s="24"/>
      <c r="Z1462" s="25"/>
    </row>
    <row r="1463">
      <c r="A1463" s="16"/>
      <c r="B1463" s="17"/>
      <c r="C1463" s="24"/>
      <c r="D1463" s="25"/>
      <c r="E1463" s="24"/>
      <c r="F1463" s="25"/>
      <c r="G1463" s="24"/>
      <c r="H1463" s="25"/>
      <c r="I1463" s="24"/>
      <c r="J1463" s="25"/>
      <c r="K1463" s="25"/>
      <c r="L1463" s="24"/>
      <c r="M1463" s="24"/>
      <c r="N1463" s="24"/>
      <c r="O1463" s="24"/>
      <c r="P1463" s="24"/>
      <c r="Q1463" s="24"/>
      <c r="R1463" s="24"/>
      <c r="S1463" s="24"/>
      <c r="T1463" s="24"/>
      <c r="Z1463" s="25"/>
    </row>
    <row r="1464">
      <c r="A1464" s="16"/>
      <c r="B1464" s="17"/>
      <c r="C1464" s="24"/>
      <c r="D1464" s="25"/>
      <c r="E1464" s="24"/>
      <c r="F1464" s="25"/>
      <c r="G1464" s="24"/>
      <c r="H1464" s="25"/>
      <c r="I1464" s="24"/>
      <c r="J1464" s="25"/>
      <c r="K1464" s="25"/>
      <c r="L1464" s="24"/>
      <c r="M1464" s="24"/>
      <c r="N1464" s="24"/>
      <c r="O1464" s="24"/>
      <c r="P1464" s="24"/>
      <c r="Q1464" s="24"/>
      <c r="R1464" s="24"/>
      <c r="S1464" s="24"/>
      <c r="T1464" s="24"/>
      <c r="Z1464" s="25"/>
    </row>
    <row r="1465">
      <c r="A1465" s="16"/>
      <c r="B1465" s="17"/>
      <c r="C1465" s="24"/>
      <c r="D1465" s="25"/>
      <c r="E1465" s="24"/>
      <c r="F1465" s="25"/>
      <c r="G1465" s="24"/>
      <c r="H1465" s="25"/>
      <c r="I1465" s="24"/>
      <c r="J1465" s="25"/>
      <c r="K1465" s="25"/>
      <c r="L1465" s="24"/>
      <c r="M1465" s="24"/>
      <c r="N1465" s="24"/>
      <c r="O1465" s="24"/>
      <c r="P1465" s="24"/>
      <c r="Q1465" s="24"/>
      <c r="R1465" s="24"/>
      <c r="S1465" s="24"/>
      <c r="T1465" s="24"/>
      <c r="Z1465" s="25"/>
    </row>
    <row r="1466">
      <c r="A1466" s="16"/>
      <c r="B1466" s="17"/>
      <c r="C1466" s="24"/>
      <c r="D1466" s="25"/>
      <c r="E1466" s="24"/>
      <c r="F1466" s="25"/>
      <c r="G1466" s="24"/>
      <c r="H1466" s="25"/>
      <c r="I1466" s="24"/>
      <c r="J1466" s="25"/>
      <c r="K1466" s="25"/>
      <c r="L1466" s="24"/>
      <c r="M1466" s="24"/>
      <c r="N1466" s="24"/>
      <c r="O1466" s="24"/>
      <c r="P1466" s="24"/>
      <c r="Q1466" s="24"/>
      <c r="R1466" s="24"/>
      <c r="S1466" s="24"/>
      <c r="T1466" s="24"/>
      <c r="Z1466" s="25"/>
    </row>
    <row r="1467">
      <c r="A1467" s="16"/>
      <c r="B1467" s="17"/>
      <c r="C1467" s="24"/>
      <c r="D1467" s="25"/>
      <c r="E1467" s="24"/>
      <c r="F1467" s="25"/>
      <c r="G1467" s="24"/>
      <c r="H1467" s="25"/>
      <c r="I1467" s="24"/>
      <c r="J1467" s="25"/>
      <c r="K1467" s="25"/>
      <c r="L1467" s="24"/>
      <c r="M1467" s="24"/>
      <c r="N1467" s="24"/>
      <c r="O1467" s="24"/>
      <c r="P1467" s="24"/>
      <c r="Q1467" s="24"/>
      <c r="R1467" s="24"/>
      <c r="S1467" s="24"/>
      <c r="T1467" s="24"/>
      <c r="Z1467" s="25"/>
    </row>
    <row r="1468">
      <c r="A1468" s="16"/>
      <c r="B1468" s="17"/>
      <c r="C1468" s="24"/>
      <c r="D1468" s="25"/>
      <c r="E1468" s="24"/>
      <c r="F1468" s="25"/>
      <c r="G1468" s="24"/>
      <c r="H1468" s="25"/>
      <c r="I1468" s="24"/>
      <c r="J1468" s="25"/>
      <c r="K1468" s="25"/>
      <c r="L1468" s="24"/>
      <c r="M1468" s="24"/>
      <c r="N1468" s="24"/>
      <c r="O1468" s="24"/>
      <c r="P1468" s="24"/>
      <c r="Q1468" s="24"/>
      <c r="R1468" s="24"/>
      <c r="S1468" s="24"/>
      <c r="T1468" s="24"/>
      <c r="Z1468" s="25"/>
    </row>
    <row r="1469">
      <c r="A1469" s="16"/>
      <c r="B1469" s="17"/>
      <c r="C1469" s="24"/>
      <c r="D1469" s="25"/>
      <c r="E1469" s="24"/>
      <c r="F1469" s="25"/>
      <c r="G1469" s="24"/>
      <c r="H1469" s="25"/>
      <c r="I1469" s="24"/>
      <c r="J1469" s="25"/>
      <c r="K1469" s="25"/>
      <c r="L1469" s="24"/>
      <c r="M1469" s="24"/>
      <c r="N1469" s="24"/>
      <c r="O1469" s="24"/>
      <c r="P1469" s="24"/>
      <c r="Q1469" s="24"/>
      <c r="R1469" s="24"/>
      <c r="S1469" s="24"/>
      <c r="T1469" s="24"/>
      <c r="Z1469" s="25"/>
    </row>
    <row r="1470">
      <c r="A1470" s="16"/>
      <c r="B1470" s="17"/>
      <c r="C1470" s="24"/>
      <c r="D1470" s="25"/>
      <c r="E1470" s="24"/>
      <c r="F1470" s="25"/>
      <c r="G1470" s="24"/>
      <c r="H1470" s="25"/>
      <c r="I1470" s="24"/>
      <c r="J1470" s="25"/>
      <c r="K1470" s="25"/>
      <c r="L1470" s="24"/>
      <c r="M1470" s="24"/>
      <c r="N1470" s="24"/>
      <c r="O1470" s="24"/>
      <c r="P1470" s="24"/>
      <c r="Q1470" s="24"/>
      <c r="R1470" s="24"/>
      <c r="S1470" s="24"/>
      <c r="T1470" s="24"/>
      <c r="Z1470" s="25"/>
    </row>
    <row r="1471">
      <c r="A1471" s="16"/>
      <c r="B1471" s="17"/>
      <c r="C1471" s="24"/>
      <c r="D1471" s="25"/>
      <c r="E1471" s="24"/>
      <c r="F1471" s="25"/>
      <c r="G1471" s="24"/>
      <c r="H1471" s="25"/>
      <c r="I1471" s="24"/>
      <c r="J1471" s="25"/>
      <c r="K1471" s="25"/>
      <c r="L1471" s="24"/>
      <c r="M1471" s="24"/>
      <c r="N1471" s="24"/>
      <c r="O1471" s="24"/>
      <c r="P1471" s="24"/>
      <c r="Q1471" s="24"/>
      <c r="R1471" s="24"/>
      <c r="S1471" s="24"/>
      <c r="T1471" s="24"/>
      <c r="Z1471" s="25"/>
    </row>
    <row r="1472">
      <c r="A1472" s="16"/>
      <c r="B1472" s="17"/>
      <c r="C1472" s="24"/>
      <c r="D1472" s="25"/>
      <c r="E1472" s="24"/>
      <c r="F1472" s="25"/>
      <c r="G1472" s="24"/>
      <c r="H1472" s="25"/>
      <c r="I1472" s="24"/>
      <c r="J1472" s="25"/>
      <c r="K1472" s="25"/>
      <c r="L1472" s="24"/>
      <c r="M1472" s="24"/>
      <c r="N1472" s="24"/>
      <c r="O1472" s="24"/>
      <c r="P1472" s="24"/>
      <c r="Q1472" s="24"/>
      <c r="R1472" s="24"/>
      <c r="S1472" s="24"/>
      <c r="T1472" s="24"/>
      <c r="Z1472" s="25"/>
    </row>
    <row r="1473">
      <c r="A1473" s="16"/>
      <c r="B1473" s="17"/>
      <c r="C1473" s="24"/>
      <c r="D1473" s="25"/>
      <c r="E1473" s="24"/>
      <c r="F1473" s="25"/>
      <c r="G1473" s="24"/>
      <c r="H1473" s="25"/>
      <c r="I1473" s="24"/>
      <c r="J1473" s="25"/>
      <c r="K1473" s="25"/>
      <c r="L1473" s="24"/>
      <c r="M1473" s="24"/>
      <c r="N1473" s="24"/>
      <c r="O1473" s="24"/>
      <c r="P1473" s="24"/>
      <c r="Q1473" s="24"/>
      <c r="R1473" s="24"/>
      <c r="S1473" s="24"/>
      <c r="T1473" s="24"/>
      <c r="Z1473" s="25"/>
    </row>
    <row r="1474">
      <c r="A1474" s="16"/>
      <c r="B1474" s="17"/>
      <c r="C1474" s="24"/>
      <c r="D1474" s="25"/>
      <c r="E1474" s="24"/>
      <c r="F1474" s="25"/>
      <c r="G1474" s="24"/>
      <c r="H1474" s="25"/>
      <c r="I1474" s="24"/>
      <c r="J1474" s="25"/>
      <c r="K1474" s="25"/>
      <c r="L1474" s="24"/>
      <c r="M1474" s="24"/>
      <c r="N1474" s="24"/>
      <c r="O1474" s="24"/>
      <c r="P1474" s="24"/>
      <c r="Q1474" s="24"/>
      <c r="R1474" s="24"/>
      <c r="S1474" s="24"/>
      <c r="T1474" s="24"/>
      <c r="Z1474" s="25"/>
    </row>
    <row r="1475">
      <c r="A1475" s="16"/>
      <c r="B1475" s="17"/>
      <c r="C1475" s="24"/>
      <c r="D1475" s="25"/>
      <c r="E1475" s="24"/>
      <c r="F1475" s="25"/>
      <c r="G1475" s="24"/>
      <c r="H1475" s="25"/>
      <c r="I1475" s="24"/>
      <c r="J1475" s="25"/>
      <c r="K1475" s="25"/>
      <c r="L1475" s="24"/>
      <c r="M1475" s="24"/>
      <c r="N1475" s="24"/>
      <c r="O1475" s="24"/>
      <c r="P1475" s="24"/>
      <c r="Q1475" s="24"/>
      <c r="R1475" s="24"/>
      <c r="S1475" s="24"/>
      <c r="T1475" s="24"/>
      <c r="Z1475" s="25"/>
    </row>
    <row r="1476">
      <c r="A1476" s="16"/>
      <c r="B1476" s="17"/>
      <c r="C1476" s="24"/>
      <c r="D1476" s="25"/>
      <c r="E1476" s="24"/>
      <c r="F1476" s="25"/>
      <c r="G1476" s="24"/>
      <c r="H1476" s="25"/>
      <c r="I1476" s="24"/>
      <c r="J1476" s="25"/>
      <c r="K1476" s="25"/>
      <c r="L1476" s="24"/>
      <c r="M1476" s="24"/>
      <c r="N1476" s="24"/>
      <c r="O1476" s="24"/>
      <c r="P1476" s="24"/>
      <c r="Q1476" s="24"/>
      <c r="R1476" s="24"/>
      <c r="S1476" s="24"/>
      <c r="T1476" s="24"/>
      <c r="Z1476" s="25"/>
    </row>
    <row r="1477">
      <c r="A1477" s="16"/>
      <c r="B1477" s="17"/>
      <c r="C1477" s="24"/>
      <c r="D1477" s="25"/>
      <c r="E1477" s="24"/>
      <c r="F1477" s="25"/>
      <c r="G1477" s="24"/>
      <c r="H1477" s="25"/>
      <c r="I1477" s="24"/>
      <c r="J1477" s="25"/>
      <c r="K1477" s="25"/>
      <c r="L1477" s="24"/>
      <c r="M1477" s="24"/>
      <c r="N1477" s="24"/>
      <c r="O1477" s="24"/>
      <c r="P1477" s="24"/>
      <c r="Q1477" s="24"/>
      <c r="R1477" s="24"/>
      <c r="S1477" s="24"/>
      <c r="T1477" s="24"/>
      <c r="Z1477" s="25"/>
    </row>
    <row r="1478">
      <c r="A1478" s="16"/>
      <c r="B1478" s="17"/>
      <c r="C1478" s="24"/>
      <c r="D1478" s="25"/>
      <c r="E1478" s="24"/>
      <c r="F1478" s="25"/>
      <c r="G1478" s="24"/>
      <c r="H1478" s="25"/>
      <c r="I1478" s="24"/>
      <c r="J1478" s="25"/>
      <c r="K1478" s="25"/>
      <c r="L1478" s="24"/>
      <c r="M1478" s="24"/>
      <c r="N1478" s="24"/>
      <c r="O1478" s="24"/>
      <c r="P1478" s="24"/>
      <c r="Q1478" s="24"/>
      <c r="R1478" s="24"/>
      <c r="S1478" s="24"/>
      <c r="T1478" s="24"/>
      <c r="Z1478" s="25"/>
    </row>
    <row r="1479">
      <c r="A1479" s="16"/>
      <c r="B1479" s="17"/>
      <c r="C1479" s="24"/>
      <c r="D1479" s="25"/>
      <c r="E1479" s="24"/>
      <c r="F1479" s="25"/>
      <c r="G1479" s="24"/>
      <c r="H1479" s="25"/>
      <c r="I1479" s="24"/>
      <c r="J1479" s="25"/>
      <c r="K1479" s="25"/>
      <c r="L1479" s="24"/>
      <c r="M1479" s="24"/>
      <c r="N1479" s="24"/>
      <c r="O1479" s="24"/>
      <c r="P1479" s="24"/>
      <c r="Q1479" s="24"/>
      <c r="R1479" s="24"/>
      <c r="S1479" s="24"/>
      <c r="T1479" s="24"/>
      <c r="Z1479" s="25"/>
    </row>
    <row r="1480">
      <c r="A1480" s="16"/>
      <c r="B1480" s="17"/>
      <c r="C1480" s="24"/>
      <c r="D1480" s="25"/>
      <c r="E1480" s="24"/>
      <c r="F1480" s="25"/>
      <c r="G1480" s="24"/>
      <c r="H1480" s="25"/>
      <c r="I1480" s="24"/>
      <c r="J1480" s="25"/>
      <c r="K1480" s="25"/>
      <c r="L1480" s="24"/>
      <c r="M1480" s="24"/>
      <c r="N1480" s="24"/>
      <c r="O1480" s="24"/>
      <c r="P1480" s="24"/>
      <c r="Q1480" s="24"/>
      <c r="R1480" s="24"/>
      <c r="S1480" s="24"/>
      <c r="T1480" s="24"/>
      <c r="Z1480" s="25"/>
    </row>
    <row r="1481">
      <c r="A1481" s="16"/>
      <c r="B1481" s="17"/>
      <c r="C1481" s="24"/>
      <c r="D1481" s="25"/>
      <c r="E1481" s="24"/>
      <c r="F1481" s="25"/>
      <c r="G1481" s="24"/>
      <c r="H1481" s="25"/>
      <c r="I1481" s="24"/>
      <c r="J1481" s="25"/>
      <c r="K1481" s="25"/>
      <c r="L1481" s="24"/>
      <c r="M1481" s="24"/>
      <c r="N1481" s="24"/>
      <c r="O1481" s="24"/>
      <c r="P1481" s="24"/>
      <c r="Q1481" s="24"/>
      <c r="R1481" s="24"/>
      <c r="S1481" s="24"/>
      <c r="T1481" s="24"/>
      <c r="Z1481" s="25"/>
    </row>
    <row r="1482">
      <c r="A1482" s="16"/>
      <c r="B1482" s="17"/>
      <c r="C1482" s="24"/>
      <c r="D1482" s="25"/>
      <c r="E1482" s="24"/>
      <c r="F1482" s="25"/>
      <c r="G1482" s="24"/>
      <c r="H1482" s="25"/>
      <c r="I1482" s="24"/>
      <c r="J1482" s="25"/>
      <c r="K1482" s="25"/>
      <c r="L1482" s="24"/>
      <c r="M1482" s="24"/>
      <c r="N1482" s="24"/>
      <c r="O1482" s="24"/>
      <c r="P1482" s="24"/>
      <c r="Q1482" s="24"/>
      <c r="R1482" s="24"/>
      <c r="S1482" s="24"/>
      <c r="T1482" s="24"/>
      <c r="Z1482" s="25"/>
    </row>
    <row r="1483">
      <c r="A1483" s="16"/>
      <c r="B1483" s="17"/>
      <c r="C1483" s="24"/>
      <c r="D1483" s="25"/>
      <c r="E1483" s="24"/>
      <c r="F1483" s="25"/>
      <c r="G1483" s="24"/>
      <c r="H1483" s="25"/>
      <c r="I1483" s="24"/>
      <c r="J1483" s="25"/>
      <c r="K1483" s="25"/>
      <c r="L1483" s="24"/>
      <c r="M1483" s="24"/>
      <c r="N1483" s="24"/>
      <c r="O1483" s="24"/>
      <c r="P1483" s="24"/>
      <c r="Q1483" s="24"/>
      <c r="R1483" s="24"/>
      <c r="S1483" s="24"/>
      <c r="T1483" s="24"/>
      <c r="Z1483" s="25"/>
    </row>
    <row r="1484">
      <c r="A1484" s="16"/>
      <c r="B1484" s="17"/>
      <c r="C1484" s="24"/>
      <c r="D1484" s="25"/>
      <c r="E1484" s="24"/>
      <c r="F1484" s="25"/>
      <c r="G1484" s="24"/>
      <c r="H1484" s="25"/>
      <c r="I1484" s="24"/>
      <c r="J1484" s="25"/>
      <c r="K1484" s="25"/>
      <c r="L1484" s="24"/>
      <c r="M1484" s="24"/>
      <c r="N1484" s="24"/>
      <c r="O1484" s="24"/>
      <c r="P1484" s="24"/>
      <c r="Q1484" s="24"/>
      <c r="R1484" s="24"/>
      <c r="S1484" s="24"/>
      <c r="T1484" s="24"/>
      <c r="Z1484" s="25"/>
    </row>
    <row r="1485">
      <c r="A1485" s="16"/>
      <c r="B1485" s="17"/>
      <c r="C1485" s="24"/>
      <c r="D1485" s="25"/>
      <c r="E1485" s="24"/>
      <c r="F1485" s="25"/>
      <c r="G1485" s="24"/>
      <c r="H1485" s="25"/>
      <c r="I1485" s="24"/>
      <c r="J1485" s="25"/>
      <c r="K1485" s="25"/>
      <c r="L1485" s="24"/>
      <c r="M1485" s="24"/>
      <c r="N1485" s="24"/>
      <c r="O1485" s="24"/>
      <c r="P1485" s="24"/>
      <c r="Q1485" s="24"/>
      <c r="R1485" s="24"/>
      <c r="S1485" s="24"/>
      <c r="T1485" s="24"/>
      <c r="Z1485" s="25"/>
    </row>
    <row r="1486">
      <c r="A1486" s="16"/>
      <c r="B1486" s="17"/>
      <c r="C1486" s="24"/>
      <c r="D1486" s="25"/>
      <c r="E1486" s="24"/>
      <c r="F1486" s="25"/>
      <c r="G1486" s="24"/>
      <c r="H1486" s="25"/>
      <c r="I1486" s="24"/>
      <c r="J1486" s="25"/>
      <c r="K1486" s="25"/>
      <c r="L1486" s="24"/>
      <c r="M1486" s="24"/>
      <c r="N1486" s="24"/>
      <c r="O1486" s="24"/>
      <c r="P1486" s="24"/>
      <c r="Q1486" s="24"/>
      <c r="R1486" s="24"/>
      <c r="S1486" s="24"/>
      <c r="T1486" s="24"/>
      <c r="Z1486" s="25"/>
    </row>
    <row r="1487">
      <c r="A1487" s="16"/>
      <c r="B1487" s="17"/>
      <c r="C1487" s="24"/>
      <c r="D1487" s="25"/>
      <c r="E1487" s="24"/>
      <c r="F1487" s="25"/>
      <c r="G1487" s="24"/>
      <c r="H1487" s="25"/>
      <c r="I1487" s="24"/>
      <c r="J1487" s="25"/>
      <c r="K1487" s="25"/>
      <c r="L1487" s="24"/>
      <c r="M1487" s="24"/>
      <c r="N1487" s="24"/>
      <c r="O1487" s="24"/>
      <c r="P1487" s="24"/>
      <c r="Q1487" s="24"/>
      <c r="R1487" s="24"/>
      <c r="S1487" s="24"/>
      <c r="T1487" s="24"/>
      <c r="Z1487" s="25"/>
    </row>
    <row r="1488">
      <c r="A1488" s="16"/>
      <c r="B1488" s="17"/>
      <c r="C1488" s="24"/>
      <c r="D1488" s="25"/>
      <c r="E1488" s="24"/>
      <c r="F1488" s="25"/>
      <c r="G1488" s="24"/>
      <c r="H1488" s="25"/>
      <c r="I1488" s="24"/>
      <c r="J1488" s="25"/>
      <c r="K1488" s="25"/>
      <c r="L1488" s="24"/>
      <c r="M1488" s="24"/>
      <c r="N1488" s="24"/>
      <c r="O1488" s="24"/>
      <c r="P1488" s="24"/>
      <c r="Q1488" s="24"/>
      <c r="R1488" s="24"/>
      <c r="S1488" s="24"/>
      <c r="T1488" s="24"/>
      <c r="Z1488" s="25"/>
    </row>
    <row r="1489">
      <c r="A1489" s="16"/>
      <c r="B1489" s="17"/>
      <c r="C1489" s="24"/>
      <c r="D1489" s="25"/>
      <c r="E1489" s="24"/>
      <c r="F1489" s="25"/>
      <c r="G1489" s="24"/>
      <c r="H1489" s="25"/>
      <c r="I1489" s="24"/>
      <c r="J1489" s="25"/>
      <c r="K1489" s="25"/>
      <c r="L1489" s="24"/>
      <c r="M1489" s="24"/>
      <c r="N1489" s="24"/>
      <c r="O1489" s="24"/>
      <c r="P1489" s="24"/>
      <c r="Q1489" s="24"/>
      <c r="R1489" s="24"/>
      <c r="S1489" s="24"/>
      <c r="T1489" s="24"/>
      <c r="Z1489" s="25"/>
    </row>
    <row r="1490">
      <c r="A1490" s="16"/>
      <c r="B1490" s="17"/>
      <c r="C1490" s="24"/>
      <c r="D1490" s="25"/>
      <c r="E1490" s="24"/>
      <c r="F1490" s="25"/>
      <c r="G1490" s="24"/>
      <c r="H1490" s="25"/>
      <c r="I1490" s="24"/>
      <c r="J1490" s="25"/>
      <c r="K1490" s="25"/>
      <c r="L1490" s="24"/>
      <c r="M1490" s="24"/>
      <c r="N1490" s="24"/>
      <c r="O1490" s="24"/>
      <c r="P1490" s="24"/>
      <c r="Q1490" s="24"/>
      <c r="R1490" s="24"/>
      <c r="S1490" s="24"/>
      <c r="T1490" s="24"/>
      <c r="Z1490" s="25"/>
    </row>
    <row r="1491">
      <c r="A1491" s="16"/>
      <c r="B1491" s="17"/>
      <c r="C1491" s="24"/>
      <c r="D1491" s="25"/>
      <c r="E1491" s="24"/>
      <c r="F1491" s="25"/>
      <c r="G1491" s="24"/>
      <c r="H1491" s="25"/>
      <c r="I1491" s="24"/>
      <c r="J1491" s="25"/>
      <c r="K1491" s="25"/>
      <c r="L1491" s="24"/>
      <c r="M1491" s="24"/>
      <c r="N1491" s="24"/>
      <c r="O1491" s="24"/>
      <c r="P1491" s="24"/>
      <c r="Q1491" s="24"/>
      <c r="R1491" s="24"/>
      <c r="S1491" s="24"/>
      <c r="T1491" s="24"/>
      <c r="Z1491" s="25"/>
    </row>
    <row r="1492">
      <c r="A1492" s="16"/>
      <c r="B1492" s="17"/>
      <c r="C1492" s="24"/>
      <c r="D1492" s="25"/>
      <c r="E1492" s="24"/>
      <c r="F1492" s="25"/>
      <c r="G1492" s="24"/>
      <c r="H1492" s="25"/>
      <c r="I1492" s="24"/>
      <c r="J1492" s="25"/>
      <c r="K1492" s="25"/>
      <c r="L1492" s="24"/>
      <c r="M1492" s="24"/>
      <c r="N1492" s="24"/>
      <c r="O1492" s="24"/>
      <c r="P1492" s="24"/>
      <c r="Q1492" s="24"/>
      <c r="R1492" s="24"/>
      <c r="S1492" s="24"/>
      <c r="T1492" s="24"/>
      <c r="Z1492" s="25"/>
    </row>
    <row r="1493">
      <c r="A1493" s="16"/>
      <c r="B1493" s="17"/>
      <c r="C1493" s="24"/>
      <c r="D1493" s="25"/>
      <c r="E1493" s="24"/>
      <c r="F1493" s="25"/>
      <c r="G1493" s="24"/>
      <c r="H1493" s="25"/>
      <c r="I1493" s="24"/>
      <c r="J1493" s="25"/>
      <c r="K1493" s="25"/>
      <c r="L1493" s="24"/>
      <c r="M1493" s="24"/>
      <c r="N1493" s="24"/>
      <c r="O1493" s="24"/>
      <c r="P1493" s="24"/>
      <c r="Q1493" s="24"/>
      <c r="R1493" s="24"/>
      <c r="S1493" s="24"/>
      <c r="T1493" s="24"/>
      <c r="Z1493" s="25"/>
    </row>
    <row r="1494">
      <c r="A1494" s="16"/>
      <c r="B1494" s="17"/>
      <c r="C1494" s="24"/>
      <c r="D1494" s="25"/>
      <c r="E1494" s="24"/>
      <c r="F1494" s="25"/>
      <c r="G1494" s="24"/>
      <c r="H1494" s="25"/>
      <c r="I1494" s="24"/>
      <c r="J1494" s="25"/>
      <c r="K1494" s="25"/>
      <c r="L1494" s="24"/>
      <c r="M1494" s="24"/>
      <c r="N1494" s="24"/>
      <c r="O1494" s="24"/>
      <c r="P1494" s="24"/>
      <c r="Q1494" s="24"/>
      <c r="R1494" s="24"/>
      <c r="S1494" s="24"/>
      <c r="T1494" s="24"/>
      <c r="Z1494" s="25"/>
    </row>
    <row r="1495">
      <c r="A1495" s="16"/>
      <c r="B1495" s="17"/>
      <c r="C1495" s="24"/>
      <c r="D1495" s="25"/>
      <c r="E1495" s="24"/>
      <c r="F1495" s="25"/>
      <c r="G1495" s="24"/>
      <c r="H1495" s="25"/>
      <c r="I1495" s="24"/>
      <c r="J1495" s="25"/>
      <c r="K1495" s="25"/>
      <c r="L1495" s="24"/>
      <c r="M1495" s="24"/>
      <c r="N1495" s="24"/>
      <c r="O1495" s="24"/>
      <c r="P1495" s="24"/>
      <c r="Q1495" s="24"/>
      <c r="R1495" s="24"/>
      <c r="S1495" s="24"/>
      <c r="T1495" s="24"/>
      <c r="Z1495" s="25"/>
    </row>
    <row r="1496">
      <c r="A1496" s="16"/>
      <c r="B1496" s="17"/>
      <c r="C1496" s="24"/>
      <c r="D1496" s="25"/>
      <c r="E1496" s="24"/>
      <c r="F1496" s="25"/>
      <c r="G1496" s="24"/>
      <c r="H1496" s="25"/>
      <c r="I1496" s="24"/>
      <c r="J1496" s="25"/>
      <c r="K1496" s="25"/>
      <c r="L1496" s="24"/>
      <c r="M1496" s="24"/>
      <c r="N1496" s="24"/>
      <c r="O1496" s="24"/>
      <c r="P1496" s="24"/>
      <c r="Q1496" s="24"/>
      <c r="R1496" s="24"/>
      <c r="S1496" s="24"/>
      <c r="T1496" s="24"/>
      <c r="Z1496" s="25"/>
    </row>
    <row r="1497">
      <c r="A1497" s="16"/>
      <c r="B1497" s="17"/>
      <c r="C1497" s="24"/>
      <c r="D1497" s="25"/>
      <c r="E1497" s="24"/>
      <c r="F1497" s="25"/>
      <c r="G1497" s="24"/>
      <c r="H1497" s="25"/>
      <c r="I1497" s="24"/>
      <c r="J1497" s="25"/>
      <c r="K1497" s="25"/>
      <c r="L1497" s="24"/>
      <c r="M1497" s="24"/>
      <c r="N1497" s="24"/>
      <c r="O1497" s="24"/>
      <c r="P1497" s="24"/>
      <c r="Q1497" s="24"/>
      <c r="R1497" s="24"/>
      <c r="S1497" s="24"/>
      <c r="T1497" s="24"/>
      <c r="Z1497" s="25"/>
    </row>
    <row r="1498">
      <c r="A1498" s="16"/>
      <c r="B1498" s="17"/>
      <c r="C1498" s="24"/>
      <c r="D1498" s="25"/>
      <c r="E1498" s="24"/>
      <c r="F1498" s="25"/>
      <c r="G1498" s="24"/>
      <c r="H1498" s="25"/>
      <c r="I1498" s="24"/>
      <c r="J1498" s="25"/>
      <c r="K1498" s="25"/>
      <c r="L1498" s="24"/>
      <c r="M1498" s="24"/>
      <c r="N1498" s="24"/>
      <c r="O1498" s="24"/>
      <c r="P1498" s="24"/>
      <c r="Q1498" s="24"/>
      <c r="R1498" s="24"/>
      <c r="S1498" s="24"/>
      <c r="T1498" s="24"/>
      <c r="Z1498" s="25"/>
    </row>
    <row r="1499">
      <c r="A1499" s="16"/>
      <c r="B1499" s="17"/>
      <c r="C1499" s="24"/>
      <c r="D1499" s="25"/>
      <c r="E1499" s="24"/>
      <c r="F1499" s="25"/>
      <c r="G1499" s="24"/>
      <c r="H1499" s="25"/>
      <c r="I1499" s="24"/>
      <c r="J1499" s="25"/>
      <c r="K1499" s="25"/>
      <c r="L1499" s="24"/>
      <c r="M1499" s="24"/>
      <c r="N1499" s="24"/>
      <c r="O1499" s="24"/>
      <c r="P1499" s="24"/>
      <c r="Q1499" s="24"/>
      <c r="R1499" s="24"/>
      <c r="S1499" s="24"/>
      <c r="T1499" s="24"/>
      <c r="Z1499" s="25"/>
    </row>
    <row r="1500">
      <c r="A1500" s="16"/>
      <c r="B1500" s="17"/>
      <c r="C1500" s="24"/>
      <c r="D1500" s="25"/>
      <c r="E1500" s="24"/>
      <c r="F1500" s="25"/>
      <c r="G1500" s="24"/>
      <c r="H1500" s="25"/>
      <c r="I1500" s="24"/>
      <c r="J1500" s="25"/>
      <c r="K1500" s="25"/>
      <c r="L1500" s="24"/>
      <c r="M1500" s="24"/>
      <c r="N1500" s="24"/>
      <c r="O1500" s="24"/>
      <c r="P1500" s="24"/>
      <c r="Q1500" s="24"/>
      <c r="R1500" s="24"/>
      <c r="S1500" s="24"/>
      <c r="T1500" s="24"/>
      <c r="Z1500" s="25"/>
    </row>
    <row r="1501">
      <c r="A1501" s="16"/>
      <c r="B1501" s="17"/>
      <c r="C1501" s="24"/>
      <c r="D1501" s="25"/>
      <c r="E1501" s="24"/>
      <c r="F1501" s="25"/>
      <c r="G1501" s="24"/>
      <c r="H1501" s="25"/>
      <c r="I1501" s="24"/>
      <c r="J1501" s="25"/>
      <c r="K1501" s="25"/>
      <c r="L1501" s="24"/>
      <c r="M1501" s="24"/>
      <c r="N1501" s="24"/>
      <c r="O1501" s="24"/>
      <c r="P1501" s="24"/>
      <c r="Q1501" s="24"/>
      <c r="R1501" s="24"/>
      <c r="S1501" s="24"/>
      <c r="T1501" s="24"/>
      <c r="Z1501" s="25"/>
    </row>
    <row r="1502">
      <c r="A1502" s="16"/>
      <c r="B1502" s="17"/>
      <c r="C1502" s="24"/>
      <c r="D1502" s="25"/>
      <c r="E1502" s="24"/>
      <c r="F1502" s="25"/>
      <c r="G1502" s="24"/>
      <c r="H1502" s="25"/>
      <c r="I1502" s="24"/>
      <c r="J1502" s="25"/>
      <c r="K1502" s="25"/>
      <c r="L1502" s="24"/>
      <c r="M1502" s="24"/>
      <c r="N1502" s="24"/>
      <c r="O1502" s="24"/>
      <c r="P1502" s="24"/>
      <c r="Q1502" s="24"/>
      <c r="R1502" s="24"/>
      <c r="S1502" s="24"/>
      <c r="T1502" s="24"/>
      <c r="Z1502" s="25"/>
    </row>
    <row r="1503">
      <c r="A1503" s="16"/>
      <c r="B1503" s="17"/>
      <c r="C1503" s="24"/>
      <c r="D1503" s="25"/>
      <c r="E1503" s="24"/>
      <c r="F1503" s="25"/>
      <c r="G1503" s="24"/>
      <c r="H1503" s="25"/>
      <c r="I1503" s="24"/>
      <c r="J1503" s="25"/>
      <c r="K1503" s="25"/>
      <c r="L1503" s="24"/>
      <c r="M1503" s="24"/>
      <c r="N1503" s="24"/>
      <c r="O1503" s="24"/>
      <c r="P1503" s="24"/>
      <c r="Q1503" s="24"/>
      <c r="R1503" s="24"/>
      <c r="S1503" s="24"/>
      <c r="T1503" s="24"/>
      <c r="Z1503" s="25"/>
    </row>
    <row r="1504">
      <c r="A1504" s="16"/>
      <c r="B1504" s="17"/>
      <c r="C1504" s="24"/>
      <c r="D1504" s="25"/>
      <c r="E1504" s="24"/>
      <c r="F1504" s="25"/>
      <c r="G1504" s="24"/>
      <c r="H1504" s="25"/>
      <c r="I1504" s="24"/>
      <c r="J1504" s="25"/>
      <c r="K1504" s="25"/>
      <c r="L1504" s="24"/>
      <c r="M1504" s="24"/>
      <c r="N1504" s="24"/>
      <c r="O1504" s="24"/>
      <c r="P1504" s="24"/>
      <c r="Q1504" s="24"/>
      <c r="R1504" s="24"/>
      <c r="S1504" s="24"/>
      <c r="T1504" s="24"/>
      <c r="Z1504" s="25"/>
    </row>
    <row r="1505">
      <c r="A1505" s="16"/>
      <c r="B1505" s="17"/>
      <c r="C1505" s="24"/>
      <c r="D1505" s="25"/>
      <c r="E1505" s="24"/>
      <c r="F1505" s="25"/>
      <c r="G1505" s="24"/>
      <c r="H1505" s="25"/>
      <c r="I1505" s="24"/>
      <c r="J1505" s="25"/>
      <c r="K1505" s="25"/>
      <c r="L1505" s="24"/>
      <c r="M1505" s="24"/>
      <c r="N1505" s="24"/>
      <c r="O1505" s="24"/>
      <c r="P1505" s="24"/>
      <c r="Q1505" s="24"/>
      <c r="R1505" s="24"/>
      <c r="S1505" s="24"/>
      <c r="T1505" s="24"/>
      <c r="Z1505" s="25"/>
    </row>
    <row r="1506">
      <c r="A1506" s="16"/>
      <c r="B1506" s="17"/>
      <c r="C1506" s="24"/>
      <c r="D1506" s="25"/>
      <c r="E1506" s="24"/>
      <c r="F1506" s="25"/>
      <c r="G1506" s="24"/>
      <c r="H1506" s="25"/>
      <c r="I1506" s="24"/>
      <c r="J1506" s="25"/>
      <c r="K1506" s="25"/>
      <c r="L1506" s="24"/>
      <c r="M1506" s="24"/>
      <c r="N1506" s="24"/>
      <c r="O1506" s="24"/>
      <c r="P1506" s="24"/>
      <c r="Q1506" s="24"/>
      <c r="R1506" s="24"/>
      <c r="S1506" s="24"/>
      <c r="T1506" s="24"/>
      <c r="Z1506" s="25"/>
    </row>
    <row r="1507">
      <c r="A1507" s="16"/>
      <c r="B1507" s="17"/>
      <c r="C1507" s="24"/>
      <c r="D1507" s="25"/>
      <c r="E1507" s="24"/>
      <c r="F1507" s="25"/>
      <c r="G1507" s="24"/>
      <c r="H1507" s="25"/>
      <c r="I1507" s="24"/>
      <c r="J1507" s="25"/>
      <c r="K1507" s="25"/>
      <c r="L1507" s="24"/>
      <c r="M1507" s="24"/>
      <c r="N1507" s="24"/>
      <c r="O1507" s="24"/>
      <c r="P1507" s="24"/>
      <c r="Q1507" s="24"/>
      <c r="R1507" s="24"/>
      <c r="S1507" s="24"/>
      <c r="T1507" s="24"/>
      <c r="Z1507" s="25"/>
    </row>
    <row r="1508">
      <c r="A1508" s="16"/>
      <c r="B1508" s="17"/>
      <c r="C1508" s="24"/>
      <c r="D1508" s="25"/>
      <c r="E1508" s="24"/>
      <c r="F1508" s="25"/>
      <c r="G1508" s="24"/>
      <c r="H1508" s="25"/>
      <c r="I1508" s="24"/>
      <c r="J1508" s="25"/>
      <c r="K1508" s="25"/>
      <c r="L1508" s="24"/>
      <c r="M1508" s="24"/>
      <c r="N1508" s="24"/>
      <c r="O1508" s="24"/>
      <c r="P1508" s="24"/>
      <c r="Q1508" s="24"/>
      <c r="R1508" s="24"/>
      <c r="S1508" s="24"/>
      <c r="T1508" s="24"/>
      <c r="Z1508" s="25"/>
    </row>
    <row r="1509">
      <c r="A1509" s="16"/>
      <c r="B1509" s="17"/>
      <c r="C1509" s="24"/>
      <c r="D1509" s="25"/>
      <c r="E1509" s="24"/>
      <c r="F1509" s="25"/>
      <c r="G1509" s="24"/>
      <c r="H1509" s="25"/>
      <c r="I1509" s="24"/>
      <c r="J1509" s="25"/>
      <c r="K1509" s="25"/>
      <c r="L1509" s="24"/>
      <c r="M1509" s="24"/>
      <c r="N1509" s="24"/>
      <c r="O1509" s="24"/>
      <c r="P1509" s="24"/>
      <c r="Q1509" s="24"/>
      <c r="R1509" s="24"/>
      <c r="S1509" s="24"/>
      <c r="T1509" s="24"/>
      <c r="Z1509" s="25"/>
    </row>
    <row r="1510">
      <c r="A1510" s="16"/>
      <c r="B1510" s="17"/>
      <c r="C1510" s="24"/>
      <c r="D1510" s="25"/>
      <c r="E1510" s="24"/>
      <c r="F1510" s="25"/>
      <c r="G1510" s="24"/>
      <c r="H1510" s="25"/>
      <c r="I1510" s="24"/>
      <c r="J1510" s="25"/>
      <c r="K1510" s="25"/>
      <c r="L1510" s="24"/>
      <c r="M1510" s="24"/>
      <c r="N1510" s="24"/>
      <c r="O1510" s="24"/>
      <c r="P1510" s="24"/>
      <c r="Q1510" s="24"/>
      <c r="R1510" s="24"/>
      <c r="S1510" s="24"/>
      <c r="T1510" s="24"/>
      <c r="Z1510" s="25"/>
    </row>
    <row r="1511">
      <c r="A1511" s="16"/>
      <c r="B1511" s="17"/>
      <c r="C1511" s="24"/>
      <c r="D1511" s="25"/>
      <c r="E1511" s="24"/>
      <c r="F1511" s="25"/>
      <c r="G1511" s="24"/>
      <c r="H1511" s="25"/>
      <c r="I1511" s="24"/>
      <c r="J1511" s="25"/>
      <c r="K1511" s="25"/>
      <c r="L1511" s="24"/>
      <c r="M1511" s="24"/>
      <c r="N1511" s="24"/>
      <c r="O1511" s="24"/>
      <c r="P1511" s="24"/>
      <c r="Q1511" s="24"/>
      <c r="R1511" s="24"/>
      <c r="S1511" s="24"/>
      <c r="T1511" s="24"/>
      <c r="Z1511" s="25"/>
    </row>
    <row r="1512">
      <c r="A1512" s="16"/>
      <c r="B1512" s="17"/>
      <c r="C1512" s="24"/>
      <c r="D1512" s="25"/>
      <c r="E1512" s="24"/>
      <c r="F1512" s="25"/>
      <c r="G1512" s="24"/>
      <c r="H1512" s="25"/>
      <c r="I1512" s="24"/>
      <c r="J1512" s="25"/>
      <c r="K1512" s="25"/>
      <c r="L1512" s="24"/>
      <c r="M1512" s="24"/>
      <c r="N1512" s="24"/>
      <c r="O1512" s="24"/>
      <c r="P1512" s="24"/>
      <c r="Q1512" s="24"/>
      <c r="R1512" s="24"/>
      <c r="S1512" s="24"/>
      <c r="T1512" s="24"/>
      <c r="Z1512" s="25"/>
    </row>
    <row r="1513">
      <c r="A1513" s="16"/>
      <c r="B1513" s="17"/>
      <c r="C1513" s="24"/>
      <c r="D1513" s="25"/>
      <c r="E1513" s="24"/>
      <c r="F1513" s="25"/>
      <c r="G1513" s="24"/>
      <c r="H1513" s="25"/>
      <c r="I1513" s="24"/>
      <c r="J1513" s="25"/>
      <c r="K1513" s="25"/>
      <c r="L1513" s="24"/>
      <c r="M1513" s="24"/>
      <c r="N1513" s="24"/>
      <c r="O1513" s="24"/>
      <c r="P1513" s="24"/>
      <c r="Q1513" s="24"/>
      <c r="R1513" s="24"/>
      <c r="S1513" s="24"/>
      <c r="T1513" s="24"/>
      <c r="Z1513" s="25"/>
    </row>
    <row r="1514">
      <c r="A1514" s="16"/>
      <c r="B1514" s="17"/>
      <c r="C1514" s="24"/>
      <c r="D1514" s="25"/>
      <c r="E1514" s="24"/>
      <c r="F1514" s="25"/>
      <c r="G1514" s="24"/>
      <c r="H1514" s="25"/>
      <c r="I1514" s="24"/>
      <c r="J1514" s="25"/>
      <c r="K1514" s="25"/>
      <c r="L1514" s="24"/>
      <c r="M1514" s="24"/>
      <c r="N1514" s="24"/>
      <c r="O1514" s="24"/>
      <c r="P1514" s="24"/>
      <c r="Q1514" s="24"/>
      <c r="R1514" s="24"/>
      <c r="S1514" s="24"/>
      <c r="T1514" s="24"/>
      <c r="Z1514" s="25"/>
    </row>
    <row r="1515">
      <c r="A1515" s="16"/>
      <c r="B1515" s="17"/>
      <c r="C1515" s="24"/>
      <c r="D1515" s="25"/>
      <c r="E1515" s="24"/>
      <c r="F1515" s="25"/>
      <c r="G1515" s="24"/>
      <c r="H1515" s="25"/>
      <c r="I1515" s="24"/>
      <c r="J1515" s="25"/>
      <c r="K1515" s="25"/>
      <c r="L1515" s="24"/>
      <c r="M1515" s="24"/>
      <c r="N1515" s="24"/>
      <c r="O1515" s="24"/>
      <c r="P1515" s="24"/>
      <c r="Q1515" s="24"/>
      <c r="R1515" s="24"/>
      <c r="S1515" s="24"/>
      <c r="T1515" s="24"/>
      <c r="Z1515" s="25"/>
    </row>
    <row r="1516">
      <c r="A1516" s="16"/>
      <c r="B1516" s="17"/>
      <c r="C1516" s="24"/>
      <c r="D1516" s="25"/>
      <c r="E1516" s="24"/>
      <c r="F1516" s="25"/>
      <c r="G1516" s="24"/>
      <c r="H1516" s="25"/>
      <c r="I1516" s="24"/>
      <c r="J1516" s="25"/>
      <c r="K1516" s="25"/>
      <c r="L1516" s="24"/>
      <c r="M1516" s="24"/>
      <c r="N1516" s="24"/>
      <c r="O1516" s="24"/>
      <c r="P1516" s="24"/>
      <c r="Q1516" s="24"/>
      <c r="R1516" s="24"/>
      <c r="S1516" s="24"/>
      <c r="T1516" s="24"/>
      <c r="Z1516" s="25"/>
    </row>
    <row r="1517">
      <c r="A1517" s="16"/>
      <c r="B1517" s="17"/>
      <c r="C1517" s="24"/>
      <c r="D1517" s="25"/>
      <c r="E1517" s="24"/>
      <c r="F1517" s="25"/>
      <c r="G1517" s="24"/>
      <c r="H1517" s="25"/>
      <c r="I1517" s="24"/>
      <c r="J1517" s="25"/>
      <c r="K1517" s="25"/>
      <c r="L1517" s="24"/>
      <c r="M1517" s="24"/>
      <c r="N1517" s="24"/>
      <c r="O1517" s="24"/>
      <c r="P1517" s="24"/>
      <c r="Q1517" s="24"/>
      <c r="R1517" s="24"/>
      <c r="S1517" s="24"/>
      <c r="T1517" s="24"/>
      <c r="Z1517" s="25"/>
    </row>
    <row r="1518">
      <c r="A1518" s="16"/>
      <c r="B1518" s="17"/>
      <c r="C1518" s="24"/>
      <c r="D1518" s="25"/>
      <c r="E1518" s="24"/>
      <c r="F1518" s="25"/>
      <c r="G1518" s="24"/>
      <c r="H1518" s="25"/>
      <c r="I1518" s="24"/>
      <c r="J1518" s="25"/>
      <c r="K1518" s="25"/>
      <c r="L1518" s="24"/>
      <c r="M1518" s="24"/>
      <c r="N1518" s="24"/>
      <c r="O1518" s="24"/>
      <c r="P1518" s="24"/>
      <c r="Q1518" s="24"/>
      <c r="R1518" s="24"/>
      <c r="S1518" s="24"/>
      <c r="T1518" s="24"/>
      <c r="Z1518" s="25"/>
    </row>
    <row r="1519">
      <c r="A1519" s="16"/>
      <c r="B1519" s="17"/>
      <c r="C1519" s="24"/>
      <c r="D1519" s="25"/>
      <c r="E1519" s="24"/>
      <c r="F1519" s="25"/>
      <c r="G1519" s="24"/>
      <c r="H1519" s="25"/>
      <c r="I1519" s="24"/>
      <c r="J1519" s="25"/>
      <c r="K1519" s="25"/>
      <c r="L1519" s="24"/>
      <c r="M1519" s="24"/>
      <c r="N1519" s="24"/>
      <c r="O1519" s="24"/>
      <c r="P1519" s="24"/>
      <c r="Q1519" s="24"/>
      <c r="R1519" s="24"/>
      <c r="S1519" s="24"/>
      <c r="T1519" s="24"/>
      <c r="Z1519" s="25"/>
    </row>
    <row r="1520">
      <c r="A1520" s="16"/>
      <c r="B1520" s="17"/>
      <c r="C1520" s="24"/>
      <c r="D1520" s="25"/>
      <c r="E1520" s="24"/>
      <c r="F1520" s="25"/>
      <c r="G1520" s="24"/>
      <c r="H1520" s="25"/>
      <c r="I1520" s="24"/>
      <c r="J1520" s="25"/>
      <c r="K1520" s="25"/>
      <c r="L1520" s="24"/>
      <c r="M1520" s="24"/>
      <c r="N1520" s="24"/>
      <c r="O1520" s="24"/>
      <c r="P1520" s="24"/>
      <c r="Q1520" s="24"/>
      <c r="R1520" s="24"/>
      <c r="S1520" s="24"/>
      <c r="T1520" s="24"/>
      <c r="Z1520" s="25"/>
    </row>
    <row r="1521">
      <c r="A1521" s="16"/>
      <c r="B1521" s="17"/>
      <c r="C1521" s="24"/>
      <c r="D1521" s="25"/>
      <c r="E1521" s="24"/>
      <c r="F1521" s="25"/>
      <c r="G1521" s="24"/>
      <c r="H1521" s="25"/>
      <c r="I1521" s="24"/>
      <c r="J1521" s="25"/>
      <c r="K1521" s="25"/>
      <c r="L1521" s="24"/>
      <c r="M1521" s="24"/>
      <c r="N1521" s="24"/>
      <c r="O1521" s="24"/>
      <c r="P1521" s="24"/>
      <c r="Q1521" s="24"/>
      <c r="R1521" s="24"/>
      <c r="S1521" s="24"/>
      <c r="T1521" s="24"/>
      <c r="Z1521" s="25"/>
    </row>
    <row r="1522">
      <c r="A1522" s="16"/>
      <c r="B1522" s="17"/>
      <c r="C1522" s="24"/>
      <c r="D1522" s="25"/>
      <c r="E1522" s="24"/>
      <c r="F1522" s="25"/>
      <c r="G1522" s="24"/>
      <c r="H1522" s="25"/>
      <c r="I1522" s="24"/>
      <c r="J1522" s="25"/>
      <c r="K1522" s="25"/>
      <c r="L1522" s="24"/>
      <c r="M1522" s="24"/>
      <c r="N1522" s="24"/>
      <c r="O1522" s="24"/>
      <c r="P1522" s="24"/>
      <c r="Q1522" s="24"/>
      <c r="R1522" s="24"/>
      <c r="S1522" s="24"/>
      <c r="T1522" s="24"/>
      <c r="Z1522" s="25"/>
    </row>
    <row r="1523">
      <c r="A1523" s="16"/>
      <c r="B1523" s="17"/>
      <c r="C1523" s="24"/>
      <c r="D1523" s="25"/>
      <c r="E1523" s="24"/>
      <c r="F1523" s="25"/>
      <c r="G1523" s="24"/>
      <c r="H1523" s="25"/>
      <c r="I1523" s="24"/>
      <c r="J1523" s="25"/>
      <c r="K1523" s="25"/>
      <c r="L1523" s="24"/>
      <c r="M1523" s="24"/>
      <c r="N1523" s="24"/>
      <c r="O1523" s="24"/>
      <c r="P1523" s="24"/>
      <c r="Q1523" s="24"/>
      <c r="R1523" s="24"/>
      <c r="S1523" s="24"/>
      <c r="T1523" s="24"/>
      <c r="Z1523" s="25"/>
    </row>
    <row r="1524">
      <c r="A1524" s="16"/>
      <c r="B1524" s="17"/>
      <c r="C1524" s="24"/>
      <c r="D1524" s="25"/>
      <c r="E1524" s="24"/>
      <c r="F1524" s="25"/>
      <c r="G1524" s="24"/>
      <c r="H1524" s="25"/>
      <c r="I1524" s="24"/>
      <c r="J1524" s="25"/>
      <c r="K1524" s="25"/>
      <c r="L1524" s="24"/>
      <c r="M1524" s="24"/>
      <c r="N1524" s="24"/>
      <c r="O1524" s="24"/>
      <c r="P1524" s="24"/>
      <c r="Q1524" s="24"/>
      <c r="R1524" s="24"/>
      <c r="S1524" s="24"/>
      <c r="T1524" s="24"/>
      <c r="Z1524" s="25"/>
    </row>
    <row r="1525">
      <c r="A1525" s="16"/>
      <c r="B1525" s="17"/>
      <c r="C1525" s="24"/>
      <c r="D1525" s="25"/>
      <c r="E1525" s="24"/>
      <c r="F1525" s="25"/>
      <c r="G1525" s="24"/>
      <c r="H1525" s="25"/>
      <c r="I1525" s="24"/>
      <c r="J1525" s="25"/>
      <c r="K1525" s="25"/>
      <c r="L1525" s="24"/>
      <c r="M1525" s="24"/>
      <c r="N1525" s="24"/>
      <c r="O1525" s="24"/>
      <c r="P1525" s="24"/>
      <c r="Q1525" s="24"/>
      <c r="R1525" s="24"/>
      <c r="S1525" s="24"/>
      <c r="T1525" s="24"/>
      <c r="Z1525" s="25"/>
    </row>
    <row r="1526">
      <c r="A1526" s="16"/>
      <c r="B1526" s="17"/>
      <c r="C1526" s="24"/>
      <c r="D1526" s="25"/>
      <c r="E1526" s="24"/>
      <c r="F1526" s="25"/>
      <c r="G1526" s="24"/>
      <c r="H1526" s="25"/>
      <c r="I1526" s="24"/>
      <c r="J1526" s="25"/>
      <c r="K1526" s="25"/>
      <c r="L1526" s="24"/>
      <c r="M1526" s="24"/>
      <c r="N1526" s="24"/>
      <c r="O1526" s="24"/>
      <c r="P1526" s="24"/>
      <c r="Q1526" s="24"/>
      <c r="R1526" s="24"/>
      <c r="S1526" s="24"/>
      <c r="T1526" s="24"/>
      <c r="Z1526" s="25"/>
    </row>
    <row r="1527">
      <c r="A1527" s="16"/>
      <c r="B1527" s="17"/>
      <c r="C1527" s="24"/>
      <c r="D1527" s="25"/>
      <c r="E1527" s="24"/>
      <c r="F1527" s="25"/>
      <c r="G1527" s="24"/>
      <c r="H1527" s="25"/>
      <c r="I1527" s="24"/>
      <c r="J1527" s="25"/>
      <c r="K1527" s="25"/>
      <c r="L1527" s="24"/>
      <c r="M1527" s="24"/>
      <c r="N1527" s="24"/>
      <c r="O1527" s="24"/>
      <c r="P1527" s="24"/>
      <c r="Q1527" s="24"/>
      <c r="R1527" s="24"/>
      <c r="S1527" s="24"/>
      <c r="T1527" s="24"/>
      <c r="Z1527" s="25"/>
    </row>
    <row r="1528">
      <c r="A1528" s="16"/>
      <c r="B1528" s="17"/>
      <c r="C1528" s="24"/>
      <c r="D1528" s="25"/>
      <c r="E1528" s="24"/>
      <c r="F1528" s="25"/>
      <c r="G1528" s="24"/>
      <c r="H1528" s="25"/>
      <c r="I1528" s="24"/>
      <c r="J1528" s="25"/>
      <c r="K1528" s="25"/>
      <c r="L1528" s="24"/>
      <c r="M1528" s="24"/>
      <c r="N1528" s="24"/>
      <c r="O1528" s="24"/>
      <c r="P1528" s="24"/>
      <c r="Q1528" s="24"/>
      <c r="R1528" s="24"/>
      <c r="S1528" s="24"/>
      <c r="T1528" s="24"/>
      <c r="Z1528" s="25"/>
    </row>
    <row r="1529">
      <c r="A1529" s="16"/>
      <c r="B1529" s="17"/>
      <c r="C1529" s="24"/>
      <c r="D1529" s="25"/>
      <c r="E1529" s="24"/>
      <c r="F1529" s="25"/>
      <c r="G1529" s="24"/>
      <c r="H1529" s="25"/>
      <c r="I1529" s="24"/>
      <c r="J1529" s="25"/>
      <c r="K1529" s="25"/>
      <c r="L1529" s="24"/>
      <c r="M1529" s="24"/>
      <c r="N1529" s="24"/>
      <c r="O1529" s="24"/>
      <c r="P1529" s="24"/>
      <c r="Q1529" s="24"/>
      <c r="R1529" s="24"/>
      <c r="S1529" s="24"/>
      <c r="T1529" s="24"/>
      <c r="Z1529" s="25"/>
    </row>
    <row r="1530">
      <c r="A1530" s="16"/>
      <c r="B1530" s="17"/>
      <c r="C1530" s="24"/>
      <c r="D1530" s="25"/>
      <c r="E1530" s="24"/>
      <c r="F1530" s="25"/>
      <c r="G1530" s="24"/>
      <c r="H1530" s="25"/>
      <c r="I1530" s="24"/>
      <c r="J1530" s="25"/>
      <c r="K1530" s="25"/>
      <c r="L1530" s="24"/>
      <c r="M1530" s="24"/>
      <c r="N1530" s="24"/>
      <c r="O1530" s="24"/>
      <c r="P1530" s="24"/>
      <c r="Q1530" s="24"/>
      <c r="R1530" s="24"/>
      <c r="S1530" s="24"/>
      <c r="T1530" s="24"/>
      <c r="Z1530" s="25"/>
    </row>
    <row r="1531">
      <c r="A1531" s="16"/>
      <c r="B1531" s="17"/>
      <c r="C1531" s="24"/>
      <c r="D1531" s="25"/>
      <c r="E1531" s="24"/>
      <c r="F1531" s="25"/>
      <c r="G1531" s="24"/>
      <c r="H1531" s="25"/>
      <c r="I1531" s="24"/>
      <c r="J1531" s="25"/>
      <c r="K1531" s="25"/>
      <c r="L1531" s="24"/>
      <c r="M1531" s="24"/>
      <c r="N1531" s="24"/>
      <c r="O1531" s="24"/>
      <c r="P1531" s="24"/>
      <c r="Q1531" s="24"/>
      <c r="R1531" s="24"/>
      <c r="S1531" s="24"/>
      <c r="T1531" s="24"/>
      <c r="Z1531" s="25"/>
    </row>
    <row r="1532">
      <c r="A1532" s="16"/>
      <c r="B1532" s="17"/>
      <c r="C1532" s="24"/>
      <c r="D1532" s="25"/>
      <c r="E1532" s="24"/>
      <c r="F1532" s="25"/>
      <c r="G1532" s="24"/>
      <c r="H1532" s="25"/>
      <c r="I1532" s="24"/>
      <c r="J1532" s="25"/>
      <c r="K1532" s="25"/>
      <c r="L1532" s="24"/>
      <c r="M1532" s="24"/>
      <c r="N1532" s="24"/>
      <c r="O1532" s="24"/>
      <c r="P1532" s="24"/>
      <c r="Q1532" s="24"/>
      <c r="R1532" s="24"/>
      <c r="S1532" s="24"/>
      <c r="T1532" s="24"/>
      <c r="Z1532" s="25"/>
    </row>
    <row r="1533">
      <c r="A1533" s="16"/>
      <c r="B1533" s="17"/>
      <c r="C1533" s="24"/>
      <c r="D1533" s="25"/>
      <c r="E1533" s="24"/>
      <c r="F1533" s="25"/>
      <c r="G1533" s="24"/>
      <c r="H1533" s="25"/>
      <c r="I1533" s="24"/>
      <c r="J1533" s="25"/>
      <c r="K1533" s="25"/>
      <c r="L1533" s="24"/>
      <c r="M1533" s="24"/>
      <c r="N1533" s="24"/>
      <c r="O1533" s="24"/>
      <c r="P1533" s="24"/>
      <c r="Q1533" s="24"/>
      <c r="R1533" s="24"/>
      <c r="S1533" s="24"/>
      <c r="T1533" s="24"/>
      <c r="Z1533" s="25"/>
    </row>
    <row r="1534">
      <c r="A1534" s="16"/>
      <c r="B1534" s="17"/>
      <c r="C1534" s="24"/>
      <c r="D1534" s="25"/>
      <c r="E1534" s="24"/>
      <c r="F1534" s="25"/>
      <c r="G1534" s="24"/>
      <c r="H1534" s="25"/>
      <c r="I1534" s="24"/>
      <c r="J1534" s="25"/>
      <c r="K1534" s="25"/>
      <c r="L1534" s="24"/>
      <c r="M1534" s="24"/>
      <c r="N1534" s="24"/>
      <c r="O1534" s="24"/>
      <c r="P1534" s="24"/>
      <c r="Q1534" s="24"/>
      <c r="R1534" s="24"/>
      <c r="S1534" s="24"/>
      <c r="T1534" s="24"/>
      <c r="Z1534" s="25"/>
    </row>
    <row r="1535">
      <c r="A1535" s="16"/>
      <c r="B1535" s="17"/>
      <c r="C1535" s="24"/>
      <c r="D1535" s="25"/>
      <c r="E1535" s="24"/>
      <c r="F1535" s="25"/>
      <c r="G1535" s="24"/>
      <c r="H1535" s="25"/>
      <c r="I1535" s="24"/>
      <c r="J1535" s="25"/>
      <c r="K1535" s="25"/>
      <c r="L1535" s="24"/>
      <c r="M1535" s="24"/>
      <c r="N1535" s="24"/>
      <c r="O1535" s="24"/>
      <c r="P1535" s="24"/>
      <c r="Q1535" s="24"/>
      <c r="R1535" s="24"/>
      <c r="S1535" s="24"/>
      <c r="T1535" s="24"/>
      <c r="Z1535" s="25"/>
    </row>
    <row r="1536">
      <c r="A1536" s="16"/>
      <c r="B1536" s="17"/>
      <c r="C1536" s="24"/>
      <c r="D1536" s="25"/>
      <c r="E1536" s="24"/>
      <c r="F1536" s="25"/>
      <c r="G1536" s="24"/>
      <c r="H1536" s="25"/>
      <c r="I1536" s="24"/>
      <c r="J1536" s="25"/>
      <c r="K1536" s="25"/>
      <c r="L1536" s="24"/>
      <c r="M1536" s="24"/>
      <c r="N1536" s="24"/>
      <c r="O1536" s="24"/>
      <c r="P1536" s="24"/>
      <c r="Q1536" s="24"/>
      <c r="R1536" s="24"/>
      <c r="S1536" s="24"/>
      <c r="T1536" s="24"/>
      <c r="Z1536" s="25"/>
    </row>
    <row r="1537">
      <c r="A1537" s="16"/>
      <c r="B1537" s="17"/>
      <c r="C1537" s="24"/>
      <c r="D1537" s="25"/>
      <c r="E1537" s="24"/>
      <c r="F1537" s="25"/>
      <c r="G1537" s="24"/>
      <c r="H1537" s="25"/>
      <c r="I1537" s="24"/>
      <c r="J1537" s="25"/>
      <c r="K1537" s="25"/>
      <c r="L1537" s="24"/>
      <c r="M1537" s="24"/>
      <c r="N1537" s="24"/>
      <c r="O1537" s="24"/>
      <c r="P1537" s="24"/>
      <c r="Q1537" s="24"/>
      <c r="R1537" s="24"/>
      <c r="S1537" s="24"/>
      <c r="T1537" s="24"/>
      <c r="Z1537" s="25"/>
    </row>
    <row r="1538">
      <c r="A1538" s="16"/>
      <c r="B1538" s="17"/>
      <c r="C1538" s="24"/>
      <c r="D1538" s="25"/>
      <c r="E1538" s="24"/>
      <c r="F1538" s="25"/>
      <c r="G1538" s="24"/>
      <c r="H1538" s="25"/>
      <c r="I1538" s="24"/>
      <c r="J1538" s="25"/>
      <c r="K1538" s="25"/>
      <c r="L1538" s="24"/>
      <c r="M1538" s="24"/>
      <c r="N1538" s="24"/>
      <c r="O1538" s="24"/>
      <c r="P1538" s="24"/>
      <c r="Q1538" s="24"/>
      <c r="R1538" s="24"/>
      <c r="S1538" s="24"/>
      <c r="T1538" s="24"/>
      <c r="Z1538" s="25"/>
    </row>
    <row r="1539">
      <c r="A1539" s="16"/>
      <c r="B1539" s="17"/>
      <c r="C1539" s="24"/>
      <c r="D1539" s="25"/>
      <c r="E1539" s="24"/>
      <c r="F1539" s="25"/>
      <c r="G1539" s="24"/>
      <c r="H1539" s="25"/>
      <c r="I1539" s="24"/>
      <c r="J1539" s="25"/>
      <c r="K1539" s="25"/>
      <c r="L1539" s="24"/>
      <c r="M1539" s="24"/>
      <c r="N1539" s="24"/>
      <c r="O1539" s="24"/>
      <c r="P1539" s="24"/>
      <c r="Q1539" s="24"/>
      <c r="R1539" s="24"/>
      <c r="S1539" s="24"/>
      <c r="T1539" s="24"/>
      <c r="Z1539" s="25"/>
    </row>
    <row r="1540">
      <c r="A1540" s="16"/>
      <c r="B1540" s="17"/>
      <c r="C1540" s="24"/>
      <c r="D1540" s="25"/>
      <c r="E1540" s="24"/>
      <c r="F1540" s="25"/>
      <c r="G1540" s="24"/>
      <c r="H1540" s="25"/>
      <c r="I1540" s="24"/>
      <c r="J1540" s="25"/>
      <c r="K1540" s="25"/>
      <c r="L1540" s="24"/>
      <c r="M1540" s="24"/>
      <c r="N1540" s="24"/>
      <c r="O1540" s="24"/>
      <c r="P1540" s="24"/>
      <c r="Q1540" s="24"/>
      <c r="R1540" s="24"/>
      <c r="S1540" s="24"/>
      <c r="T1540" s="24"/>
      <c r="Z1540" s="25"/>
    </row>
    <row r="1541">
      <c r="A1541" s="16"/>
      <c r="B1541" s="17"/>
      <c r="C1541" s="24"/>
      <c r="D1541" s="25"/>
      <c r="E1541" s="24"/>
      <c r="F1541" s="25"/>
      <c r="G1541" s="24"/>
      <c r="H1541" s="25"/>
      <c r="I1541" s="24"/>
      <c r="J1541" s="25"/>
      <c r="K1541" s="25"/>
      <c r="L1541" s="24"/>
      <c r="M1541" s="24"/>
      <c r="N1541" s="24"/>
      <c r="O1541" s="24"/>
      <c r="P1541" s="24"/>
      <c r="Q1541" s="24"/>
      <c r="R1541" s="24"/>
      <c r="S1541" s="24"/>
      <c r="T1541" s="24"/>
      <c r="Z1541" s="25"/>
    </row>
    <row r="1542">
      <c r="A1542" s="16"/>
      <c r="B1542" s="17"/>
      <c r="C1542" s="24"/>
      <c r="D1542" s="25"/>
      <c r="E1542" s="24"/>
      <c r="F1542" s="25"/>
      <c r="G1542" s="24"/>
      <c r="H1542" s="25"/>
      <c r="I1542" s="24"/>
      <c r="J1542" s="25"/>
      <c r="K1542" s="25"/>
      <c r="L1542" s="24"/>
      <c r="M1542" s="24"/>
      <c r="N1542" s="24"/>
      <c r="O1542" s="24"/>
      <c r="P1542" s="24"/>
      <c r="Q1542" s="24"/>
      <c r="R1542" s="24"/>
      <c r="S1542" s="24"/>
      <c r="T1542" s="24"/>
      <c r="Z1542" s="25"/>
    </row>
    <row r="1543">
      <c r="A1543" s="16"/>
      <c r="B1543" s="17"/>
      <c r="C1543" s="24"/>
      <c r="D1543" s="25"/>
      <c r="E1543" s="24"/>
      <c r="F1543" s="25"/>
      <c r="G1543" s="24"/>
      <c r="H1543" s="25"/>
      <c r="I1543" s="24"/>
      <c r="J1543" s="25"/>
      <c r="K1543" s="25"/>
      <c r="L1543" s="24"/>
      <c r="M1543" s="24"/>
      <c r="N1543" s="24"/>
      <c r="O1543" s="24"/>
      <c r="P1543" s="24"/>
      <c r="Q1543" s="24"/>
      <c r="R1543" s="24"/>
      <c r="S1543" s="24"/>
      <c r="T1543" s="24"/>
      <c r="Z1543" s="25"/>
    </row>
    <row r="1544">
      <c r="A1544" s="16"/>
      <c r="B1544" s="17"/>
      <c r="C1544" s="24"/>
      <c r="D1544" s="25"/>
      <c r="E1544" s="24"/>
      <c r="F1544" s="25"/>
      <c r="G1544" s="24"/>
      <c r="H1544" s="25"/>
      <c r="I1544" s="24"/>
      <c r="J1544" s="25"/>
      <c r="K1544" s="25"/>
      <c r="L1544" s="24"/>
      <c r="M1544" s="24"/>
      <c r="N1544" s="24"/>
      <c r="O1544" s="24"/>
      <c r="P1544" s="24"/>
      <c r="Q1544" s="24"/>
      <c r="R1544" s="24"/>
      <c r="S1544" s="24"/>
      <c r="T1544" s="24"/>
      <c r="Z1544" s="25"/>
    </row>
    <row r="1545">
      <c r="A1545" s="16"/>
      <c r="B1545" s="17"/>
      <c r="C1545" s="24"/>
      <c r="D1545" s="25"/>
      <c r="E1545" s="24"/>
      <c r="F1545" s="25"/>
      <c r="G1545" s="24"/>
      <c r="H1545" s="25"/>
      <c r="I1545" s="24"/>
      <c r="J1545" s="25"/>
      <c r="K1545" s="25"/>
      <c r="L1545" s="24"/>
      <c r="M1545" s="24"/>
      <c r="N1545" s="24"/>
      <c r="O1545" s="24"/>
      <c r="P1545" s="24"/>
      <c r="Q1545" s="24"/>
      <c r="R1545" s="24"/>
      <c r="S1545" s="24"/>
      <c r="T1545" s="24"/>
      <c r="Z1545" s="25"/>
    </row>
    <row r="1546">
      <c r="A1546" s="16"/>
      <c r="B1546" s="17"/>
      <c r="C1546" s="24"/>
      <c r="D1546" s="25"/>
      <c r="E1546" s="24"/>
      <c r="F1546" s="25"/>
      <c r="G1546" s="24"/>
      <c r="H1546" s="25"/>
      <c r="I1546" s="24"/>
      <c r="J1546" s="25"/>
      <c r="K1546" s="25"/>
      <c r="L1546" s="24"/>
      <c r="M1546" s="24"/>
      <c r="N1546" s="24"/>
      <c r="O1546" s="24"/>
      <c r="P1546" s="24"/>
      <c r="Q1546" s="24"/>
      <c r="R1546" s="24"/>
      <c r="S1546" s="24"/>
      <c r="T1546" s="24"/>
      <c r="Z1546" s="25"/>
    </row>
    <row r="1547">
      <c r="A1547" s="16"/>
      <c r="B1547" s="17"/>
      <c r="C1547" s="24"/>
      <c r="D1547" s="25"/>
      <c r="E1547" s="24"/>
      <c r="F1547" s="25"/>
      <c r="G1547" s="24"/>
      <c r="H1547" s="25"/>
      <c r="I1547" s="24"/>
      <c r="J1547" s="25"/>
      <c r="K1547" s="25"/>
      <c r="L1547" s="24"/>
      <c r="M1547" s="24"/>
      <c r="N1547" s="24"/>
      <c r="O1547" s="24"/>
      <c r="P1547" s="24"/>
      <c r="Q1547" s="24"/>
      <c r="R1547" s="24"/>
      <c r="S1547" s="24"/>
      <c r="T1547" s="24"/>
      <c r="Z1547" s="25"/>
    </row>
    <row r="1548">
      <c r="A1548" s="16"/>
      <c r="B1548" s="17"/>
      <c r="C1548" s="24"/>
      <c r="D1548" s="25"/>
      <c r="E1548" s="24"/>
      <c r="F1548" s="25"/>
      <c r="G1548" s="24"/>
      <c r="H1548" s="25"/>
      <c r="I1548" s="24"/>
      <c r="J1548" s="25"/>
      <c r="K1548" s="25"/>
      <c r="L1548" s="24"/>
      <c r="M1548" s="24"/>
      <c r="N1548" s="24"/>
      <c r="O1548" s="24"/>
      <c r="P1548" s="24"/>
      <c r="Q1548" s="24"/>
      <c r="R1548" s="24"/>
      <c r="S1548" s="24"/>
      <c r="T1548" s="24"/>
      <c r="Z1548" s="25"/>
    </row>
    <row r="1549">
      <c r="A1549" s="16"/>
      <c r="B1549" s="17"/>
      <c r="C1549" s="24"/>
      <c r="D1549" s="25"/>
      <c r="E1549" s="24"/>
      <c r="F1549" s="25"/>
      <c r="G1549" s="24"/>
      <c r="H1549" s="25"/>
      <c r="I1549" s="24"/>
      <c r="J1549" s="25"/>
      <c r="K1549" s="25"/>
      <c r="L1549" s="24"/>
      <c r="M1549" s="24"/>
      <c r="N1549" s="24"/>
      <c r="O1549" s="24"/>
      <c r="P1549" s="24"/>
      <c r="Q1549" s="24"/>
      <c r="R1549" s="24"/>
      <c r="S1549" s="24"/>
      <c r="T1549" s="24"/>
      <c r="Z1549" s="25"/>
    </row>
    <row r="1550">
      <c r="A1550" s="16"/>
      <c r="B1550" s="17"/>
      <c r="C1550" s="24"/>
      <c r="D1550" s="25"/>
      <c r="E1550" s="24"/>
      <c r="F1550" s="25"/>
      <c r="G1550" s="24"/>
      <c r="H1550" s="25"/>
      <c r="I1550" s="24"/>
      <c r="J1550" s="25"/>
      <c r="K1550" s="25"/>
      <c r="L1550" s="24"/>
      <c r="M1550" s="24"/>
      <c r="N1550" s="24"/>
      <c r="O1550" s="24"/>
      <c r="P1550" s="24"/>
      <c r="Q1550" s="24"/>
      <c r="R1550" s="24"/>
      <c r="S1550" s="24"/>
      <c r="T1550" s="24"/>
      <c r="Z1550" s="25"/>
    </row>
    <row r="1551">
      <c r="A1551" s="16"/>
      <c r="B1551" s="17"/>
      <c r="C1551" s="24"/>
      <c r="D1551" s="25"/>
      <c r="E1551" s="24"/>
      <c r="F1551" s="25"/>
      <c r="G1551" s="24"/>
      <c r="H1551" s="25"/>
      <c r="I1551" s="24"/>
      <c r="J1551" s="25"/>
      <c r="K1551" s="25"/>
      <c r="L1551" s="24"/>
      <c r="M1551" s="24"/>
      <c r="N1551" s="24"/>
      <c r="O1551" s="24"/>
      <c r="P1551" s="24"/>
      <c r="Q1551" s="24"/>
      <c r="R1551" s="24"/>
      <c r="S1551" s="24"/>
      <c r="T1551" s="24"/>
      <c r="Z1551" s="25"/>
    </row>
    <row r="1552">
      <c r="A1552" s="16"/>
      <c r="B1552" s="17"/>
      <c r="C1552" s="24"/>
      <c r="D1552" s="25"/>
      <c r="E1552" s="24"/>
      <c r="F1552" s="25"/>
      <c r="G1552" s="24"/>
      <c r="H1552" s="25"/>
      <c r="I1552" s="24"/>
      <c r="J1552" s="25"/>
      <c r="K1552" s="25"/>
      <c r="L1552" s="24"/>
      <c r="M1552" s="24"/>
      <c r="N1552" s="24"/>
      <c r="O1552" s="24"/>
      <c r="P1552" s="24"/>
      <c r="Q1552" s="24"/>
      <c r="R1552" s="24"/>
      <c r="S1552" s="24"/>
      <c r="T1552" s="24"/>
      <c r="Z1552" s="25"/>
    </row>
    <row r="1553">
      <c r="A1553" s="16"/>
      <c r="B1553" s="17"/>
      <c r="C1553" s="24"/>
      <c r="D1553" s="25"/>
      <c r="E1553" s="24"/>
      <c r="F1553" s="25"/>
      <c r="G1553" s="24"/>
      <c r="H1553" s="25"/>
      <c r="I1553" s="24"/>
      <c r="J1553" s="25"/>
      <c r="K1553" s="25"/>
      <c r="L1553" s="24"/>
      <c r="M1553" s="24"/>
      <c r="N1553" s="24"/>
      <c r="O1553" s="24"/>
      <c r="P1553" s="24"/>
      <c r="Q1553" s="24"/>
      <c r="R1553" s="24"/>
      <c r="S1553" s="24"/>
      <c r="T1553" s="24"/>
      <c r="Z1553" s="25"/>
    </row>
    <row r="1554">
      <c r="A1554" s="16"/>
      <c r="B1554" s="17"/>
      <c r="C1554" s="24"/>
      <c r="D1554" s="25"/>
      <c r="E1554" s="24"/>
      <c r="F1554" s="25"/>
      <c r="G1554" s="24"/>
      <c r="H1554" s="25"/>
      <c r="I1554" s="24"/>
      <c r="J1554" s="25"/>
      <c r="K1554" s="25"/>
      <c r="L1554" s="24"/>
      <c r="M1554" s="24"/>
      <c r="N1554" s="24"/>
      <c r="O1554" s="24"/>
      <c r="P1554" s="24"/>
      <c r="Q1554" s="24"/>
      <c r="R1554" s="24"/>
      <c r="S1554" s="24"/>
      <c r="T1554" s="24"/>
      <c r="Z1554" s="25"/>
    </row>
    <row r="1555">
      <c r="A1555" s="16"/>
      <c r="B1555" s="17"/>
      <c r="C1555" s="24"/>
      <c r="D1555" s="25"/>
      <c r="E1555" s="24"/>
      <c r="F1555" s="25"/>
      <c r="G1555" s="24"/>
      <c r="H1555" s="25"/>
      <c r="I1555" s="24"/>
      <c r="J1555" s="25"/>
      <c r="K1555" s="25"/>
      <c r="L1555" s="24"/>
      <c r="M1555" s="24"/>
      <c r="N1555" s="24"/>
      <c r="O1555" s="24"/>
      <c r="P1555" s="24"/>
      <c r="Q1555" s="24"/>
      <c r="R1555" s="24"/>
      <c r="S1555" s="24"/>
      <c r="T1555" s="24"/>
      <c r="Z1555" s="25"/>
    </row>
    <row r="1556">
      <c r="A1556" s="16"/>
      <c r="B1556" s="17"/>
      <c r="C1556" s="24"/>
      <c r="D1556" s="25"/>
      <c r="E1556" s="24"/>
      <c r="F1556" s="25"/>
      <c r="G1556" s="24"/>
      <c r="H1556" s="25"/>
      <c r="I1556" s="24"/>
      <c r="J1556" s="25"/>
      <c r="K1556" s="25"/>
      <c r="L1556" s="24"/>
      <c r="M1556" s="24"/>
      <c r="N1556" s="24"/>
      <c r="O1556" s="24"/>
      <c r="P1556" s="24"/>
      <c r="Q1556" s="24"/>
      <c r="R1556" s="24"/>
      <c r="S1556" s="24"/>
      <c r="T1556" s="24"/>
      <c r="Z1556" s="25"/>
    </row>
    <row r="1557">
      <c r="A1557" s="16"/>
      <c r="B1557" s="17"/>
      <c r="C1557" s="24"/>
      <c r="D1557" s="25"/>
      <c r="E1557" s="24"/>
      <c r="F1557" s="25"/>
      <c r="G1557" s="24"/>
      <c r="H1557" s="25"/>
      <c r="I1557" s="24"/>
      <c r="J1557" s="25"/>
      <c r="K1557" s="25"/>
      <c r="L1557" s="24"/>
      <c r="M1557" s="24"/>
      <c r="N1557" s="24"/>
      <c r="O1557" s="24"/>
      <c r="P1557" s="24"/>
      <c r="Q1557" s="24"/>
      <c r="R1557" s="24"/>
      <c r="S1557" s="24"/>
      <c r="T1557" s="24"/>
      <c r="Z1557" s="25"/>
    </row>
    <row r="1558">
      <c r="A1558" s="16"/>
      <c r="B1558" s="17"/>
      <c r="C1558" s="24"/>
      <c r="D1558" s="25"/>
      <c r="E1558" s="24"/>
      <c r="F1558" s="25"/>
      <c r="G1558" s="24"/>
      <c r="H1558" s="25"/>
      <c r="I1558" s="24"/>
      <c r="J1558" s="25"/>
      <c r="K1558" s="25"/>
      <c r="L1558" s="24"/>
      <c r="M1558" s="24"/>
      <c r="N1558" s="24"/>
      <c r="O1558" s="24"/>
      <c r="P1558" s="24"/>
      <c r="Q1558" s="24"/>
      <c r="R1558" s="24"/>
      <c r="S1558" s="24"/>
      <c r="T1558" s="24"/>
      <c r="Z1558" s="25"/>
    </row>
    <row r="1559">
      <c r="A1559" s="16"/>
      <c r="B1559" s="17"/>
      <c r="C1559" s="24"/>
      <c r="D1559" s="25"/>
      <c r="E1559" s="24"/>
      <c r="F1559" s="25"/>
      <c r="G1559" s="24"/>
      <c r="H1559" s="25"/>
      <c r="I1559" s="24"/>
      <c r="J1559" s="25"/>
      <c r="K1559" s="25"/>
      <c r="L1559" s="24"/>
      <c r="M1559" s="24"/>
      <c r="N1559" s="24"/>
      <c r="O1559" s="24"/>
      <c r="P1559" s="24"/>
      <c r="Q1559" s="24"/>
      <c r="R1559" s="24"/>
      <c r="S1559" s="24"/>
      <c r="T1559" s="24"/>
      <c r="Z1559" s="25"/>
    </row>
    <row r="1560">
      <c r="A1560" s="16"/>
      <c r="B1560" s="17"/>
      <c r="C1560" s="24"/>
      <c r="D1560" s="25"/>
      <c r="E1560" s="24"/>
      <c r="F1560" s="25"/>
      <c r="G1560" s="24"/>
      <c r="H1560" s="25"/>
      <c r="I1560" s="24"/>
      <c r="J1560" s="25"/>
      <c r="K1560" s="25"/>
      <c r="L1560" s="24"/>
      <c r="M1560" s="24"/>
      <c r="N1560" s="24"/>
      <c r="O1560" s="24"/>
      <c r="P1560" s="24"/>
      <c r="Q1560" s="24"/>
      <c r="R1560" s="24"/>
      <c r="S1560" s="24"/>
      <c r="T1560" s="24"/>
      <c r="Z1560" s="25"/>
    </row>
    <row r="1561">
      <c r="A1561" s="16"/>
      <c r="B1561" s="17"/>
      <c r="C1561" s="24"/>
      <c r="D1561" s="25"/>
      <c r="E1561" s="24"/>
      <c r="F1561" s="25"/>
      <c r="G1561" s="24"/>
      <c r="H1561" s="25"/>
      <c r="I1561" s="24"/>
      <c r="J1561" s="25"/>
      <c r="K1561" s="25"/>
      <c r="L1561" s="24"/>
      <c r="M1561" s="24"/>
      <c r="N1561" s="24"/>
      <c r="O1561" s="24"/>
      <c r="P1561" s="24"/>
      <c r="Q1561" s="24"/>
      <c r="R1561" s="24"/>
      <c r="S1561" s="24"/>
      <c r="T1561" s="24"/>
      <c r="Z1561" s="25"/>
    </row>
    <row r="1562">
      <c r="A1562" s="16"/>
      <c r="B1562" s="17"/>
      <c r="C1562" s="24"/>
      <c r="D1562" s="25"/>
      <c r="E1562" s="24"/>
      <c r="F1562" s="25"/>
      <c r="G1562" s="24"/>
      <c r="H1562" s="25"/>
      <c r="I1562" s="24"/>
      <c r="J1562" s="25"/>
      <c r="K1562" s="25"/>
      <c r="L1562" s="24"/>
      <c r="M1562" s="24"/>
      <c r="N1562" s="24"/>
      <c r="O1562" s="24"/>
      <c r="P1562" s="24"/>
      <c r="Q1562" s="24"/>
      <c r="R1562" s="24"/>
      <c r="S1562" s="24"/>
      <c r="T1562" s="24"/>
      <c r="Z1562" s="25"/>
    </row>
    <row r="1563">
      <c r="A1563" s="16"/>
      <c r="B1563" s="17"/>
      <c r="C1563" s="24"/>
      <c r="D1563" s="25"/>
      <c r="E1563" s="24"/>
      <c r="F1563" s="25"/>
      <c r="G1563" s="24"/>
      <c r="H1563" s="25"/>
      <c r="I1563" s="24"/>
      <c r="J1563" s="25"/>
      <c r="K1563" s="25"/>
      <c r="L1563" s="24"/>
      <c r="M1563" s="24"/>
      <c r="N1563" s="24"/>
      <c r="O1563" s="24"/>
      <c r="P1563" s="24"/>
      <c r="Q1563" s="24"/>
      <c r="R1563" s="24"/>
      <c r="S1563" s="24"/>
      <c r="T1563" s="24"/>
      <c r="Z1563" s="25"/>
    </row>
    <row r="1564">
      <c r="A1564" s="16"/>
      <c r="B1564" s="17"/>
      <c r="C1564" s="24"/>
      <c r="D1564" s="25"/>
      <c r="E1564" s="24"/>
      <c r="F1564" s="25"/>
      <c r="G1564" s="24"/>
      <c r="H1564" s="25"/>
      <c r="I1564" s="24"/>
      <c r="J1564" s="25"/>
      <c r="K1564" s="25"/>
      <c r="L1564" s="24"/>
      <c r="M1564" s="24"/>
      <c r="N1564" s="24"/>
      <c r="O1564" s="24"/>
      <c r="P1564" s="24"/>
      <c r="Q1564" s="24"/>
      <c r="R1564" s="24"/>
      <c r="S1564" s="24"/>
      <c r="T1564" s="24"/>
      <c r="Z1564" s="25"/>
    </row>
    <row r="1565">
      <c r="A1565" s="16"/>
      <c r="B1565" s="17"/>
      <c r="C1565" s="24"/>
      <c r="D1565" s="25"/>
      <c r="E1565" s="24"/>
      <c r="F1565" s="25"/>
      <c r="G1565" s="24"/>
      <c r="H1565" s="25"/>
      <c r="I1565" s="24"/>
      <c r="J1565" s="25"/>
      <c r="K1565" s="25"/>
      <c r="L1565" s="24"/>
      <c r="M1565" s="24"/>
      <c r="N1565" s="24"/>
      <c r="O1565" s="24"/>
      <c r="P1565" s="24"/>
      <c r="Q1565" s="24"/>
      <c r="R1565" s="24"/>
      <c r="S1565" s="24"/>
      <c r="T1565" s="24"/>
      <c r="Z1565" s="25"/>
    </row>
    <row r="1566">
      <c r="A1566" s="16"/>
      <c r="B1566" s="17"/>
      <c r="C1566" s="24"/>
      <c r="D1566" s="25"/>
      <c r="E1566" s="24"/>
      <c r="F1566" s="25"/>
      <c r="G1566" s="24"/>
      <c r="H1566" s="25"/>
      <c r="I1566" s="24"/>
      <c r="J1566" s="25"/>
      <c r="K1566" s="25"/>
      <c r="L1566" s="24"/>
      <c r="M1566" s="24"/>
      <c r="N1566" s="24"/>
      <c r="O1566" s="24"/>
      <c r="P1566" s="24"/>
      <c r="Q1566" s="24"/>
      <c r="R1566" s="24"/>
      <c r="S1566" s="24"/>
      <c r="T1566" s="24"/>
      <c r="Z1566" s="25"/>
    </row>
    <row r="1567">
      <c r="A1567" s="16"/>
      <c r="B1567" s="17"/>
      <c r="C1567" s="24"/>
      <c r="D1567" s="25"/>
      <c r="E1567" s="24"/>
      <c r="F1567" s="25"/>
      <c r="G1567" s="24"/>
      <c r="H1567" s="25"/>
      <c r="I1567" s="24"/>
      <c r="J1567" s="25"/>
      <c r="K1567" s="25"/>
      <c r="L1567" s="24"/>
      <c r="M1567" s="24"/>
      <c r="N1567" s="24"/>
      <c r="O1567" s="24"/>
      <c r="P1567" s="24"/>
      <c r="Q1567" s="24"/>
      <c r="R1567" s="24"/>
      <c r="S1567" s="24"/>
      <c r="T1567" s="24"/>
      <c r="Z1567" s="25"/>
    </row>
    <row r="1568">
      <c r="A1568" s="16"/>
      <c r="B1568" s="17"/>
      <c r="C1568" s="24"/>
      <c r="D1568" s="25"/>
      <c r="E1568" s="24"/>
      <c r="F1568" s="25"/>
      <c r="G1568" s="24"/>
      <c r="H1568" s="25"/>
      <c r="I1568" s="24"/>
      <c r="J1568" s="25"/>
      <c r="K1568" s="25"/>
      <c r="L1568" s="24"/>
      <c r="M1568" s="24"/>
      <c r="N1568" s="24"/>
      <c r="O1568" s="24"/>
      <c r="P1568" s="24"/>
      <c r="Q1568" s="24"/>
      <c r="R1568" s="24"/>
      <c r="S1568" s="24"/>
      <c r="T1568" s="24"/>
      <c r="Z1568" s="25"/>
    </row>
    <row r="1569">
      <c r="A1569" s="16"/>
      <c r="B1569" s="17"/>
      <c r="C1569" s="24"/>
      <c r="D1569" s="25"/>
      <c r="E1569" s="24"/>
      <c r="F1569" s="25"/>
      <c r="G1569" s="24"/>
      <c r="H1569" s="25"/>
      <c r="I1569" s="24"/>
      <c r="J1569" s="25"/>
      <c r="K1569" s="25"/>
      <c r="L1569" s="24"/>
      <c r="M1569" s="24"/>
      <c r="N1569" s="24"/>
      <c r="O1569" s="24"/>
      <c r="P1569" s="24"/>
      <c r="Q1569" s="24"/>
      <c r="R1569" s="24"/>
      <c r="S1569" s="24"/>
      <c r="T1569" s="24"/>
      <c r="Z1569" s="25"/>
    </row>
    <row r="1570">
      <c r="A1570" s="16"/>
      <c r="B1570" s="17"/>
      <c r="C1570" s="24"/>
      <c r="D1570" s="25"/>
      <c r="E1570" s="24"/>
      <c r="F1570" s="25"/>
      <c r="G1570" s="24"/>
      <c r="H1570" s="25"/>
      <c r="I1570" s="24"/>
      <c r="J1570" s="25"/>
      <c r="K1570" s="25"/>
      <c r="L1570" s="24"/>
      <c r="M1570" s="24"/>
      <c r="N1570" s="24"/>
      <c r="O1570" s="24"/>
      <c r="P1570" s="24"/>
      <c r="Q1570" s="24"/>
      <c r="R1570" s="24"/>
      <c r="S1570" s="24"/>
      <c r="T1570" s="24"/>
      <c r="Z1570" s="25"/>
    </row>
    <row r="1571">
      <c r="A1571" s="16"/>
      <c r="B1571" s="17"/>
      <c r="C1571" s="24"/>
      <c r="D1571" s="25"/>
      <c r="E1571" s="24"/>
      <c r="F1571" s="25"/>
      <c r="G1571" s="24"/>
      <c r="H1571" s="25"/>
      <c r="I1571" s="24"/>
      <c r="J1571" s="25"/>
      <c r="K1571" s="25"/>
      <c r="L1571" s="24"/>
      <c r="M1571" s="24"/>
      <c r="N1571" s="24"/>
      <c r="O1571" s="24"/>
      <c r="P1571" s="24"/>
      <c r="Q1571" s="24"/>
      <c r="R1571" s="24"/>
      <c r="S1571" s="24"/>
      <c r="T1571" s="24"/>
      <c r="Z1571" s="25"/>
    </row>
    <row r="1572">
      <c r="A1572" s="16"/>
      <c r="B1572" s="17"/>
      <c r="C1572" s="24"/>
      <c r="D1572" s="25"/>
      <c r="E1572" s="24"/>
      <c r="F1572" s="25"/>
      <c r="G1572" s="24"/>
      <c r="H1572" s="25"/>
      <c r="I1572" s="24"/>
      <c r="J1572" s="25"/>
      <c r="K1572" s="25"/>
      <c r="L1572" s="24"/>
      <c r="M1572" s="24"/>
      <c r="N1572" s="24"/>
      <c r="O1572" s="24"/>
      <c r="P1572" s="24"/>
      <c r="Q1572" s="24"/>
      <c r="R1572" s="24"/>
      <c r="S1572" s="24"/>
      <c r="T1572" s="24"/>
      <c r="Z1572" s="25"/>
    </row>
    <row r="1573">
      <c r="A1573" s="16"/>
      <c r="B1573" s="17"/>
      <c r="C1573" s="24"/>
      <c r="D1573" s="25"/>
      <c r="E1573" s="24"/>
      <c r="F1573" s="25"/>
      <c r="G1573" s="24"/>
      <c r="H1573" s="25"/>
      <c r="I1573" s="24"/>
      <c r="J1573" s="25"/>
      <c r="K1573" s="25"/>
      <c r="L1573" s="24"/>
      <c r="M1573" s="24"/>
      <c r="N1573" s="24"/>
      <c r="O1573" s="24"/>
      <c r="P1573" s="24"/>
      <c r="Q1573" s="24"/>
      <c r="R1573" s="24"/>
      <c r="S1573" s="24"/>
      <c r="T1573" s="24"/>
      <c r="Z1573" s="25"/>
    </row>
    <row r="1574">
      <c r="A1574" s="16"/>
      <c r="B1574" s="17"/>
      <c r="C1574" s="24"/>
      <c r="D1574" s="25"/>
      <c r="E1574" s="24"/>
      <c r="F1574" s="25"/>
      <c r="G1574" s="24"/>
      <c r="H1574" s="25"/>
      <c r="I1574" s="24"/>
      <c r="J1574" s="25"/>
      <c r="K1574" s="25"/>
      <c r="L1574" s="24"/>
      <c r="M1574" s="24"/>
      <c r="N1574" s="24"/>
      <c r="O1574" s="24"/>
      <c r="P1574" s="24"/>
      <c r="Q1574" s="24"/>
      <c r="R1574" s="24"/>
      <c r="S1574" s="24"/>
      <c r="T1574" s="24"/>
      <c r="Z1574" s="25"/>
    </row>
    <row r="1575">
      <c r="A1575" s="16"/>
      <c r="B1575" s="17"/>
      <c r="C1575" s="24"/>
      <c r="D1575" s="25"/>
      <c r="E1575" s="24"/>
      <c r="F1575" s="25"/>
      <c r="G1575" s="24"/>
      <c r="H1575" s="25"/>
      <c r="I1575" s="24"/>
      <c r="J1575" s="25"/>
      <c r="K1575" s="25"/>
      <c r="L1575" s="24"/>
      <c r="M1575" s="24"/>
      <c r="N1575" s="24"/>
      <c r="O1575" s="24"/>
      <c r="P1575" s="24"/>
      <c r="Q1575" s="24"/>
      <c r="R1575" s="24"/>
      <c r="S1575" s="24"/>
      <c r="T1575" s="24"/>
      <c r="Z1575" s="25"/>
    </row>
    <row r="1576">
      <c r="A1576" s="16"/>
      <c r="B1576" s="17"/>
      <c r="C1576" s="24"/>
      <c r="D1576" s="25"/>
      <c r="E1576" s="24"/>
      <c r="F1576" s="25"/>
      <c r="G1576" s="24"/>
      <c r="H1576" s="25"/>
      <c r="I1576" s="24"/>
      <c r="J1576" s="25"/>
      <c r="K1576" s="25"/>
      <c r="L1576" s="24"/>
      <c r="M1576" s="24"/>
      <c r="N1576" s="24"/>
      <c r="O1576" s="24"/>
      <c r="P1576" s="24"/>
      <c r="Q1576" s="24"/>
      <c r="R1576" s="24"/>
      <c r="S1576" s="24"/>
      <c r="T1576" s="24"/>
      <c r="Z1576" s="25"/>
    </row>
    <row r="1577">
      <c r="A1577" s="16"/>
      <c r="B1577" s="17"/>
      <c r="C1577" s="24"/>
      <c r="D1577" s="25"/>
      <c r="E1577" s="24"/>
      <c r="F1577" s="25"/>
      <c r="G1577" s="24"/>
      <c r="H1577" s="25"/>
      <c r="I1577" s="24"/>
      <c r="J1577" s="25"/>
      <c r="K1577" s="25"/>
      <c r="L1577" s="24"/>
      <c r="M1577" s="24"/>
      <c r="N1577" s="24"/>
      <c r="O1577" s="24"/>
      <c r="P1577" s="24"/>
      <c r="Q1577" s="24"/>
      <c r="R1577" s="24"/>
      <c r="S1577" s="24"/>
      <c r="T1577" s="24"/>
      <c r="Z1577" s="25"/>
    </row>
    <row r="1578">
      <c r="A1578" s="16"/>
      <c r="B1578" s="17"/>
      <c r="C1578" s="24"/>
      <c r="D1578" s="25"/>
      <c r="E1578" s="24"/>
      <c r="F1578" s="25"/>
      <c r="G1578" s="24"/>
      <c r="H1578" s="25"/>
      <c r="I1578" s="24"/>
      <c r="J1578" s="25"/>
      <c r="K1578" s="25"/>
      <c r="L1578" s="24"/>
      <c r="M1578" s="24"/>
      <c r="N1578" s="24"/>
      <c r="O1578" s="24"/>
      <c r="P1578" s="24"/>
      <c r="Q1578" s="24"/>
      <c r="R1578" s="24"/>
      <c r="S1578" s="24"/>
      <c r="T1578" s="24"/>
      <c r="Z1578" s="25"/>
    </row>
    <row r="1579">
      <c r="A1579" s="16"/>
      <c r="B1579" s="17"/>
      <c r="C1579" s="24"/>
      <c r="D1579" s="25"/>
      <c r="E1579" s="24"/>
      <c r="F1579" s="25"/>
      <c r="G1579" s="24"/>
      <c r="H1579" s="25"/>
      <c r="I1579" s="24"/>
      <c r="J1579" s="25"/>
      <c r="K1579" s="25"/>
      <c r="L1579" s="24"/>
      <c r="M1579" s="24"/>
      <c r="N1579" s="24"/>
      <c r="O1579" s="24"/>
      <c r="P1579" s="24"/>
      <c r="Q1579" s="24"/>
      <c r="R1579" s="24"/>
      <c r="S1579" s="24"/>
      <c r="T1579" s="24"/>
      <c r="Z1579" s="25"/>
    </row>
    <row r="1580">
      <c r="A1580" s="16"/>
      <c r="B1580" s="17"/>
      <c r="C1580" s="24"/>
      <c r="D1580" s="25"/>
      <c r="E1580" s="24"/>
      <c r="F1580" s="25"/>
      <c r="G1580" s="24"/>
      <c r="H1580" s="25"/>
      <c r="I1580" s="24"/>
      <c r="J1580" s="25"/>
      <c r="K1580" s="25"/>
      <c r="L1580" s="24"/>
      <c r="M1580" s="24"/>
      <c r="N1580" s="24"/>
      <c r="O1580" s="24"/>
      <c r="P1580" s="24"/>
      <c r="Q1580" s="24"/>
      <c r="R1580" s="24"/>
      <c r="S1580" s="24"/>
      <c r="T1580" s="24"/>
      <c r="Z1580" s="25"/>
    </row>
    <row r="1581">
      <c r="A1581" s="16"/>
      <c r="B1581" s="17"/>
      <c r="C1581" s="24"/>
      <c r="D1581" s="25"/>
      <c r="E1581" s="24"/>
      <c r="F1581" s="25"/>
      <c r="G1581" s="24"/>
      <c r="H1581" s="25"/>
      <c r="I1581" s="24"/>
      <c r="J1581" s="25"/>
      <c r="K1581" s="25"/>
      <c r="L1581" s="24"/>
      <c r="M1581" s="24"/>
      <c r="N1581" s="24"/>
      <c r="O1581" s="24"/>
      <c r="P1581" s="24"/>
      <c r="Q1581" s="24"/>
      <c r="R1581" s="24"/>
      <c r="S1581" s="24"/>
      <c r="T1581" s="24"/>
      <c r="Z1581" s="25"/>
    </row>
    <row r="1582">
      <c r="A1582" s="16"/>
      <c r="B1582" s="17"/>
      <c r="C1582" s="24"/>
      <c r="D1582" s="25"/>
      <c r="E1582" s="24"/>
      <c r="F1582" s="25"/>
      <c r="G1582" s="24"/>
      <c r="H1582" s="25"/>
      <c r="I1582" s="24"/>
      <c r="J1582" s="25"/>
      <c r="K1582" s="25"/>
      <c r="L1582" s="24"/>
      <c r="M1582" s="24"/>
      <c r="N1582" s="24"/>
      <c r="O1582" s="24"/>
      <c r="P1582" s="24"/>
      <c r="Q1582" s="24"/>
      <c r="R1582" s="24"/>
      <c r="S1582" s="24"/>
      <c r="T1582" s="24"/>
      <c r="Z1582" s="25"/>
    </row>
    <row r="1583">
      <c r="A1583" s="16"/>
      <c r="B1583" s="17"/>
      <c r="C1583" s="24"/>
      <c r="D1583" s="25"/>
      <c r="E1583" s="24"/>
      <c r="F1583" s="25"/>
      <c r="G1583" s="24"/>
      <c r="H1583" s="25"/>
      <c r="I1583" s="24"/>
      <c r="J1583" s="25"/>
      <c r="K1583" s="25"/>
      <c r="L1583" s="24"/>
      <c r="M1583" s="24"/>
      <c r="N1583" s="24"/>
      <c r="O1583" s="24"/>
      <c r="P1583" s="24"/>
      <c r="Q1583" s="24"/>
      <c r="R1583" s="24"/>
      <c r="S1583" s="24"/>
      <c r="T1583" s="24"/>
      <c r="Z1583" s="25"/>
    </row>
    <row r="1584">
      <c r="A1584" s="16"/>
      <c r="B1584" s="17"/>
      <c r="C1584" s="24"/>
      <c r="D1584" s="25"/>
      <c r="E1584" s="24"/>
      <c r="F1584" s="25"/>
      <c r="G1584" s="24"/>
      <c r="H1584" s="25"/>
      <c r="I1584" s="24"/>
      <c r="J1584" s="25"/>
      <c r="K1584" s="25"/>
      <c r="L1584" s="24"/>
      <c r="M1584" s="24"/>
      <c r="N1584" s="24"/>
      <c r="O1584" s="24"/>
      <c r="P1584" s="24"/>
      <c r="Q1584" s="24"/>
      <c r="R1584" s="24"/>
      <c r="S1584" s="24"/>
      <c r="T1584" s="24"/>
      <c r="Z1584" s="25"/>
    </row>
    <row r="1585">
      <c r="A1585" s="16"/>
      <c r="B1585" s="17"/>
      <c r="C1585" s="24"/>
      <c r="D1585" s="25"/>
      <c r="E1585" s="24"/>
      <c r="F1585" s="25"/>
      <c r="G1585" s="24"/>
      <c r="H1585" s="25"/>
      <c r="I1585" s="24"/>
      <c r="J1585" s="25"/>
      <c r="K1585" s="25"/>
      <c r="L1585" s="24"/>
      <c r="M1585" s="24"/>
      <c r="N1585" s="24"/>
      <c r="O1585" s="24"/>
      <c r="P1585" s="24"/>
      <c r="Q1585" s="24"/>
      <c r="R1585" s="24"/>
      <c r="S1585" s="24"/>
      <c r="T1585" s="24"/>
      <c r="Z1585" s="25"/>
    </row>
    <row r="1586">
      <c r="A1586" s="16"/>
      <c r="B1586" s="17"/>
      <c r="C1586" s="24"/>
      <c r="D1586" s="25"/>
      <c r="E1586" s="24"/>
      <c r="F1586" s="25"/>
      <c r="G1586" s="24"/>
      <c r="H1586" s="25"/>
      <c r="I1586" s="24"/>
      <c r="J1586" s="25"/>
      <c r="K1586" s="25"/>
      <c r="L1586" s="24"/>
      <c r="M1586" s="24"/>
      <c r="N1586" s="24"/>
      <c r="O1586" s="24"/>
      <c r="P1586" s="24"/>
      <c r="Q1586" s="24"/>
      <c r="R1586" s="24"/>
      <c r="S1586" s="24"/>
      <c r="T1586" s="24"/>
      <c r="Z1586" s="25"/>
    </row>
    <row r="1587">
      <c r="A1587" s="16"/>
      <c r="B1587" s="17"/>
      <c r="C1587" s="24"/>
      <c r="D1587" s="25"/>
      <c r="E1587" s="24"/>
      <c r="F1587" s="25"/>
      <c r="G1587" s="24"/>
      <c r="H1587" s="25"/>
      <c r="I1587" s="24"/>
      <c r="J1587" s="25"/>
      <c r="K1587" s="25"/>
      <c r="L1587" s="24"/>
      <c r="M1587" s="24"/>
      <c r="N1587" s="24"/>
      <c r="O1587" s="24"/>
      <c r="P1587" s="24"/>
      <c r="Q1587" s="24"/>
      <c r="R1587" s="24"/>
      <c r="S1587" s="24"/>
      <c r="T1587" s="24"/>
      <c r="Z1587" s="25"/>
    </row>
    <row r="1588">
      <c r="A1588" s="16"/>
      <c r="B1588" s="17"/>
      <c r="C1588" s="24"/>
      <c r="D1588" s="25"/>
      <c r="E1588" s="24"/>
      <c r="F1588" s="25"/>
      <c r="G1588" s="24"/>
      <c r="H1588" s="25"/>
      <c r="I1588" s="24"/>
      <c r="J1588" s="25"/>
      <c r="K1588" s="25"/>
      <c r="L1588" s="24"/>
      <c r="M1588" s="24"/>
      <c r="N1588" s="24"/>
      <c r="O1588" s="24"/>
      <c r="P1588" s="24"/>
      <c r="Q1588" s="24"/>
      <c r="R1588" s="24"/>
      <c r="S1588" s="24"/>
      <c r="T1588" s="24"/>
      <c r="Z1588" s="25"/>
    </row>
    <row r="1589">
      <c r="A1589" s="16"/>
      <c r="B1589" s="17"/>
      <c r="C1589" s="24"/>
      <c r="D1589" s="25"/>
      <c r="E1589" s="24"/>
      <c r="F1589" s="25"/>
      <c r="G1589" s="24"/>
      <c r="H1589" s="25"/>
      <c r="I1589" s="24"/>
      <c r="J1589" s="25"/>
      <c r="K1589" s="25"/>
      <c r="L1589" s="24"/>
      <c r="M1589" s="24"/>
      <c r="N1589" s="24"/>
      <c r="O1589" s="24"/>
      <c r="P1589" s="24"/>
      <c r="Q1589" s="24"/>
      <c r="R1589" s="24"/>
      <c r="S1589" s="24"/>
      <c r="T1589" s="24"/>
      <c r="Z1589" s="25"/>
    </row>
    <row r="1590">
      <c r="A1590" s="16"/>
      <c r="B1590" s="17"/>
      <c r="C1590" s="24"/>
      <c r="D1590" s="25"/>
      <c r="E1590" s="24"/>
      <c r="F1590" s="25"/>
      <c r="G1590" s="24"/>
      <c r="H1590" s="25"/>
      <c r="I1590" s="24"/>
      <c r="J1590" s="25"/>
      <c r="K1590" s="25"/>
      <c r="L1590" s="24"/>
      <c r="M1590" s="24"/>
      <c r="N1590" s="24"/>
      <c r="O1590" s="24"/>
      <c r="P1590" s="24"/>
      <c r="Q1590" s="24"/>
      <c r="R1590" s="24"/>
      <c r="S1590" s="24"/>
      <c r="T1590" s="24"/>
      <c r="Z1590" s="25"/>
    </row>
    <row r="1591">
      <c r="A1591" s="16"/>
      <c r="B1591" s="17"/>
      <c r="C1591" s="24"/>
      <c r="D1591" s="25"/>
      <c r="E1591" s="24"/>
      <c r="F1591" s="25"/>
      <c r="G1591" s="24"/>
      <c r="H1591" s="25"/>
      <c r="I1591" s="24"/>
      <c r="J1591" s="25"/>
      <c r="K1591" s="25"/>
      <c r="L1591" s="24"/>
      <c r="M1591" s="24"/>
      <c r="N1591" s="24"/>
      <c r="O1591" s="24"/>
      <c r="P1591" s="24"/>
      <c r="Q1591" s="24"/>
      <c r="R1591" s="24"/>
      <c r="S1591" s="24"/>
      <c r="T1591" s="24"/>
      <c r="Z1591" s="25"/>
    </row>
    <row r="1592">
      <c r="A1592" s="16"/>
      <c r="B1592" s="17"/>
      <c r="C1592" s="24"/>
      <c r="D1592" s="25"/>
      <c r="E1592" s="24"/>
      <c r="F1592" s="25"/>
      <c r="G1592" s="24"/>
      <c r="H1592" s="25"/>
      <c r="I1592" s="24"/>
      <c r="J1592" s="25"/>
      <c r="K1592" s="25"/>
      <c r="L1592" s="24"/>
      <c r="M1592" s="24"/>
      <c r="N1592" s="24"/>
      <c r="O1592" s="24"/>
      <c r="P1592" s="24"/>
      <c r="Q1592" s="24"/>
      <c r="R1592" s="24"/>
      <c r="S1592" s="24"/>
      <c r="T1592" s="24"/>
      <c r="Z1592" s="25"/>
    </row>
    <row r="1593">
      <c r="A1593" s="16"/>
      <c r="B1593" s="17"/>
      <c r="C1593" s="24"/>
      <c r="D1593" s="25"/>
      <c r="E1593" s="24"/>
      <c r="F1593" s="25"/>
      <c r="G1593" s="24"/>
      <c r="H1593" s="25"/>
      <c r="I1593" s="24"/>
      <c r="J1593" s="25"/>
      <c r="K1593" s="25"/>
      <c r="L1593" s="24"/>
      <c r="M1593" s="24"/>
      <c r="N1593" s="24"/>
      <c r="O1593" s="24"/>
      <c r="P1593" s="24"/>
      <c r="Q1593" s="24"/>
      <c r="R1593" s="24"/>
      <c r="S1593" s="24"/>
      <c r="T1593" s="24"/>
      <c r="Z1593" s="25"/>
    </row>
    <row r="1594">
      <c r="A1594" s="16"/>
      <c r="B1594" s="17"/>
      <c r="C1594" s="24"/>
      <c r="D1594" s="25"/>
      <c r="E1594" s="24"/>
      <c r="F1594" s="25"/>
      <c r="G1594" s="24"/>
      <c r="H1594" s="25"/>
      <c r="I1594" s="24"/>
      <c r="J1594" s="25"/>
      <c r="K1594" s="25"/>
      <c r="L1594" s="24"/>
      <c r="M1594" s="24"/>
      <c r="N1594" s="24"/>
      <c r="O1594" s="24"/>
      <c r="P1594" s="24"/>
      <c r="Q1594" s="24"/>
      <c r="R1594" s="24"/>
      <c r="S1594" s="24"/>
      <c r="T1594" s="24"/>
      <c r="Z1594" s="25"/>
    </row>
    <row r="1595">
      <c r="A1595" s="16"/>
      <c r="B1595" s="17"/>
      <c r="C1595" s="24"/>
      <c r="D1595" s="25"/>
      <c r="E1595" s="24"/>
      <c r="F1595" s="25"/>
      <c r="G1595" s="24"/>
      <c r="H1595" s="25"/>
      <c r="I1595" s="24"/>
      <c r="J1595" s="25"/>
      <c r="K1595" s="25"/>
      <c r="L1595" s="24"/>
      <c r="M1595" s="24"/>
      <c r="N1595" s="24"/>
      <c r="O1595" s="24"/>
      <c r="P1595" s="24"/>
      <c r="Q1595" s="24"/>
      <c r="R1595" s="24"/>
      <c r="S1595" s="24"/>
      <c r="T1595" s="24"/>
      <c r="Z1595" s="25"/>
    </row>
    <row r="1596">
      <c r="A1596" s="16"/>
      <c r="B1596" s="17"/>
      <c r="C1596" s="24"/>
      <c r="D1596" s="25"/>
      <c r="E1596" s="24"/>
      <c r="F1596" s="25"/>
      <c r="G1596" s="24"/>
      <c r="H1596" s="25"/>
      <c r="I1596" s="24"/>
      <c r="J1596" s="25"/>
      <c r="K1596" s="25"/>
      <c r="L1596" s="24"/>
      <c r="M1596" s="24"/>
      <c r="N1596" s="24"/>
      <c r="O1596" s="24"/>
      <c r="P1596" s="24"/>
      <c r="Q1596" s="24"/>
      <c r="R1596" s="24"/>
      <c r="S1596" s="24"/>
      <c r="T1596" s="24"/>
      <c r="Z1596" s="25"/>
    </row>
    <row r="1597">
      <c r="A1597" s="16"/>
      <c r="B1597" s="17"/>
      <c r="C1597" s="24"/>
      <c r="D1597" s="25"/>
      <c r="E1597" s="24"/>
      <c r="F1597" s="25"/>
      <c r="G1597" s="24"/>
      <c r="H1597" s="25"/>
      <c r="I1597" s="24"/>
      <c r="J1597" s="25"/>
      <c r="K1597" s="25"/>
      <c r="L1597" s="24"/>
      <c r="M1597" s="24"/>
      <c r="N1597" s="24"/>
      <c r="O1597" s="24"/>
      <c r="P1597" s="24"/>
      <c r="Q1597" s="24"/>
      <c r="R1597" s="24"/>
      <c r="S1597" s="24"/>
      <c r="T1597" s="24"/>
      <c r="Z1597" s="25"/>
    </row>
    <row r="1598">
      <c r="A1598" s="16"/>
      <c r="B1598" s="17"/>
      <c r="C1598" s="24"/>
      <c r="D1598" s="25"/>
      <c r="E1598" s="24"/>
      <c r="F1598" s="25"/>
      <c r="G1598" s="24"/>
      <c r="H1598" s="25"/>
      <c r="I1598" s="24"/>
      <c r="J1598" s="25"/>
      <c r="K1598" s="25"/>
      <c r="L1598" s="24"/>
      <c r="M1598" s="24"/>
      <c r="N1598" s="24"/>
      <c r="O1598" s="24"/>
      <c r="P1598" s="24"/>
      <c r="Q1598" s="24"/>
      <c r="R1598" s="24"/>
      <c r="S1598" s="24"/>
      <c r="T1598" s="24"/>
      <c r="Z1598" s="25"/>
    </row>
    <row r="1599">
      <c r="A1599" s="16"/>
      <c r="B1599" s="17"/>
      <c r="C1599" s="24"/>
      <c r="D1599" s="25"/>
      <c r="E1599" s="24"/>
      <c r="F1599" s="25"/>
      <c r="G1599" s="24"/>
      <c r="H1599" s="25"/>
      <c r="I1599" s="24"/>
      <c r="J1599" s="25"/>
      <c r="K1599" s="25"/>
      <c r="L1599" s="24"/>
      <c r="M1599" s="24"/>
      <c r="N1599" s="24"/>
      <c r="O1599" s="24"/>
      <c r="P1599" s="24"/>
      <c r="Q1599" s="24"/>
      <c r="R1599" s="24"/>
      <c r="S1599" s="24"/>
      <c r="T1599" s="24"/>
      <c r="Z1599" s="25"/>
    </row>
    <row r="1600">
      <c r="A1600" s="16"/>
      <c r="B1600" s="17"/>
      <c r="C1600" s="24"/>
      <c r="D1600" s="25"/>
      <c r="E1600" s="24"/>
      <c r="F1600" s="25"/>
      <c r="G1600" s="24"/>
      <c r="H1600" s="25"/>
      <c r="I1600" s="24"/>
      <c r="J1600" s="25"/>
      <c r="K1600" s="25"/>
      <c r="L1600" s="24"/>
      <c r="M1600" s="24"/>
      <c r="N1600" s="24"/>
      <c r="O1600" s="24"/>
      <c r="P1600" s="24"/>
      <c r="Q1600" s="24"/>
      <c r="R1600" s="24"/>
      <c r="S1600" s="24"/>
      <c r="T1600" s="24"/>
      <c r="Z1600" s="25"/>
    </row>
    <row r="1601">
      <c r="A1601" s="16"/>
      <c r="B1601" s="17"/>
      <c r="C1601" s="24"/>
      <c r="D1601" s="25"/>
      <c r="E1601" s="24"/>
      <c r="F1601" s="25"/>
      <c r="G1601" s="24"/>
      <c r="H1601" s="25"/>
      <c r="I1601" s="24"/>
      <c r="J1601" s="25"/>
      <c r="K1601" s="25"/>
      <c r="L1601" s="24"/>
      <c r="M1601" s="24"/>
      <c r="N1601" s="24"/>
      <c r="O1601" s="24"/>
      <c r="P1601" s="24"/>
      <c r="Q1601" s="24"/>
      <c r="R1601" s="24"/>
      <c r="S1601" s="24"/>
      <c r="T1601" s="24"/>
      <c r="Z1601" s="25"/>
    </row>
    <row r="1602">
      <c r="A1602" s="16"/>
      <c r="B1602" s="17"/>
      <c r="C1602" s="24"/>
      <c r="D1602" s="25"/>
      <c r="E1602" s="24"/>
      <c r="F1602" s="25"/>
      <c r="G1602" s="24"/>
      <c r="H1602" s="25"/>
      <c r="I1602" s="24"/>
      <c r="J1602" s="25"/>
      <c r="K1602" s="25"/>
      <c r="L1602" s="24"/>
      <c r="M1602" s="24"/>
      <c r="N1602" s="24"/>
      <c r="O1602" s="24"/>
      <c r="P1602" s="24"/>
      <c r="Q1602" s="24"/>
      <c r="R1602" s="24"/>
      <c r="S1602" s="24"/>
      <c r="T1602" s="24"/>
      <c r="Z1602" s="25"/>
    </row>
    <row r="1603">
      <c r="A1603" s="16"/>
      <c r="B1603" s="17"/>
      <c r="C1603" s="24"/>
      <c r="D1603" s="25"/>
      <c r="E1603" s="24"/>
      <c r="F1603" s="25"/>
      <c r="G1603" s="24"/>
      <c r="H1603" s="25"/>
      <c r="I1603" s="24"/>
      <c r="J1603" s="25"/>
      <c r="K1603" s="25"/>
      <c r="L1603" s="24"/>
      <c r="M1603" s="24"/>
      <c r="N1603" s="24"/>
      <c r="O1603" s="24"/>
      <c r="P1603" s="24"/>
      <c r="Q1603" s="24"/>
      <c r="R1603" s="24"/>
      <c r="S1603" s="24"/>
      <c r="T1603" s="24"/>
      <c r="Z1603" s="25"/>
    </row>
    <row r="1604">
      <c r="A1604" s="16"/>
      <c r="B1604" s="17"/>
      <c r="C1604" s="24"/>
      <c r="D1604" s="25"/>
      <c r="E1604" s="24"/>
      <c r="F1604" s="25"/>
      <c r="G1604" s="24"/>
      <c r="H1604" s="25"/>
      <c r="I1604" s="24"/>
      <c r="J1604" s="25"/>
      <c r="K1604" s="25"/>
      <c r="L1604" s="24"/>
      <c r="M1604" s="24"/>
      <c r="N1604" s="24"/>
      <c r="O1604" s="24"/>
      <c r="P1604" s="24"/>
      <c r="Q1604" s="24"/>
      <c r="R1604" s="24"/>
      <c r="S1604" s="24"/>
      <c r="T1604" s="24"/>
      <c r="Z1604" s="25"/>
    </row>
    <row r="1605">
      <c r="A1605" s="16"/>
      <c r="B1605" s="17"/>
      <c r="C1605" s="24"/>
      <c r="D1605" s="25"/>
      <c r="E1605" s="24"/>
      <c r="F1605" s="25"/>
      <c r="G1605" s="24"/>
      <c r="H1605" s="25"/>
      <c r="I1605" s="24"/>
      <c r="J1605" s="25"/>
      <c r="K1605" s="25"/>
      <c r="L1605" s="24"/>
      <c r="M1605" s="24"/>
      <c r="N1605" s="24"/>
      <c r="O1605" s="24"/>
      <c r="P1605" s="24"/>
      <c r="Q1605" s="24"/>
      <c r="R1605" s="24"/>
      <c r="S1605" s="24"/>
      <c r="T1605" s="24"/>
      <c r="Z1605" s="25"/>
    </row>
    <row r="1606">
      <c r="A1606" s="16"/>
      <c r="B1606" s="17"/>
      <c r="C1606" s="24"/>
      <c r="D1606" s="25"/>
      <c r="E1606" s="24"/>
      <c r="F1606" s="25"/>
      <c r="G1606" s="24"/>
      <c r="H1606" s="25"/>
      <c r="I1606" s="24"/>
      <c r="J1606" s="25"/>
      <c r="K1606" s="25"/>
      <c r="L1606" s="24"/>
      <c r="M1606" s="24"/>
      <c r="N1606" s="24"/>
      <c r="O1606" s="24"/>
      <c r="P1606" s="24"/>
      <c r="Q1606" s="24"/>
      <c r="R1606" s="24"/>
      <c r="S1606" s="24"/>
      <c r="T1606" s="24"/>
      <c r="Z1606" s="25"/>
    </row>
    <row r="1607">
      <c r="A1607" s="16"/>
      <c r="B1607" s="17"/>
      <c r="C1607" s="24"/>
      <c r="D1607" s="25"/>
      <c r="E1607" s="24"/>
      <c r="F1607" s="25"/>
      <c r="G1607" s="24"/>
      <c r="H1607" s="25"/>
      <c r="I1607" s="24"/>
      <c r="J1607" s="25"/>
      <c r="K1607" s="25"/>
      <c r="L1607" s="24"/>
      <c r="M1607" s="24"/>
      <c r="N1607" s="24"/>
      <c r="O1607" s="24"/>
      <c r="P1607" s="24"/>
      <c r="Q1607" s="24"/>
      <c r="R1607" s="24"/>
      <c r="S1607" s="24"/>
      <c r="T1607" s="24"/>
      <c r="Z1607" s="25"/>
    </row>
    <row r="1608">
      <c r="A1608" s="16"/>
      <c r="B1608" s="17"/>
      <c r="C1608" s="24"/>
      <c r="D1608" s="25"/>
      <c r="E1608" s="24"/>
      <c r="F1608" s="25"/>
      <c r="G1608" s="24"/>
      <c r="H1608" s="25"/>
      <c r="I1608" s="24"/>
      <c r="J1608" s="25"/>
      <c r="K1608" s="25"/>
      <c r="L1608" s="24"/>
      <c r="M1608" s="24"/>
      <c r="N1608" s="24"/>
      <c r="O1608" s="24"/>
      <c r="P1608" s="24"/>
      <c r="Q1608" s="24"/>
      <c r="R1608" s="24"/>
      <c r="S1608" s="24"/>
      <c r="T1608" s="24"/>
      <c r="Z1608" s="25"/>
    </row>
    <row r="1609">
      <c r="A1609" s="16"/>
      <c r="B1609" s="17"/>
      <c r="C1609" s="24"/>
      <c r="D1609" s="25"/>
      <c r="E1609" s="24"/>
      <c r="F1609" s="25"/>
      <c r="G1609" s="24"/>
      <c r="H1609" s="25"/>
      <c r="I1609" s="24"/>
      <c r="J1609" s="25"/>
      <c r="K1609" s="25"/>
      <c r="L1609" s="24"/>
      <c r="M1609" s="24"/>
      <c r="N1609" s="24"/>
      <c r="O1609" s="24"/>
      <c r="P1609" s="24"/>
      <c r="Q1609" s="24"/>
      <c r="R1609" s="24"/>
      <c r="S1609" s="24"/>
      <c r="T1609" s="24"/>
      <c r="Z1609" s="25"/>
    </row>
    <row r="1610">
      <c r="A1610" s="16"/>
      <c r="B1610" s="17"/>
      <c r="C1610" s="24"/>
      <c r="D1610" s="25"/>
      <c r="E1610" s="24"/>
      <c r="F1610" s="25"/>
      <c r="G1610" s="24"/>
      <c r="H1610" s="25"/>
      <c r="I1610" s="24"/>
      <c r="J1610" s="25"/>
      <c r="K1610" s="25"/>
      <c r="L1610" s="24"/>
      <c r="M1610" s="24"/>
      <c r="N1610" s="24"/>
      <c r="O1610" s="24"/>
      <c r="P1610" s="24"/>
      <c r="Q1610" s="24"/>
      <c r="R1610" s="24"/>
      <c r="S1610" s="24"/>
      <c r="T1610" s="24"/>
      <c r="Z1610" s="25"/>
    </row>
    <row r="1611">
      <c r="A1611" s="16"/>
      <c r="B1611" s="17"/>
      <c r="C1611" s="24"/>
      <c r="D1611" s="25"/>
      <c r="E1611" s="24"/>
      <c r="F1611" s="25"/>
      <c r="G1611" s="24"/>
      <c r="H1611" s="25"/>
      <c r="I1611" s="24"/>
      <c r="J1611" s="25"/>
      <c r="K1611" s="25"/>
      <c r="L1611" s="24"/>
      <c r="M1611" s="24"/>
      <c r="N1611" s="24"/>
      <c r="O1611" s="24"/>
      <c r="P1611" s="24"/>
      <c r="Q1611" s="24"/>
      <c r="R1611" s="24"/>
      <c r="S1611" s="24"/>
      <c r="T1611" s="24"/>
      <c r="Z1611" s="25"/>
    </row>
    <row r="1612">
      <c r="A1612" s="16"/>
      <c r="B1612" s="17"/>
      <c r="C1612" s="24"/>
      <c r="D1612" s="25"/>
      <c r="E1612" s="24"/>
      <c r="F1612" s="25"/>
      <c r="G1612" s="24"/>
      <c r="H1612" s="25"/>
      <c r="I1612" s="24"/>
      <c r="J1612" s="25"/>
      <c r="K1612" s="25"/>
      <c r="L1612" s="24"/>
      <c r="M1612" s="24"/>
      <c r="N1612" s="24"/>
      <c r="O1612" s="24"/>
      <c r="P1612" s="24"/>
      <c r="Q1612" s="24"/>
      <c r="R1612" s="24"/>
      <c r="S1612" s="24"/>
      <c r="T1612" s="24"/>
      <c r="Z1612" s="25"/>
    </row>
    <row r="1613">
      <c r="A1613" s="16"/>
      <c r="B1613" s="17"/>
      <c r="C1613" s="24"/>
      <c r="D1613" s="25"/>
      <c r="E1613" s="24"/>
      <c r="F1613" s="25"/>
      <c r="G1613" s="24"/>
      <c r="H1613" s="25"/>
      <c r="I1613" s="24"/>
      <c r="J1613" s="25"/>
      <c r="K1613" s="25"/>
      <c r="L1613" s="24"/>
      <c r="M1613" s="24"/>
      <c r="N1613" s="24"/>
      <c r="O1613" s="24"/>
      <c r="P1613" s="24"/>
      <c r="Q1613" s="24"/>
      <c r="R1613" s="24"/>
      <c r="S1613" s="24"/>
      <c r="T1613" s="24"/>
      <c r="Z1613" s="25"/>
    </row>
    <row r="1614">
      <c r="A1614" s="16"/>
      <c r="B1614" s="17"/>
      <c r="C1614" s="24"/>
      <c r="D1614" s="25"/>
      <c r="E1614" s="24"/>
      <c r="F1614" s="25"/>
      <c r="G1614" s="24"/>
      <c r="H1614" s="25"/>
      <c r="I1614" s="24"/>
      <c r="J1614" s="25"/>
      <c r="K1614" s="25"/>
      <c r="L1614" s="24"/>
      <c r="M1614" s="24"/>
      <c r="N1614" s="24"/>
      <c r="O1614" s="24"/>
      <c r="P1614" s="24"/>
      <c r="Q1614" s="24"/>
      <c r="R1614" s="24"/>
      <c r="S1614" s="24"/>
      <c r="T1614" s="24"/>
      <c r="Z1614" s="25"/>
    </row>
    <row r="1615">
      <c r="A1615" s="16"/>
      <c r="B1615" s="17"/>
      <c r="C1615" s="24"/>
      <c r="D1615" s="25"/>
      <c r="E1615" s="24"/>
      <c r="F1615" s="25"/>
      <c r="G1615" s="24"/>
      <c r="H1615" s="25"/>
      <c r="I1615" s="24"/>
      <c r="J1615" s="25"/>
      <c r="K1615" s="25"/>
      <c r="L1615" s="24"/>
      <c r="M1615" s="24"/>
      <c r="N1615" s="24"/>
      <c r="O1615" s="24"/>
      <c r="P1615" s="24"/>
      <c r="Q1615" s="24"/>
      <c r="R1615" s="24"/>
      <c r="S1615" s="24"/>
      <c r="T1615" s="24"/>
      <c r="Z1615" s="25"/>
    </row>
    <row r="1616">
      <c r="A1616" s="16"/>
      <c r="B1616" s="17"/>
      <c r="C1616" s="24"/>
      <c r="D1616" s="25"/>
      <c r="E1616" s="24"/>
      <c r="F1616" s="25"/>
      <c r="G1616" s="24"/>
      <c r="H1616" s="25"/>
      <c r="I1616" s="24"/>
      <c r="J1616" s="25"/>
      <c r="K1616" s="25"/>
      <c r="L1616" s="24"/>
      <c r="M1616" s="24"/>
      <c r="N1616" s="24"/>
      <c r="O1616" s="24"/>
      <c r="P1616" s="24"/>
      <c r="Q1616" s="24"/>
      <c r="R1616" s="24"/>
      <c r="S1616" s="24"/>
      <c r="T1616" s="24"/>
      <c r="Z1616" s="25"/>
    </row>
    <row r="1617">
      <c r="A1617" s="16"/>
      <c r="B1617" s="17"/>
      <c r="C1617" s="24"/>
      <c r="D1617" s="25"/>
      <c r="E1617" s="24"/>
      <c r="F1617" s="25"/>
      <c r="G1617" s="24"/>
      <c r="H1617" s="25"/>
      <c r="I1617" s="24"/>
      <c r="J1617" s="25"/>
      <c r="K1617" s="25"/>
      <c r="L1617" s="24"/>
      <c r="M1617" s="24"/>
      <c r="N1617" s="24"/>
      <c r="O1617" s="24"/>
      <c r="P1617" s="24"/>
      <c r="Q1617" s="24"/>
      <c r="R1617" s="24"/>
      <c r="S1617" s="24"/>
      <c r="T1617" s="24"/>
      <c r="Z1617" s="25"/>
    </row>
    <row r="1618">
      <c r="A1618" s="16"/>
      <c r="B1618" s="17"/>
      <c r="C1618" s="24"/>
      <c r="D1618" s="25"/>
      <c r="E1618" s="24"/>
      <c r="F1618" s="25"/>
      <c r="G1618" s="24"/>
      <c r="H1618" s="25"/>
      <c r="I1618" s="24"/>
      <c r="J1618" s="25"/>
      <c r="K1618" s="25"/>
      <c r="L1618" s="24"/>
      <c r="M1618" s="24"/>
      <c r="N1618" s="24"/>
      <c r="O1618" s="24"/>
      <c r="P1618" s="24"/>
      <c r="Q1618" s="24"/>
      <c r="R1618" s="24"/>
      <c r="S1618" s="24"/>
      <c r="T1618" s="24"/>
      <c r="Z1618" s="25"/>
    </row>
    <row r="1619">
      <c r="A1619" s="16"/>
      <c r="B1619" s="17"/>
      <c r="C1619" s="24"/>
      <c r="D1619" s="25"/>
      <c r="E1619" s="24"/>
      <c r="F1619" s="25"/>
      <c r="G1619" s="24"/>
      <c r="H1619" s="25"/>
      <c r="I1619" s="24"/>
      <c r="J1619" s="25"/>
      <c r="K1619" s="25"/>
      <c r="L1619" s="24"/>
      <c r="M1619" s="24"/>
      <c r="N1619" s="24"/>
      <c r="O1619" s="24"/>
      <c r="P1619" s="24"/>
      <c r="Q1619" s="24"/>
      <c r="R1619" s="24"/>
      <c r="S1619" s="24"/>
      <c r="T1619" s="24"/>
      <c r="Z1619" s="25"/>
    </row>
    <row r="1620">
      <c r="A1620" s="16"/>
      <c r="B1620" s="17"/>
      <c r="C1620" s="24"/>
      <c r="D1620" s="25"/>
      <c r="E1620" s="24"/>
      <c r="F1620" s="25"/>
      <c r="G1620" s="24"/>
      <c r="H1620" s="25"/>
      <c r="I1620" s="24"/>
      <c r="J1620" s="25"/>
      <c r="K1620" s="25"/>
      <c r="L1620" s="24"/>
      <c r="M1620" s="24"/>
      <c r="N1620" s="24"/>
      <c r="O1620" s="24"/>
      <c r="P1620" s="24"/>
      <c r="Q1620" s="24"/>
      <c r="R1620" s="24"/>
      <c r="S1620" s="24"/>
      <c r="T1620" s="24"/>
      <c r="Z1620" s="25"/>
    </row>
    <row r="1621">
      <c r="A1621" s="16"/>
      <c r="B1621" s="17"/>
      <c r="C1621" s="24"/>
      <c r="D1621" s="25"/>
      <c r="E1621" s="24"/>
      <c r="F1621" s="25"/>
      <c r="G1621" s="24"/>
      <c r="H1621" s="25"/>
      <c r="I1621" s="24"/>
      <c r="J1621" s="25"/>
      <c r="K1621" s="25"/>
      <c r="L1621" s="24"/>
      <c r="M1621" s="24"/>
      <c r="N1621" s="24"/>
      <c r="O1621" s="24"/>
      <c r="P1621" s="24"/>
      <c r="Q1621" s="24"/>
      <c r="R1621" s="24"/>
      <c r="S1621" s="24"/>
      <c r="T1621" s="24"/>
      <c r="Z1621" s="25"/>
    </row>
    <row r="1622">
      <c r="A1622" s="16"/>
      <c r="B1622" s="17"/>
      <c r="C1622" s="24"/>
      <c r="D1622" s="25"/>
      <c r="E1622" s="24"/>
      <c r="F1622" s="25"/>
      <c r="G1622" s="24"/>
      <c r="H1622" s="25"/>
      <c r="I1622" s="24"/>
      <c r="J1622" s="25"/>
      <c r="K1622" s="25"/>
      <c r="L1622" s="24"/>
      <c r="M1622" s="24"/>
      <c r="N1622" s="24"/>
      <c r="O1622" s="24"/>
      <c r="P1622" s="24"/>
      <c r="Q1622" s="24"/>
      <c r="R1622" s="24"/>
      <c r="S1622" s="24"/>
      <c r="T1622" s="24"/>
      <c r="Z1622" s="25"/>
    </row>
    <row r="1623">
      <c r="A1623" s="16"/>
      <c r="B1623" s="17"/>
      <c r="C1623" s="24"/>
      <c r="D1623" s="25"/>
      <c r="E1623" s="24"/>
      <c r="F1623" s="25"/>
      <c r="G1623" s="24"/>
      <c r="H1623" s="25"/>
      <c r="I1623" s="24"/>
      <c r="J1623" s="25"/>
      <c r="K1623" s="25"/>
      <c r="L1623" s="24"/>
      <c r="M1623" s="24"/>
      <c r="N1623" s="24"/>
      <c r="O1623" s="24"/>
      <c r="P1623" s="24"/>
      <c r="Q1623" s="24"/>
      <c r="R1623" s="24"/>
      <c r="S1623" s="24"/>
      <c r="T1623" s="24"/>
      <c r="Z1623" s="25"/>
    </row>
    <row r="1624">
      <c r="A1624" s="16"/>
      <c r="B1624" s="17"/>
      <c r="C1624" s="24"/>
      <c r="D1624" s="25"/>
      <c r="E1624" s="24"/>
      <c r="F1624" s="25"/>
      <c r="G1624" s="24"/>
      <c r="H1624" s="25"/>
      <c r="I1624" s="24"/>
      <c r="J1624" s="25"/>
      <c r="K1624" s="25"/>
      <c r="L1624" s="24"/>
      <c r="M1624" s="24"/>
      <c r="N1624" s="24"/>
      <c r="O1624" s="24"/>
      <c r="P1624" s="24"/>
      <c r="Q1624" s="24"/>
      <c r="R1624" s="24"/>
      <c r="S1624" s="24"/>
      <c r="T1624" s="24"/>
      <c r="Z1624" s="25"/>
    </row>
    <row r="1625">
      <c r="A1625" s="16"/>
      <c r="B1625" s="17"/>
      <c r="C1625" s="24"/>
      <c r="D1625" s="25"/>
      <c r="E1625" s="24"/>
      <c r="F1625" s="25"/>
      <c r="G1625" s="24"/>
      <c r="H1625" s="25"/>
      <c r="I1625" s="24"/>
      <c r="J1625" s="25"/>
      <c r="K1625" s="25"/>
      <c r="L1625" s="24"/>
      <c r="M1625" s="24"/>
      <c r="N1625" s="24"/>
      <c r="O1625" s="24"/>
      <c r="P1625" s="24"/>
      <c r="Q1625" s="24"/>
      <c r="R1625" s="24"/>
      <c r="S1625" s="24"/>
      <c r="T1625" s="24"/>
      <c r="Z1625" s="25"/>
    </row>
    <row r="1626">
      <c r="A1626" s="16"/>
      <c r="B1626" s="17"/>
      <c r="C1626" s="24"/>
      <c r="D1626" s="25"/>
      <c r="E1626" s="24"/>
      <c r="F1626" s="25"/>
      <c r="G1626" s="24"/>
      <c r="H1626" s="25"/>
      <c r="I1626" s="24"/>
      <c r="J1626" s="25"/>
      <c r="K1626" s="25"/>
      <c r="L1626" s="24"/>
      <c r="M1626" s="24"/>
      <c r="N1626" s="24"/>
      <c r="O1626" s="24"/>
      <c r="P1626" s="24"/>
      <c r="Q1626" s="24"/>
      <c r="R1626" s="24"/>
      <c r="S1626" s="24"/>
      <c r="T1626" s="24"/>
      <c r="Z1626" s="25"/>
    </row>
    <row r="1627">
      <c r="A1627" s="16"/>
      <c r="B1627" s="17"/>
      <c r="C1627" s="24"/>
      <c r="D1627" s="25"/>
      <c r="E1627" s="24"/>
      <c r="F1627" s="25"/>
      <c r="G1627" s="24"/>
      <c r="H1627" s="25"/>
      <c r="I1627" s="24"/>
      <c r="J1627" s="25"/>
      <c r="K1627" s="25"/>
      <c r="L1627" s="24"/>
      <c r="M1627" s="24"/>
      <c r="N1627" s="24"/>
      <c r="O1627" s="24"/>
      <c r="P1627" s="24"/>
      <c r="Q1627" s="24"/>
      <c r="R1627" s="24"/>
      <c r="S1627" s="24"/>
      <c r="T1627" s="24"/>
      <c r="Z1627" s="25"/>
    </row>
    <row r="1628">
      <c r="A1628" s="16"/>
      <c r="B1628" s="17"/>
      <c r="C1628" s="24"/>
      <c r="D1628" s="25"/>
      <c r="E1628" s="24"/>
      <c r="F1628" s="25"/>
      <c r="G1628" s="24"/>
      <c r="H1628" s="25"/>
      <c r="I1628" s="24"/>
      <c r="J1628" s="25"/>
      <c r="K1628" s="25"/>
      <c r="L1628" s="24"/>
      <c r="M1628" s="24"/>
      <c r="N1628" s="24"/>
      <c r="O1628" s="24"/>
      <c r="P1628" s="24"/>
      <c r="Q1628" s="24"/>
      <c r="R1628" s="24"/>
      <c r="S1628" s="24"/>
      <c r="T1628" s="24"/>
      <c r="Z1628" s="25"/>
    </row>
    <row r="1629">
      <c r="A1629" s="16"/>
      <c r="B1629" s="17"/>
      <c r="C1629" s="24"/>
      <c r="D1629" s="25"/>
      <c r="E1629" s="24"/>
      <c r="F1629" s="25"/>
      <c r="G1629" s="24"/>
      <c r="H1629" s="25"/>
      <c r="I1629" s="24"/>
      <c r="J1629" s="25"/>
      <c r="K1629" s="25"/>
      <c r="L1629" s="24"/>
      <c r="M1629" s="24"/>
      <c r="N1629" s="24"/>
      <c r="O1629" s="24"/>
      <c r="P1629" s="24"/>
      <c r="Q1629" s="24"/>
      <c r="R1629" s="24"/>
      <c r="S1629" s="24"/>
      <c r="T1629" s="24"/>
      <c r="Z1629" s="25"/>
    </row>
    <row r="1630">
      <c r="A1630" s="16"/>
      <c r="B1630" s="17"/>
      <c r="C1630" s="24"/>
      <c r="D1630" s="25"/>
      <c r="E1630" s="24"/>
      <c r="F1630" s="25"/>
      <c r="G1630" s="24"/>
      <c r="H1630" s="25"/>
      <c r="I1630" s="24"/>
      <c r="J1630" s="25"/>
      <c r="K1630" s="25"/>
      <c r="L1630" s="24"/>
      <c r="M1630" s="24"/>
      <c r="N1630" s="24"/>
      <c r="O1630" s="24"/>
      <c r="P1630" s="24"/>
      <c r="Q1630" s="24"/>
      <c r="R1630" s="24"/>
      <c r="S1630" s="24"/>
      <c r="T1630" s="24"/>
      <c r="Z1630" s="25"/>
    </row>
    <row r="1631">
      <c r="A1631" s="16"/>
      <c r="B1631" s="17"/>
      <c r="C1631" s="24"/>
      <c r="D1631" s="25"/>
      <c r="E1631" s="24"/>
      <c r="F1631" s="25"/>
      <c r="G1631" s="24"/>
      <c r="H1631" s="25"/>
      <c r="I1631" s="24"/>
      <c r="J1631" s="25"/>
      <c r="K1631" s="25"/>
      <c r="L1631" s="24"/>
      <c r="M1631" s="24"/>
      <c r="N1631" s="24"/>
      <c r="O1631" s="24"/>
      <c r="P1631" s="24"/>
      <c r="Q1631" s="24"/>
      <c r="R1631" s="24"/>
      <c r="S1631" s="24"/>
      <c r="T1631" s="24"/>
      <c r="Z1631" s="25"/>
    </row>
    <row r="1632">
      <c r="A1632" s="16"/>
      <c r="B1632" s="17"/>
      <c r="C1632" s="24"/>
      <c r="D1632" s="25"/>
      <c r="E1632" s="24"/>
      <c r="F1632" s="25"/>
      <c r="G1632" s="24"/>
      <c r="H1632" s="25"/>
      <c r="I1632" s="24"/>
      <c r="J1632" s="25"/>
      <c r="K1632" s="25"/>
      <c r="L1632" s="24"/>
      <c r="M1632" s="24"/>
      <c r="N1632" s="24"/>
      <c r="O1632" s="24"/>
      <c r="P1632" s="24"/>
      <c r="Q1632" s="24"/>
      <c r="R1632" s="24"/>
      <c r="S1632" s="24"/>
      <c r="T1632" s="24"/>
      <c r="Z1632" s="25"/>
    </row>
    <row r="1633">
      <c r="A1633" s="16"/>
      <c r="B1633" s="17"/>
      <c r="C1633" s="24"/>
      <c r="D1633" s="25"/>
      <c r="E1633" s="24"/>
      <c r="F1633" s="25"/>
      <c r="G1633" s="24"/>
      <c r="H1633" s="25"/>
      <c r="I1633" s="24"/>
      <c r="J1633" s="25"/>
      <c r="K1633" s="25"/>
      <c r="L1633" s="24"/>
      <c r="M1633" s="24"/>
      <c r="N1633" s="24"/>
      <c r="O1633" s="24"/>
      <c r="P1633" s="24"/>
      <c r="Q1633" s="24"/>
      <c r="R1633" s="24"/>
      <c r="S1633" s="24"/>
      <c r="T1633" s="24"/>
      <c r="Z1633" s="25"/>
    </row>
    <row r="1634">
      <c r="A1634" s="16"/>
      <c r="B1634" s="17"/>
      <c r="C1634" s="24"/>
      <c r="D1634" s="25"/>
      <c r="E1634" s="24"/>
      <c r="F1634" s="25"/>
      <c r="G1634" s="24"/>
      <c r="H1634" s="25"/>
      <c r="I1634" s="24"/>
      <c r="J1634" s="25"/>
      <c r="K1634" s="25"/>
      <c r="L1634" s="24"/>
      <c r="M1634" s="24"/>
      <c r="N1634" s="24"/>
      <c r="O1634" s="24"/>
      <c r="P1634" s="24"/>
      <c r="Q1634" s="24"/>
      <c r="R1634" s="24"/>
      <c r="S1634" s="24"/>
      <c r="T1634" s="24"/>
      <c r="Z1634" s="25"/>
    </row>
    <row r="1635">
      <c r="A1635" s="16"/>
      <c r="B1635" s="17"/>
      <c r="C1635" s="24"/>
      <c r="D1635" s="25"/>
      <c r="E1635" s="24"/>
      <c r="F1635" s="25"/>
      <c r="G1635" s="24"/>
      <c r="H1635" s="25"/>
      <c r="I1635" s="24"/>
      <c r="J1635" s="25"/>
      <c r="K1635" s="25"/>
      <c r="L1635" s="24"/>
      <c r="M1635" s="24"/>
      <c r="N1635" s="24"/>
      <c r="O1635" s="24"/>
      <c r="P1635" s="24"/>
      <c r="Q1635" s="24"/>
      <c r="R1635" s="24"/>
      <c r="S1635" s="24"/>
      <c r="T1635" s="24"/>
      <c r="Z1635" s="25"/>
    </row>
    <row r="1636">
      <c r="A1636" s="16"/>
      <c r="B1636" s="17"/>
      <c r="C1636" s="24"/>
      <c r="D1636" s="25"/>
      <c r="E1636" s="24"/>
      <c r="F1636" s="25"/>
      <c r="G1636" s="24"/>
      <c r="H1636" s="25"/>
      <c r="I1636" s="24"/>
      <c r="J1636" s="25"/>
      <c r="K1636" s="25"/>
      <c r="L1636" s="24"/>
      <c r="M1636" s="24"/>
      <c r="N1636" s="24"/>
      <c r="O1636" s="24"/>
      <c r="P1636" s="24"/>
      <c r="Q1636" s="24"/>
      <c r="R1636" s="24"/>
      <c r="S1636" s="24"/>
      <c r="T1636" s="24"/>
      <c r="Z1636" s="25"/>
    </row>
    <row r="1637">
      <c r="A1637" s="16"/>
      <c r="B1637" s="17"/>
      <c r="C1637" s="24"/>
      <c r="D1637" s="25"/>
      <c r="E1637" s="24"/>
      <c r="F1637" s="25"/>
      <c r="G1637" s="24"/>
      <c r="H1637" s="25"/>
      <c r="I1637" s="24"/>
      <c r="J1637" s="25"/>
      <c r="K1637" s="25"/>
      <c r="L1637" s="24"/>
      <c r="M1637" s="24"/>
      <c r="N1637" s="24"/>
      <c r="O1637" s="24"/>
      <c r="P1637" s="24"/>
      <c r="Q1637" s="24"/>
      <c r="R1637" s="24"/>
      <c r="S1637" s="24"/>
      <c r="T1637" s="24"/>
      <c r="Z1637" s="25"/>
    </row>
    <row r="1638">
      <c r="A1638" s="16"/>
      <c r="B1638" s="17"/>
      <c r="C1638" s="24"/>
      <c r="D1638" s="25"/>
      <c r="E1638" s="24"/>
      <c r="F1638" s="25"/>
      <c r="G1638" s="24"/>
      <c r="H1638" s="25"/>
      <c r="I1638" s="24"/>
      <c r="J1638" s="25"/>
      <c r="K1638" s="25"/>
      <c r="L1638" s="24"/>
      <c r="M1638" s="24"/>
      <c r="N1638" s="24"/>
      <c r="O1638" s="24"/>
      <c r="P1638" s="24"/>
      <c r="Q1638" s="24"/>
      <c r="R1638" s="24"/>
      <c r="S1638" s="24"/>
      <c r="T1638" s="24"/>
      <c r="Z1638" s="25"/>
    </row>
    <row r="1639">
      <c r="A1639" s="16"/>
      <c r="B1639" s="17"/>
      <c r="C1639" s="24"/>
      <c r="D1639" s="25"/>
      <c r="E1639" s="24"/>
      <c r="F1639" s="25"/>
      <c r="G1639" s="24"/>
      <c r="H1639" s="25"/>
      <c r="I1639" s="24"/>
      <c r="J1639" s="25"/>
      <c r="K1639" s="25"/>
      <c r="L1639" s="24"/>
      <c r="M1639" s="24"/>
      <c r="N1639" s="24"/>
      <c r="O1639" s="24"/>
      <c r="P1639" s="24"/>
      <c r="Q1639" s="24"/>
      <c r="R1639" s="24"/>
      <c r="S1639" s="24"/>
      <c r="T1639" s="24"/>
      <c r="Z1639" s="25"/>
    </row>
    <row r="1640">
      <c r="A1640" s="16"/>
      <c r="B1640" s="17"/>
      <c r="C1640" s="24"/>
      <c r="D1640" s="25"/>
      <c r="E1640" s="24"/>
      <c r="F1640" s="25"/>
      <c r="G1640" s="24"/>
      <c r="H1640" s="25"/>
      <c r="I1640" s="24"/>
      <c r="J1640" s="25"/>
      <c r="K1640" s="25"/>
      <c r="L1640" s="24"/>
      <c r="M1640" s="24"/>
      <c r="N1640" s="24"/>
      <c r="O1640" s="24"/>
      <c r="P1640" s="24"/>
      <c r="Q1640" s="24"/>
      <c r="R1640" s="24"/>
      <c r="S1640" s="24"/>
      <c r="T1640" s="24"/>
      <c r="Z1640" s="25"/>
    </row>
    <row r="1641">
      <c r="A1641" s="16"/>
      <c r="B1641" s="17"/>
      <c r="C1641" s="24"/>
      <c r="D1641" s="25"/>
      <c r="E1641" s="24"/>
      <c r="F1641" s="25"/>
      <c r="G1641" s="24"/>
      <c r="H1641" s="25"/>
      <c r="I1641" s="24"/>
      <c r="J1641" s="25"/>
      <c r="K1641" s="25"/>
      <c r="L1641" s="24"/>
      <c r="M1641" s="24"/>
      <c r="N1641" s="24"/>
      <c r="O1641" s="24"/>
      <c r="P1641" s="24"/>
      <c r="Q1641" s="24"/>
      <c r="R1641" s="24"/>
      <c r="S1641" s="24"/>
      <c r="T1641" s="24"/>
      <c r="Z1641" s="25"/>
    </row>
    <row r="1642">
      <c r="A1642" s="16"/>
      <c r="B1642" s="17"/>
      <c r="C1642" s="24"/>
      <c r="D1642" s="25"/>
      <c r="E1642" s="24"/>
      <c r="F1642" s="25"/>
      <c r="G1642" s="24"/>
      <c r="H1642" s="25"/>
      <c r="I1642" s="24"/>
      <c r="J1642" s="25"/>
      <c r="K1642" s="25"/>
      <c r="L1642" s="24"/>
      <c r="M1642" s="24"/>
      <c r="N1642" s="24"/>
      <c r="O1642" s="24"/>
      <c r="P1642" s="24"/>
      <c r="Q1642" s="24"/>
      <c r="R1642" s="24"/>
      <c r="S1642" s="24"/>
      <c r="T1642" s="24"/>
      <c r="Z1642" s="25"/>
    </row>
    <row r="1643">
      <c r="A1643" s="16"/>
      <c r="B1643" s="17"/>
      <c r="C1643" s="24"/>
      <c r="D1643" s="25"/>
      <c r="E1643" s="24"/>
      <c r="F1643" s="25"/>
      <c r="G1643" s="24"/>
      <c r="H1643" s="25"/>
      <c r="I1643" s="24"/>
      <c r="J1643" s="25"/>
      <c r="K1643" s="25"/>
      <c r="L1643" s="24"/>
      <c r="M1643" s="24"/>
      <c r="N1643" s="24"/>
      <c r="O1643" s="24"/>
      <c r="P1643" s="24"/>
      <c r="Q1643" s="24"/>
      <c r="R1643" s="24"/>
      <c r="S1643" s="24"/>
      <c r="T1643" s="24"/>
      <c r="Z1643" s="25"/>
    </row>
    <row r="1644">
      <c r="A1644" s="16"/>
      <c r="B1644" s="17"/>
      <c r="C1644" s="24"/>
      <c r="D1644" s="25"/>
      <c r="E1644" s="24"/>
      <c r="F1644" s="25"/>
      <c r="G1644" s="24"/>
      <c r="H1644" s="25"/>
      <c r="I1644" s="24"/>
      <c r="J1644" s="25"/>
      <c r="K1644" s="25"/>
      <c r="L1644" s="24"/>
      <c r="M1644" s="24"/>
      <c r="N1644" s="24"/>
      <c r="O1644" s="24"/>
      <c r="P1644" s="24"/>
      <c r="Q1644" s="24"/>
      <c r="R1644" s="24"/>
      <c r="S1644" s="24"/>
      <c r="T1644" s="24"/>
      <c r="Z1644" s="25"/>
    </row>
    <row r="1645">
      <c r="A1645" s="16"/>
      <c r="B1645" s="17"/>
      <c r="C1645" s="24"/>
      <c r="D1645" s="25"/>
      <c r="E1645" s="24"/>
      <c r="F1645" s="25"/>
      <c r="G1645" s="24"/>
      <c r="H1645" s="25"/>
      <c r="I1645" s="24"/>
      <c r="J1645" s="25"/>
      <c r="K1645" s="25"/>
      <c r="L1645" s="24"/>
      <c r="M1645" s="24"/>
      <c r="N1645" s="24"/>
      <c r="O1645" s="24"/>
      <c r="P1645" s="24"/>
      <c r="Q1645" s="24"/>
      <c r="R1645" s="24"/>
      <c r="S1645" s="24"/>
      <c r="T1645" s="24"/>
      <c r="Z1645" s="25"/>
    </row>
    <row r="1646">
      <c r="A1646" s="16"/>
      <c r="B1646" s="17"/>
      <c r="C1646" s="24"/>
      <c r="D1646" s="25"/>
      <c r="E1646" s="24"/>
      <c r="F1646" s="25"/>
      <c r="G1646" s="24"/>
      <c r="H1646" s="25"/>
      <c r="I1646" s="24"/>
      <c r="J1646" s="25"/>
      <c r="K1646" s="25"/>
      <c r="L1646" s="24"/>
      <c r="M1646" s="24"/>
      <c r="N1646" s="24"/>
      <c r="O1646" s="24"/>
      <c r="P1646" s="24"/>
      <c r="Q1646" s="24"/>
      <c r="R1646" s="24"/>
      <c r="S1646" s="24"/>
      <c r="T1646" s="24"/>
      <c r="Z1646" s="25"/>
    </row>
    <row r="1647">
      <c r="A1647" s="16"/>
      <c r="B1647" s="17"/>
      <c r="C1647" s="24"/>
      <c r="D1647" s="25"/>
      <c r="E1647" s="24"/>
      <c r="F1647" s="25"/>
      <c r="G1647" s="24"/>
      <c r="H1647" s="25"/>
      <c r="I1647" s="24"/>
      <c r="J1647" s="25"/>
      <c r="K1647" s="25"/>
      <c r="L1647" s="24"/>
      <c r="M1647" s="24"/>
      <c r="N1647" s="24"/>
      <c r="O1647" s="24"/>
      <c r="P1647" s="24"/>
      <c r="Q1647" s="24"/>
      <c r="R1647" s="24"/>
      <c r="S1647" s="24"/>
      <c r="T1647" s="24"/>
      <c r="Z1647" s="25"/>
    </row>
    <row r="1648">
      <c r="A1648" s="16"/>
      <c r="B1648" s="17"/>
      <c r="C1648" s="24"/>
      <c r="D1648" s="25"/>
      <c r="E1648" s="24"/>
      <c r="F1648" s="25"/>
      <c r="G1648" s="24"/>
      <c r="H1648" s="25"/>
      <c r="I1648" s="24"/>
      <c r="J1648" s="25"/>
      <c r="K1648" s="25"/>
      <c r="L1648" s="24"/>
      <c r="M1648" s="24"/>
      <c r="N1648" s="24"/>
      <c r="O1648" s="24"/>
      <c r="P1648" s="24"/>
      <c r="Q1648" s="24"/>
      <c r="R1648" s="24"/>
      <c r="S1648" s="24"/>
      <c r="T1648" s="24"/>
      <c r="Z1648" s="25"/>
    </row>
    <row r="1649">
      <c r="A1649" s="16"/>
      <c r="B1649" s="17"/>
      <c r="C1649" s="24"/>
      <c r="D1649" s="25"/>
      <c r="E1649" s="24"/>
      <c r="F1649" s="25"/>
      <c r="G1649" s="24"/>
      <c r="H1649" s="25"/>
      <c r="I1649" s="24"/>
      <c r="J1649" s="25"/>
      <c r="K1649" s="25"/>
      <c r="L1649" s="24"/>
      <c r="M1649" s="24"/>
      <c r="N1649" s="24"/>
      <c r="O1649" s="24"/>
      <c r="P1649" s="24"/>
      <c r="Q1649" s="24"/>
      <c r="R1649" s="24"/>
      <c r="S1649" s="24"/>
      <c r="T1649" s="24"/>
      <c r="Z1649" s="25"/>
    </row>
    <row r="1650">
      <c r="A1650" s="16"/>
      <c r="B1650" s="17"/>
      <c r="C1650" s="24"/>
      <c r="D1650" s="25"/>
      <c r="E1650" s="24"/>
      <c r="F1650" s="25"/>
      <c r="G1650" s="24"/>
      <c r="H1650" s="25"/>
      <c r="I1650" s="24"/>
      <c r="J1650" s="25"/>
      <c r="K1650" s="25"/>
      <c r="L1650" s="24"/>
      <c r="M1650" s="24"/>
      <c r="N1650" s="24"/>
      <c r="O1650" s="24"/>
      <c r="P1650" s="24"/>
      <c r="Q1650" s="24"/>
      <c r="R1650" s="24"/>
      <c r="S1650" s="24"/>
      <c r="T1650" s="24"/>
      <c r="Z1650" s="25"/>
    </row>
    <row r="1651">
      <c r="A1651" s="16"/>
      <c r="B1651" s="17"/>
      <c r="C1651" s="24"/>
      <c r="D1651" s="25"/>
      <c r="E1651" s="24"/>
      <c r="F1651" s="25"/>
      <c r="G1651" s="24"/>
      <c r="H1651" s="25"/>
      <c r="I1651" s="24"/>
      <c r="J1651" s="25"/>
      <c r="K1651" s="25"/>
      <c r="L1651" s="24"/>
      <c r="M1651" s="24"/>
      <c r="N1651" s="24"/>
      <c r="O1651" s="24"/>
      <c r="P1651" s="24"/>
      <c r="Q1651" s="24"/>
      <c r="R1651" s="24"/>
      <c r="S1651" s="24"/>
      <c r="T1651" s="24"/>
      <c r="Z1651" s="25"/>
    </row>
    <row r="1652">
      <c r="A1652" s="16"/>
      <c r="B1652" s="17"/>
      <c r="C1652" s="24"/>
      <c r="D1652" s="25"/>
      <c r="E1652" s="24"/>
      <c r="F1652" s="25"/>
      <c r="G1652" s="24"/>
      <c r="H1652" s="25"/>
      <c r="I1652" s="24"/>
      <c r="J1652" s="25"/>
      <c r="K1652" s="25"/>
      <c r="L1652" s="24"/>
      <c r="M1652" s="24"/>
      <c r="N1652" s="24"/>
      <c r="O1652" s="24"/>
      <c r="P1652" s="24"/>
      <c r="Q1652" s="24"/>
      <c r="R1652" s="24"/>
      <c r="S1652" s="24"/>
      <c r="T1652" s="24"/>
      <c r="Z1652" s="25"/>
    </row>
    <row r="1653">
      <c r="A1653" s="16"/>
      <c r="B1653" s="17"/>
      <c r="C1653" s="24"/>
      <c r="D1653" s="25"/>
      <c r="E1653" s="24"/>
      <c r="F1653" s="25"/>
      <c r="G1653" s="24"/>
      <c r="H1653" s="25"/>
      <c r="I1653" s="24"/>
      <c r="J1653" s="25"/>
      <c r="K1653" s="25"/>
      <c r="L1653" s="24"/>
      <c r="M1653" s="24"/>
      <c r="N1653" s="24"/>
      <c r="O1653" s="24"/>
      <c r="P1653" s="24"/>
      <c r="Q1653" s="24"/>
      <c r="R1653" s="24"/>
      <c r="S1653" s="24"/>
      <c r="T1653" s="24"/>
      <c r="Z1653" s="25"/>
    </row>
    <row r="1654">
      <c r="A1654" s="16"/>
      <c r="B1654" s="17"/>
      <c r="C1654" s="24"/>
      <c r="D1654" s="25"/>
      <c r="E1654" s="24"/>
      <c r="F1654" s="25"/>
      <c r="G1654" s="24"/>
      <c r="H1654" s="25"/>
      <c r="I1654" s="24"/>
      <c r="J1654" s="25"/>
      <c r="K1654" s="25"/>
      <c r="L1654" s="24"/>
      <c r="M1654" s="24"/>
      <c r="N1654" s="24"/>
      <c r="O1654" s="24"/>
      <c r="P1654" s="24"/>
      <c r="Q1654" s="24"/>
      <c r="R1654" s="24"/>
      <c r="S1654" s="24"/>
      <c r="T1654" s="24"/>
      <c r="Z1654" s="25"/>
    </row>
    <row r="1655">
      <c r="A1655" s="16"/>
      <c r="B1655" s="17"/>
      <c r="C1655" s="24"/>
      <c r="D1655" s="25"/>
      <c r="E1655" s="24"/>
      <c r="F1655" s="25"/>
      <c r="G1655" s="24"/>
      <c r="H1655" s="25"/>
      <c r="I1655" s="24"/>
      <c r="J1655" s="25"/>
      <c r="K1655" s="25"/>
      <c r="L1655" s="24"/>
      <c r="M1655" s="24"/>
      <c r="N1655" s="24"/>
      <c r="O1655" s="24"/>
      <c r="P1655" s="24"/>
      <c r="Q1655" s="24"/>
      <c r="R1655" s="24"/>
      <c r="S1655" s="24"/>
      <c r="T1655" s="24"/>
      <c r="Z1655" s="25"/>
    </row>
    <row r="1656">
      <c r="A1656" s="16"/>
      <c r="B1656" s="17"/>
      <c r="C1656" s="24"/>
      <c r="D1656" s="25"/>
      <c r="E1656" s="24"/>
      <c r="F1656" s="25"/>
      <c r="G1656" s="24"/>
      <c r="H1656" s="25"/>
      <c r="I1656" s="24"/>
      <c r="J1656" s="25"/>
      <c r="K1656" s="25"/>
      <c r="L1656" s="24"/>
      <c r="M1656" s="24"/>
      <c r="N1656" s="24"/>
      <c r="O1656" s="24"/>
      <c r="P1656" s="24"/>
      <c r="Q1656" s="24"/>
      <c r="R1656" s="24"/>
      <c r="S1656" s="24"/>
      <c r="T1656" s="24"/>
      <c r="Z1656" s="25"/>
    </row>
    <row r="1657">
      <c r="A1657" s="16"/>
      <c r="B1657" s="17"/>
      <c r="C1657" s="24"/>
      <c r="D1657" s="25"/>
      <c r="E1657" s="24"/>
      <c r="F1657" s="25"/>
      <c r="G1657" s="24"/>
      <c r="H1657" s="25"/>
      <c r="I1657" s="24"/>
      <c r="J1657" s="25"/>
      <c r="K1657" s="25"/>
      <c r="L1657" s="24"/>
      <c r="M1657" s="24"/>
      <c r="N1657" s="24"/>
      <c r="O1657" s="24"/>
      <c r="P1657" s="24"/>
      <c r="Q1657" s="24"/>
      <c r="R1657" s="24"/>
      <c r="S1657" s="24"/>
      <c r="T1657" s="24"/>
      <c r="Z1657" s="25"/>
    </row>
    <row r="1658">
      <c r="A1658" s="16"/>
      <c r="B1658" s="17"/>
      <c r="C1658" s="24"/>
      <c r="D1658" s="25"/>
      <c r="E1658" s="24"/>
      <c r="F1658" s="25"/>
      <c r="G1658" s="24"/>
      <c r="H1658" s="25"/>
      <c r="I1658" s="24"/>
      <c r="J1658" s="25"/>
      <c r="K1658" s="25"/>
      <c r="L1658" s="24"/>
      <c r="M1658" s="24"/>
      <c r="N1658" s="24"/>
      <c r="O1658" s="24"/>
      <c r="P1658" s="24"/>
      <c r="Q1658" s="24"/>
      <c r="R1658" s="24"/>
      <c r="S1658" s="24"/>
      <c r="T1658" s="24"/>
      <c r="Z1658" s="25"/>
    </row>
    <row r="1659">
      <c r="A1659" s="16"/>
      <c r="B1659" s="17"/>
      <c r="C1659" s="24"/>
      <c r="D1659" s="25"/>
      <c r="E1659" s="24"/>
      <c r="F1659" s="25"/>
      <c r="G1659" s="24"/>
      <c r="H1659" s="25"/>
      <c r="I1659" s="24"/>
      <c r="J1659" s="25"/>
      <c r="K1659" s="25"/>
      <c r="L1659" s="24"/>
      <c r="M1659" s="24"/>
      <c r="N1659" s="24"/>
      <c r="O1659" s="24"/>
      <c r="P1659" s="24"/>
      <c r="Q1659" s="24"/>
      <c r="R1659" s="24"/>
      <c r="S1659" s="24"/>
      <c r="T1659" s="24"/>
      <c r="Z1659" s="25"/>
    </row>
    <row r="1660">
      <c r="A1660" s="16"/>
      <c r="B1660" s="17"/>
      <c r="C1660" s="24"/>
      <c r="D1660" s="25"/>
      <c r="E1660" s="24"/>
      <c r="F1660" s="25"/>
      <c r="G1660" s="24"/>
      <c r="H1660" s="25"/>
      <c r="I1660" s="24"/>
      <c r="J1660" s="25"/>
      <c r="K1660" s="25"/>
      <c r="L1660" s="24"/>
      <c r="M1660" s="24"/>
      <c r="N1660" s="24"/>
      <c r="O1660" s="24"/>
      <c r="P1660" s="24"/>
      <c r="Q1660" s="24"/>
      <c r="R1660" s="24"/>
      <c r="S1660" s="24"/>
      <c r="T1660" s="24"/>
      <c r="Z1660" s="25"/>
    </row>
    <row r="1661">
      <c r="A1661" s="16"/>
      <c r="B1661" s="17"/>
      <c r="C1661" s="24"/>
      <c r="D1661" s="25"/>
      <c r="E1661" s="24"/>
      <c r="F1661" s="25"/>
      <c r="G1661" s="24"/>
      <c r="H1661" s="25"/>
      <c r="I1661" s="24"/>
      <c r="J1661" s="25"/>
      <c r="K1661" s="25"/>
      <c r="L1661" s="24"/>
      <c r="M1661" s="24"/>
      <c r="N1661" s="24"/>
      <c r="O1661" s="24"/>
      <c r="P1661" s="24"/>
      <c r="Q1661" s="24"/>
      <c r="R1661" s="24"/>
      <c r="S1661" s="24"/>
      <c r="T1661" s="24"/>
      <c r="Z1661" s="25"/>
    </row>
    <row r="1662">
      <c r="A1662" s="16"/>
      <c r="B1662" s="17"/>
      <c r="C1662" s="24"/>
      <c r="D1662" s="25"/>
      <c r="E1662" s="24"/>
      <c r="F1662" s="25"/>
      <c r="G1662" s="24"/>
      <c r="H1662" s="25"/>
      <c r="I1662" s="24"/>
      <c r="J1662" s="25"/>
      <c r="K1662" s="25"/>
      <c r="L1662" s="24"/>
      <c r="M1662" s="24"/>
      <c r="N1662" s="24"/>
      <c r="O1662" s="24"/>
      <c r="P1662" s="24"/>
      <c r="Q1662" s="24"/>
      <c r="R1662" s="24"/>
      <c r="S1662" s="24"/>
      <c r="T1662" s="24"/>
      <c r="Z1662" s="25"/>
    </row>
    <row r="1663">
      <c r="A1663" s="16"/>
      <c r="B1663" s="17"/>
      <c r="C1663" s="24"/>
      <c r="D1663" s="25"/>
      <c r="E1663" s="24"/>
      <c r="F1663" s="25"/>
      <c r="G1663" s="24"/>
      <c r="H1663" s="25"/>
      <c r="I1663" s="24"/>
      <c r="J1663" s="25"/>
      <c r="K1663" s="25"/>
      <c r="L1663" s="24"/>
      <c r="M1663" s="24"/>
      <c r="N1663" s="24"/>
      <c r="O1663" s="24"/>
      <c r="P1663" s="24"/>
      <c r="Q1663" s="24"/>
      <c r="R1663" s="24"/>
      <c r="S1663" s="24"/>
      <c r="T1663" s="24"/>
      <c r="Z1663" s="25"/>
    </row>
    <row r="1664">
      <c r="A1664" s="16"/>
      <c r="B1664" s="17"/>
      <c r="C1664" s="24"/>
      <c r="D1664" s="25"/>
      <c r="E1664" s="24"/>
      <c r="F1664" s="25"/>
      <c r="G1664" s="24"/>
      <c r="H1664" s="25"/>
      <c r="I1664" s="24"/>
      <c r="J1664" s="25"/>
      <c r="K1664" s="25"/>
      <c r="L1664" s="24"/>
      <c r="M1664" s="24"/>
      <c r="N1664" s="24"/>
      <c r="O1664" s="24"/>
      <c r="P1664" s="24"/>
      <c r="Q1664" s="24"/>
      <c r="R1664" s="24"/>
      <c r="S1664" s="24"/>
      <c r="T1664" s="24"/>
      <c r="Z1664" s="25"/>
    </row>
    <row r="1665">
      <c r="A1665" s="16"/>
      <c r="B1665" s="17"/>
      <c r="C1665" s="24"/>
      <c r="D1665" s="25"/>
      <c r="E1665" s="24"/>
      <c r="F1665" s="25"/>
      <c r="G1665" s="24"/>
      <c r="H1665" s="25"/>
      <c r="I1665" s="24"/>
      <c r="J1665" s="25"/>
      <c r="K1665" s="25"/>
      <c r="L1665" s="24"/>
      <c r="M1665" s="24"/>
      <c r="N1665" s="24"/>
      <c r="O1665" s="24"/>
      <c r="P1665" s="24"/>
      <c r="Q1665" s="24"/>
      <c r="R1665" s="24"/>
      <c r="S1665" s="24"/>
      <c r="T1665" s="24"/>
      <c r="Z1665" s="25"/>
    </row>
    <row r="1666">
      <c r="A1666" s="16"/>
      <c r="B1666" s="17"/>
      <c r="C1666" s="24"/>
      <c r="D1666" s="25"/>
      <c r="E1666" s="24"/>
      <c r="F1666" s="25"/>
      <c r="G1666" s="24"/>
      <c r="H1666" s="25"/>
      <c r="I1666" s="24"/>
      <c r="J1666" s="25"/>
      <c r="K1666" s="25"/>
      <c r="L1666" s="24"/>
      <c r="M1666" s="24"/>
      <c r="N1666" s="24"/>
      <c r="O1666" s="24"/>
      <c r="P1666" s="24"/>
      <c r="Q1666" s="24"/>
      <c r="R1666" s="24"/>
      <c r="S1666" s="24"/>
      <c r="T1666" s="24"/>
      <c r="Z1666" s="25"/>
    </row>
    <row r="1667">
      <c r="A1667" s="16"/>
      <c r="B1667" s="17"/>
      <c r="C1667" s="24"/>
      <c r="D1667" s="25"/>
      <c r="E1667" s="24"/>
      <c r="F1667" s="25"/>
      <c r="G1667" s="24"/>
      <c r="H1667" s="25"/>
      <c r="I1667" s="24"/>
      <c r="J1667" s="25"/>
      <c r="K1667" s="25"/>
      <c r="L1667" s="24"/>
      <c r="M1667" s="24"/>
      <c r="N1667" s="24"/>
      <c r="O1667" s="24"/>
      <c r="P1667" s="24"/>
      <c r="Q1667" s="24"/>
      <c r="R1667" s="24"/>
      <c r="S1667" s="24"/>
      <c r="T1667" s="24"/>
      <c r="Z1667" s="25"/>
    </row>
    <row r="1668">
      <c r="A1668" s="16"/>
      <c r="B1668" s="17"/>
      <c r="C1668" s="24"/>
      <c r="D1668" s="25"/>
      <c r="E1668" s="24"/>
      <c r="F1668" s="25"/>
      <c r="G1668" s="24"/>
      <c r="H1668" s="25"/>
      <c r="I1668" s="24"/>
      <c r="J1668" s="25"/>
      <c r="K1668" s="25"/>
      <c r="L1668" s="24"/>
      <c r="M1668" s="24"/>
      <c r="N1668" s="24"/>
      <c r="O1668" s="24"/>
      <c r="P1668" s="24"/>
      <c r="Q1668" s="24"/>
      <c r="R1668" s="24"/>
      <c r="S1668" s="24"/>
      <c r="T1668" s="24"/>
      <c r="Z1668" s="25"/>
    </row>
    <row r="1669">
      <c r="A1669" s="16"/>
      <c r="B1669" s="17"/>
      <c r="C1669" s="24"/>
      <c r="D1669" s="25"/>
      <c r="E1669" s="24"/>
      <c r="F1669" s="25"/>
      <c r="G1669" s="24"/>
      <c r="H1669" s="25"/>
      <c r="I1669" s="24"/>
      <c r="J1669" s="25"/>
      <c r="K1669" s="25"/>
      <c r="L1669" s="24"/>
      <c r="M1669" s="24"/>
      <c r="N1669" s="24"/>
      <c r="O1669" s="24"/>
      <c r="P1669" s="24"/>
      <c r="Q1669" s="24"/>
      <c r="R1669" s="24"/>
      <c r="S1669" s="24"/>
      <c r="T1669" s="24"/>
      <c r="Z1669" s="25"/>
    </row>
    <row r="1670">
      <c r="A1670" s="16"/>
      <c r="B1670" s="17"/>
      <c r="C1670" s="24"/>
      <c r="D1670" s="25"/>
      <c r="E1670" s="24"/>
      <c r="F1670" s="25"/>
      <c r="G1670" s="24"/>
      <c r="H1670" s="25"/>
      <c r="I1670" s="24"/>
      <c r="J1670" s="25"/>
      <c r="K1670" s="25"/>
      <c r="L1670" s="24"/>
      <c r="M1670" s="24"/>
      <c r="N1670" s="24"/>
      <c r="O1670" s="24"/>
      <c r="P1670" s="24"/>
      <c r="Q1670" s="24"/>
      <c r="R1670" s="24"/>
      <c r="S1670" s="24"/>
      <c r="T1670" s="24"/>
      <c r="Z1670" s="25"/>
    </row>
    <row r="1671">
      <c r="A1671" s="16"/>
      <c r="B1671" s="17"/>
      <c r="C1671" s="24"/>
      <c r="D1671" s="25"/>
      <c r="E1671" s="24"/>
      <c r="F1671" s="25"/>
      <c r="G1671" s="24"/>
      <c r="H1671" s="25"/>
      <c r="I1671" s="24"/>
      <c r="J1671" s="25"/>
      <c r="K1671" s="25"/>
      <c r="L1671" s="24"/>
      <c r="M1671" s="24"/>
      <c r="N1671" s="24"/>
      <c r="O1671" s="24"/>
      <c r="P1671" s="24"/>
      <c r="Q1671" s="24"/>
      <c r="R1671" s="24"/>
      <c r="S1671" s="24"/>
      <c r="T1671" s="24"/>
      <c r="Z1671" s="25"/>
    </row>
    <row r="1672">
      <c r="A1672" s="16"/>
      <c r="B1672" s="17"/>
      <c r="C1672" s="24"/>
      <c r="D1672" s="25"/>
      <c r="E1672" s="24"/>
      <c r="F1672" s="25"/>
      <c r="G1672" s="24"/>
      <c r="H1672" s="25"/>
      <c r="I1672" s="24"/>
      <c r="J1672" s="25"/>
      <c r="K1672" s="25"/>
      <c r="L1672" s="24"/>
      <c r="M1672" s="24"/>
      <c r="N1672" s="24"/>
      <c r="O1672" s="24"/>
      <c r="P1672" s="24"/>
      <c r="Q1672" s="24"/>
      <c r="R1672" s="24"/>
      <c r="S1672" s="24"/>
      <c r="T1672" s="24"/>
      <c r="Z1672" s="25"/>
    </row>
    <row r="1673">
      <c r="A1673" s="16"/>
      <c r="B1673" s="17"/>
      <c r="C1673" s="24"/>
      <c r="D1673" s="25"/>
      <c r="E1673" s="24"/>
      <c r="F1673" s="25"/>
      <c r="G1673" s="24"/>
      <c r="H1673" s="25"/>
      <c r="I1673" s="24"/>
      <c r="J1673" s="25"/>
      <c r="K1673" s="25"/>
      <c r="L1673" s="24"/>
      <c r="M1673" s="24"/>
      <c r="N1673" s="24"/>
      <c r="O1673" s="24"/>
      <c r="P1673" s="24"/>
      <c r="Q1673" s="24"/>
      <c r="R1673" s="24"/>
      <c r="S1673" s="24"/>
      <c r="T1673" s="24"/>
      <c r="Z1673" s="25"/>
    </row>
    <row r="1674">
      <c r="A1674" s="16"/>
      <c r="B1674" s="17"/>
      <c r="C1674" s="24"/>
      <c r="D1674" s="25"/>
      <c r="E1674" s="24"/>
      <c r="F1674" s="25"/>
      <c r="G1674" s="24"/>
      <c r="H1674" s="25"/>
      <c r="I1674" s="24"/>
      <c r="J1674" s="25"/>
      <c r="K1674" s="25"/>
      <c r="L1674" s="24"/>
      <c r="M1674" s="24"/>
      <c r="N1674" s="24"/>
      <c r="O1674" s="24"/>
      <c r="P1674" s="24"/>
      <c r="Q1674" s="24"/>
      <c r="R1674" s="24"/>
      <c r="S1674" s="24"/>
      <c r="T1674" s="24"/>
      <c r="Z1674" s="25"/>
    </row>
    <row r="1675">
      <c r="A1675" s="16"/>
      <c r="B1675" s="17"/>
      <c r="C1675" s="24"/>
      <c r="D1675" s="25"/>
      <c r="E1675" s="24"/>
      <c r="F1675" s="25"/>
      <c r="G1675" s="24"/>
      <c r="H1675" s="25"/>
      <c r="I1675" s="24"/>
      <c r="J1675" s="25"/>
      <c r="K1675" s="25"/>
      <c r="L1675" s="24"/>
      <c r="M1675" s="24"/>
      <c r="N1675" s="24"/>
      <c r="O1675" s="24"/>
      <c r="P1675" s="24"/>
      <c r="Q1675" s="24"/>
      <c r="R1675" s="24"/>
      <c r="S1675" s="24"/>
      <c r="T1675" s="24"/>
      <c r="Z1675" s="25"/>
    </row>
    <row r="1676">
      <c r="A1676" s="16"/>
      <c r="B1676" s="17"/>
      <c r="C1676" s="24"/>
      <c r="D1676" s="25"/>
      <c r="E1676" s="24"/>
      <c r="F1676" s="25"/>
      <c r="G1676" s="24"/>
      <c r="H1676" s="25"/>
      <c r="I1676" s="24"/>
      <c r="J1676" s="25"/>
      <c r="K1676" s="25"/>
      <c r="L1676" s="24"/>
      <c r="M1676" s="24"/>
      <c r="N1676" s="24"/>
      <c r="O1676" s="24"/>
      <c r="P1676" s="24"/>
      <c r="Q1676" s="24"/>
      <c r="R1676" s="24"/>
      <c r="S1676" s="24"/>
      <c r="T1676" s="24"/>
      <c r="Z1676" s="25"/>
    </row>
    <row r="1677">
      <c r="A1677" s="16"/>
      <c r="B1677" s="17"/>
      <c r="C1677" s="24"/>
      <c r="D1677" s="25"/>
      <c r="E1677" s="24"/>
      <c r="F1677" s="25"/>
      <c r="G1677" s="24"/>
      <c r="H1677" s="25"/>
      <c r="I1677" s="24"/>
      <c r="J1677" s="25"/>
      <c r="K1677" s="25"/>
      <c r="L1677" s="24"/>
      <c r="M1677" s="24"/>
      <c r="N1677" s="24"/>
      <c r="O1677" s="24"/>
      <c r="P1677" s="24"/>
      <c r="Q1677" s="24"/>
      <c r="R1677" s="24"/>
      <c r="S1677" s="24"/>
      <c r="T1677" s="24"/>
      <c r="Z1677" s="25"/>
    </row>
    <row r="1678">
      <c r="A1678" s="16"/>
      <c r="B1678" s="17"/>
      <c r="C1678" s="24"/>
      <c r="D1678" s="25"/>
      <c r="E1678" s="24"/>
      <c r="F1678" s="25"/>
      <c r="G1678" s="24"/>
      <c r="H1678" s="25"/>
      <c r="I1678" s="24"/>
      <c r="J1678" s="25"/>
      <c r="K1678" s="25"/>
      <c r="L1678" s="24"/>
      <c r="M1678" s="24"/>
      <c r="N1678" s="24"/>
      <c r="O1678" s="24"/>
      <c r="P1678" s="24"/>
      <c r="Q1678" s="24"/>
      <c r="R1678" s="24"/>
      <c r="S1678" s="24"/>
      <c r="T1678" s="24"/>
      <c r="Z1678" s="25"/>
    </row>
    <row r="1679">
      <c r="A1679" s="16"/>
      <c r="B1679" s="17"/>
      <c r="C1679" s="24"/>
      <c r="D1679" s="25"/>
      <c r="E1679" s="24"/>
      <c r="F1679" s="25"/>
      <c r="G1679" s="24"/>
      <c r="H1679" s="25"/>
      <c r="I1679" s="24"/>
      <c r="J1679" s="25"/>
      <c r="K1679" s="25"/>
      <c r="L1679" s="24"/>
      <c r="M1679" s="24"/>
      <c r="N1679" s="24"/>
      <c r="O1679" s="24"/>
      <c r="P1679" s="24"/>
      <c r="Q1679" s="24"/>
      <c r="R1679" s="24"/>
      <c r="S1679" s="24"/>
      <c r="T1679" s="24"/>
      <c r="Z1679" s="25"/>
    </row>
    <row r="1680">
      <c r="A1680" s="16"/>
      <c r="B1680" s="17"/>
      <c r="C1680" s="24"/>
      <c r="D1680" s="25"/>
      <c r="E1680" s="24"/>
      <c r="F1680" s="25"/>
      <c r="G1680" s="24"/>
      <c r="H1680" s="25"/>
      <c r="I1680" s="24"/>
      <c r="J1680" s="25"/>
      <c r="K1680" s="25"/>
      <c r="L1680" s="24"/>
      <c r="M1680" s="24"/>
      <c r="N1680" s="24"/>
      <c r="O1680" s="24"/>
      <c r="P1680" s="24"/>
      <c r="Q1680" s="24"/>
      <c r="R1680" s="24"/>
      <c r="S1680" s="24"/>
      <c r="T1680" s="24"/>
      <c r="Z1680" s="25"/>
    </row>
    <row r="1681">
      <c r="A1681" s="16"/>
      <c r="B1681" s="17"/>
      <c r="C1681" s="24"/>
      <c r="D1681" s="25"/>
      <c r="E1681" s="24"/>
      <c r="F1681" s="25"/>
      <c r="G1681" s="24"/>
      <c r="H1681" s="25"/>
      <c r="I1681" s="24"/>
      <c r="J1681" s="25"/>
      <c r="K1681" s="25"/>
      <c r="L1681" s="24"/>
      <c r="M1681" s="24"/>
      <c r="N1681" s="24"/>
      <c r="O1681" s="24"/>
      <c r="P1681" s="24"/>
      <c r="Q1681" s="24"/>
      <c r="R1681" s="24"/>
      <c r="S1681" s="24"/>
      <c r="T1681" s="24"/>
      <c r="Z1681" s="25"/>
    </row>
    <row r="1682">
      <c r="A1682" s="16"/>
      <c r="B1682" s="17"/>
      <c r="C1682" s="24"/>
      <c r="D1682" s="25"/>
      <c r="E1682" s="24"/>
      <c r="F1682" s="25"/>
      <c r="G1682" s="24"/>
      <c r="H1682" s="25"/>
      <c r="I1682" s="24"/>
      <c r="J1682" s="25"/>
      <c r="K1682" s="25"/>
      <c r="L1682" s="24"/>
      <c r="M1682" s="24"/>
      <c r="N1682" s="24"/>
      <c r="O1682" s="24"/>
      <c r="P1682" s="24"/>
      <c r="Q1682" s="24"/>
      <c r="R1682" s="24"/>
      <c r="S1682" s="24"/>
      <c r="T1682" s="24"/>
      <c r="Z1682" s="25"/>
    </row>
    <row r="1683">
      <c r="A1683" s="16"/>
      <c r="B1683" s="17"/>
      <c r="C1683" s="24"/>
      <c r="D1683" s="25"/>
      <c r="E1683" s="24"/>
      <c r="F1683" s="25"/>
      <c r="G1683" s="24"/>
      <c r="H1683" s="25"/>
      <c r="I1683" s="24"/>
      <c r="J1683" s="25"/>
      <c r="K1683" s="25"/>
      <c r="L1683" s="24"/>
      <c r="M1683" s="24"/>
      <c r="N1683" s="24"/>
      <c r="O1683" s="24"/>
      <c r="P1683" s="24"/>
      <c r="Q1683" s="24"/>
      <c r="R1683" s="24"/>
      <c r="S1683" s="24"/>
      <c r="T1683" s="24"/>
      <c r="Z1683" s="25"/>
    </row>
    <row r="1684">
      <c r="A1684" s="16"/>
      <c r="B1684" s="17"/>
      <c r="C1684" s="24"/>
      <c r="D1684" s="25"/>
      <c r="E1684" s="24"/>
      <c r="F1684" s="25"/>
      <c r="G1684" s="24"/>
      <c r="H1684" s="25"/>
      <c r="I1684" s="24"/>
      <c r="J1684" s="25"/>
      <c r="K1684" s="25"/>
      <c r="L1684" s="24"/>
      <c r="M1684" s="24"/>
      <c r="N1684" s="24"/>
      <c r="O1684" s="24"/>
      <c r="P1684" s="24"/>
      <c r="Q1684" s="24"/>
      <c r="R1684" s="24"/>
      <c r="S1684" s="24"/>
      <c r="T1684" s="24"/>
      <c r="Z1684" s="25"/>
    </row>
    <row r="1685">
      <c r="A1685" s="16"/>
      <c r="B1685" s="17"/>
      <c r="C1685" s="24"/>
      <c r="D1685" s="25"/>
      <c r="E1685" s="24"/>
      <c r="F1685" s="25"/>
      <c r="G1685" s="24"/>
      <c r="H1685" s="25"/>
      <c r="I1685" s="24"/>
      <c r="J1685" s="25"/>
      <c r="K1685" s="25"/>
      <c r="L1685" s="24"/>
      <c r="M1685" s="24"/>
      <c r="N1685" s="24"/>
      <c r="O1685" s="24"/>
      <c r="P1685" s="24"/>
      <c r="Q1685" s="24"/>
      <c r="R1685" s="24"/>
      <c r="S1685" s="24"/>
      <c r="T1685" s="24"/>
      <c r="Z1685" s="25"/>
    </row>
    <row r="1686">
      <c r="A1686" s="16"/>
      <c r="B1686" s="17"/>
      <c r="C1686" s="24"/>
      <c r="D1686" s="25"/>
      <c r="E1686" s="24"/>
      <c r="F1686" s="25"/>
      <c r="G1686" s="24"/>
      <c r="H1686" s="25"/>
      <c r="I1686" s="24"/>
      <c r="J1686" s="25"/>
      <c r="K1686" s="25"/>
      <c r="L1686" s="24"/>
      <c r="M1686" s="24"/>
      <c r="N1686" s="24"/>
      <c r="O1686" s="24"/>
      <c r="P1686" s="24"/>
      <c r="Q1686" s="24"/>
      <c r="R1686" s="24"/>
      <c r="S1686" s="24"/>
      <c r="T1686" s="24"/>
      <c r="Z1686" s="25"/>
    </row>
    <row r="1687">
      <c r="A1687" s="16"/>
      <c r="B1687" s="17"/>
      <c r="C1687" s="24"/>
      <c r="D1687" s="25"/>
      <c r="E1687" s="24"/>
      <c r="F1687" s="25"/>
      <c r="G1687" s="24"/>
      <c r="H1687" s="25"/>
      <c r="I1687" s="24"/>
      <c r="J1687" s="25"/>
      <c r="K1687" s="25"/>
      <c r="L1687" s="24"/>
      <c r="M1687" s="24"/>
      <c r="N1687" s="24"/>
      <c r="O1687" s="24"/>
      <c r="P1687" s="24"/>
      <c r="Q1687" s="24"/>
      <c r="R1687" s="24"/>
      <c r="S1687" s="24"/>
      <c r="T1687" s="24"/>
      <c r="Z1687" s="25"/>
    </row>
    <row r="1688">
      <c r="A1688" s="16"/>
      <c r="B1688" s="17"/>
      <c r="C1688" s="24"/>
      <c r="D1688" s="25"/>
      <c r="E1688" s="24"/>
      <c r="F1688" s="25"/>
      <c r="G1688" s="24"/>
      <c r="H1688" s="25"/>
      <c r="I1688" s="24"/>
      <c r="J1688" s="25"/>
      <c r="K1688" s="25"/>
      <c r="L1688" s="24"/>
      <c r="M1688" s="24"/>
      <c r="N1688" s="24"/>
      <c r="O1688" s="24"/>
      <c r="P1688" s="24"/>
      <c r="Q1688" s="24"/>
      <c r="R1688" s="24"/>
      <c r="S1688" s="24"/>
      <c r="T1688" s="24"/>
      <c r="Z1688" s="25"/>
    </row>
    <row r="1689">
      <c r="A1689" s="16"/>
      <c r="B1689" s="17"/>
      <c r="C1689" s="24"/>
      <c r="D1689" s="25"/>
      <c r="E1689" s="24"/>
      <c r="F1689" s="25"/>
      <c r="G1689" s="24"/>
      <c r="H1689" s="25"/>
      <c r="I1689" s="24"/>
      <c r="J1689" s="25"/>
      <c r="K1689" s="25"/>
      <c r="L1689" s="24"/>
      <c r="M1689" s="24"/>
      <c r="N1689" s="24"/>
      <c r="O1689" s="24"/>
      <c r="P1689" s="24"/>
      <c r="Q1689" s="24"/>
      <c r="R1689" s="24"/>
      <c r="S1689" s="24"/>
      <c r="T1689" s="24"/>
      <c r="Z1689" s="25"/>
    </row>
    <row r="1690">
      <c r="A1690" s="16"/>
      <c r="B1690" s="17"/>
      <c r="C1690" s="24"/>
      <c r="D1690" s="25"/>
      <c r="E1690" s="24"/>
      <c r="F1690" s="25"/>
      <c r="G1690" s="24"/>
      <c r="H1690" s="25"/>
      <c r="I1690" s="24"/>
      <c r="J1690" s="25"/>
      <c r="K1690" s="25"/>
      <c r="L1690" s="24"/>
      <c r="M1690" s="24"/>
      <c r="N1690" s="24"/>
      <c r="O1690" s="24"/>
      <c r="P1690" s="24"/>
      <c r="Q1690" s="24"/>
      <c r="R1690" s="24"/>
      <c r="S1690" s="24"/>
      <c r="T1690" s="24"/>
      <c r="Z1690" s="25"/>
    </row>
    <row r="1691">
      <c r="A1691" s="16"/>
      <c r="B1691" s="17"/>
      <c r="C1691" s="24"/>
      <c r="D1691" s="25"/>
      <c r="E1691" s="24"/>
      <c r="F1691" s="25"/>
      <c r="G1691" s="24"/>
      <c r="H1691" s="25"/>
      <c r="I1691" s="24"/>
      <c r="J1691" s="25"/>
      <c r="K1691" s="25"/>
      <c r="L1691" s="24"/>
      <c r="M1691" s="24"/>
      <c r="N1691" s="24"/>
      <c r="O1691" s="24"/>
      <c r="P1691" s="24"/>
      <c r="Q1691" s="24"/>
      <c r="R1691" s="24"/>
      <c r="S1691" s="24"/>
      <c r="T1691" s="24"/>
      <c r="Z1691" s="25"/>
    </row>
    <row r="1692">
      <c r="A1692" s="16"/>
      <c r="B1692" s="17"/>
      <c r="C1692" s="24"/>
      <c r="D1692" s="25"/>
      <c r="E1692" s="24"/>
      <c r="F1692" s="25"/>
      <c r="G1692" s="24"/>
      <c r="H1692" s="25"/>
      <c r="I1692" s="24"/>
      <c r="J1692" s="25"/>
      <c r="K1692" s="25"/>
      <c r="L1692" s="24"/>
      <c r="M1692" s="24"/>
      <c r="N1692" s="24"/>
      <c r="O1692" s="24"/>
      <c r="P1692" s="24"/>
      <c r="Q1692" s="24"/>
      <c r="R1692" s="24"/>
      <c r="S1692" s="24"/>
      <c r="T1692" s="24"/>
      <c r="Z1692" s="25"/>
    </row>
    <row r="1693">
      <c r="A1693" s="16"/>
      <c r="B1693" s="17"/>
      <c r="C1693" s="24"/>
      <c r="D1693" s="25"/>
      <c r="E1693" s="24"/>
      <c r="F1693" s="25"/>
      <c r="G1693" s="24"/>
      <c r="H1693" s="25"/>
      <c r="I1693" s="24"/>
      <c r="J1693" s="25"/>
      <c r="K1693" s="25"/>
      <c r="L1693" s="24"/>
      <c r="M1693" s="24"/>
      <c r="N1693" s="24"/>
      <c r="O1693" s="24"/>
      <c r="P1693" s="24"/>
      <c r="Q1693" s="24"/>
      <c r="R1693" s="24"/>
      <c r="S1693" s="24"/>
      <c r="T1693" s="24"/>
      <c r="Z1693" s="25"/>
    </row>
    <row r="1694">
      <c r="A1694" s="16"/>
      <c r="B1694" s="17"/>
      <c r="C1694" s="24"/>
      <c r="D1694" s="25"/>
      <c r="E1694" s="24"/>
      <c r="F1694" s="25"/>
      <c r="G1694" s="24"/>
      <c r="H1694" s="25"/>
      <c r="I1694" s="24"/>
      <c r="J1694" s="25"/>
      <c r="K1694" s="25"/>
      <c r="L1694" s="24"/>
      <c r="M1694" s="24"/>
      <c r="N1694" s="24"/>
      <c r="O1694" s="24"/>
      <c r="P1694" s="24"/>
      <c r="Q1694" s="24"/>
      <c r="R1694" s="24"/>
      <c r="S1694" s="24"/>
      <c r="T1694" s="24"/>
      <c r="Z1694" s="25"/>
    </row>
    <row r="1695">
      <c r="A1695" s="16"/>
      <c r="B1695" s="17"/>
      <c r="C1695" s="24"/>
      <c r="D1695" s="25"/>
      <c r="E1695" s="24"/>
      <c r="F1695" s="25"/>
      <c r="G1695" s="24"/>
      <c r="H1695" s="25"/>
      <c r="I1695" s="24"/>
      <c r="J1695" s="25"/>
      <c r="K1695" s="25"/>
      <c r="L1695" s="24"/>
      <c r="M1695" s="24"/>
      <c r="N1695" s="24"/>
      <c r="O1695" s="24"/>
      <c r="P1695" s="24"/>
      <c r="Q1695" s="24"/>
      <c r="R1695" s="24"/>
      <c r="S1695" s="24"/>
      <c r="T1695" s="24"/>
      <c r="Z1695" s="25"/>
    </row>
    <row r="1696">
      <c r="A1696" s="16"/>
      <c r="B1696" s="17"/>
      <c r="C1696" s="24"/>
      <c r="D1696" s="25"/>
      <c r="E1696" s="24"/>
      <c r="F1696" s="25"/>
      <c r="G1696" s="24"/>
      <c r="H1696" s="25"/>
      <c r="I1696" s="24"/>
      <c r="J1696" s="25"/>
      <c r="K1696" s="25"/>
      <c r="L1696" s="24"/>
      <c r="M1696" s="24"/>
      <c r="N1696" s="24"/>
      <c r="O1696" s="24"/>
      <c r="P1696" s="24"/>
      <c r="Q1696" s="24"/>
      <c r="R1696" s="24"/>
      <c r="S1696" s="24"/>
      <c r="T1696" s="24"/>
      <c r="Z1696" s="25"/>
    </row>
    <row r="1697">
      <c r="A1697" s="16"/>
      <c r="B1697" s="17"/>
      <c r="C1697" s="24"/>
      <c r="D1697" s="25"/>
      <c r="E1697" s="24"/>
      <c r="F1697" s="25"/>
      <c r="G1697" s="24"/>
      <c r="H1697" s="25"/>
      <c r="I1697" s="24"/>
      <c r="J1697" s="25"/>
      <c r="K1697" s="25"/>
      <c r="L1697" s="24"/>
      <c r="M1697" s="24"/>
      <c r="N1697" s="24"/>
      <c r="O1697" s="24"/>
      <c r="P1697" s="24"/>
      <c r="Q1697" s="24"/>
      <c r="R1697" s="24"/>
      <c r="S1697" s="24"/>
      <c r="T1697" s="24"/>
      <c r="Z1697" s="25"/>
    </row>
    <row r="1698">
      <c r="A1698" s="16"/>
      <c r="B1698" s="17"/>
      <c r="C1698" s="24"/>
      <c r="D1698" s="25"/>
      <c r="E1698" s="24"/>
      <c r="F1698" s="25"/>
      <c r="G1698" s="24"/>
      <c r="H1698" s="25"/>
      <c r="I1698" s="24"/>
      <c r="J1698" s="25"/>
      <c r="K1698" s="25"/>
      <c r="L1698" s="24"/>
      <c r="M1698" s="24"/>
      <c r="N1698" s="24"/>
      <c r="O1698" s="24"/>
      <c r="P1698" s="24"/>
      <c r="Q1698" s="24"/>
      <c r="R1698" s="24"/>
      <c r="S1698" s="24"/>
      <c r="T1698" s="24"/>
      <c r="Z1698" s="25"/>
    </row>
    <row r="1699">
      <c r="A1699" s="16"/>
      <c r="B1699" s="17"/>
      <c r="C1699" s="24"/>
      <c r="D1699" s="25"/>
      <c r="E1699" s="24"/>
      <c r="F1699" s="25"/>
      <c r="G1699" s="24"/>
      <c r="H1699" s="25"/>
      <c r="I1699" s="24"/>
      <c r="J1699" s="25"/>
      <c r="K1699" s="25"/>
      <c r="L1699" s="24"/>
      <c r="M1699" s="24"/>
      <c r="N1699" s="24"/>
      <c r="O1699" s="24"/>
      <c r="P1699" s="24"/>
      <c r="Q1699" s="24"/>
      <c r="R1699" s="24"/>
      <c r="S1699" s="24"/>
      <c r="T1699" s="24"/>
      <c r="Z1699" s="25"/>
    </row>
    <row r="1700">
      <c r="A1700" s="16"/>
      <c r="B1700" s="17"/>
      <c r="C1700" s="24"/>
      <c r="D1700" s="25"/>
      <c r="E1700" s="24"/>
      <c r="F1700" s="25"/>
      <c r="G1700" s="24"/>
      <c r="H1700" s="25"/>
      <c r="I1700" s="24"/>
      <c r="J1700" s="25"/>
      <c r="K1700" s="25"/>
      <c r="L1700" s="24"/>
      <c r="M1700" s="24"/>
      <c r="N1700" s="24"/>
      <c r="O1700" s="24"/>
      <c r="P1700" s="24"/>
      <c r="Q1700" s="24"/>
      <c r="R1700" s="24"/>
      <c r="S1700" s="24"/>
      <c r="T1700" s="24"/>
      <c r="Z1700" s="25"/>
    </row>
    <row r="1701">
      <c r="A1701" s="16"/>
      <c r="B1701" s="17"/>
      <c r="C1701" s="24"/>
      <c r="D1701" s="25"/>
      <c r="E1701" s="24"/>
      <c r="F1701" s="25"/>
      <c r="G1701" s="24"/>
      <c r="H1701" s="25"/>
      <c r="I1701" s="24"/>
      <c r="J1701" s="25"/>
      <c r="K1701" s="25"/>
      <c r="L1701" s="24"/>
      <c r="M1701" s="24"/>
      <c r="N1701" s="24"/>
      <c r="O1701" s="24"/>
      <c r="P1701" s="24"/>
      <c r="Q1701" s="24"/>
      <c r="R1701" s="24"/>
      <c r="S1701" s="24"/>
      <c r="T1701" s="24"/>
      <c r="Z1701" s="25"/>
    </row>
    <row r="1702">
      <c r="A1702" s="16"/>
      <c r="B1702" s="17"/>
      <c r="C1702" s="24"/>
      <c r="D1702" s="25"/>
      <c r="E1702" s="24"/>
      <c r="F1702" s="25"/>
      <c r="G1702" s="24"/>
      <c r="H1702" s="25"/>
      <c r="I1702" s="24"/>
      <c r="J1702" s="25"/>
      <c r="K1702" s="25"/>
      <c r="L1702" s="24"/>
      <c r="M1702" s="24"/>
      <c r="N1702" s="24"/>
      <c r="O1702" s="24"/>
      <c r="P1702" s="24"/>
      <c r="Q1702" s="24"/>
      <c r="R1702" s="24"/>
      <c r="S1702" s="24"/>
      <c r="T1702" s="24"/>
      <c r="Z1702" s="25"/>
    </row>
    <row r="1703">
      <c r="A1703" s="16"/>
      <c r="B1703" s="17"/>
      <c r="C1703" s="24"/>
      <c r="D1703" s="25"/>
      <c r="E1703" s="24"/>
      <c r="F1703" s="25"/>
      <c r="G1703" s="24"/>
      <c r="H1703" s="25"/>
      <c r="I1703" s="24"/>
      <c r="J1703" s="25"/>
      <c r="K1703" s="25"/>
      <c r="L1703" s="24"/>
      <c r="M1703" s="24"/>
      <c r="N1703" s="24"/>
      <c r="O1703" s="24"/>
      <c r="P1703" s="24"/>
      <c r="Q1703" s="24"/>
      <c r="R1703" s="24"/>
      <c r="S1703" s="24"/>
      <c r="T1703" s="24"/>
      <c r="Z1703" s="25"/>
    </row>
    <row r="1704">
      <c r="A1704" s="16"/>
      <c r="B1704" s="17"/>
      <c r="C1704" s="24"/>
      <c r="D1704" s="25"/>
      <c r="E1704" s="24"/>
      <c r="F1704" s="25"/>
      <c r="G1704" s="24"/>
      <c r="H1704" s="25"/>
      <c r="I1704" s="24"/>
      <c r="J1704" s="25"/>
      <c r="K1704" s="25"/>
      <c r="L1704" s="24"/>
      <c r="M1704" s="24"/>
      <c r="N1704" s="24"/>
      <c r="O1704" s="24"/>
      <c r="P1704" s="24"/>
      <c r="Q1704" s="24"/>
      <c r="R1704" s="24"/>
      <c r="S1704" s="24"/>
      <c r="T1704" s="24"/>
      <c r="Z1704" s="25"/>
    </row>
    <row r="1705">
      <c r="A1705" s="16"/>
      <c r="B1705" s="17"/>
      <c r="C1705" s="24"/>
      <c r="D1705" s="25"/>
      <c r="E1705" s="24"/>
      <c r="F1705" s="25"/>
      <c r="G1705" s="24"/>
      <c r="H1705" s="25"/>
      <c r="I1705" s="24"/>
      <c r="J1705" s="25"/>
      <c r="K1705" s="25"/>
      <c r="L1705" s="24"/>
      <c r="M1705" s="24"/>
      <c r="N1705" s="24"/>
      <c r="O1705" s="24"/>
      <c r="P1705" s="24"/>
      <c r="Q1705" s="24"/>
      <c r="R1705" s="24"/>
      <c r="S1705" s="24"/>
      <c r="T1705" s="24"/>
      <c r="Z1705" s="25"/>
    </row>
    <row r="1706">
      <c r="A1706" s="16"/>
      <c r="B1706" s="17"/>
      <c r="C1706" s="24"/>
      <c r="D1706" s="25"/>
      <c r="E1706" s="24"/>
      <c r="F1706" s="25"/>
      <c r="G1706" s="24"/>
      <c r="H1706" s="25"/>
      <c r="I1706" s="24"/>
      <c r="J1706" s="25"/>
      <c r="K1706" s="25"/>
      <c r="L1706" s="24"/>
      <c r="M1706" s="24"/>
      <c r="N1706" s="24"/>
      <c r="O1706" s="24"/>
      <c r="P1706" s="24"/>
      <c r="Q1706" s="24"/>
      <c r="R1706" s="24"/>
      <c r="S1706" s="24"/>
      <c r="T1706" s="24"/>
      <c r="Z1706" s="25"/>
    </row>
    <row r="1707">
      <c r="A1707" s="16"/>
      <c r="B1707" s="17"/>
      <c r="C1707" s="24"/>
      <c r="D1707" s="25"/>
      <c r="E1707" s="24"/>
      <c r="F1707" s="25"/>
      <c r="G1707" s="24"/>
      <c r="H1707" s="25"/>
      <c r="I1707" s="24"/>
      <c r="J1707" s="25"/>
      <c r="K1707" s="25"/>
      <c r="L1707" s="24"/>
      <c r="M1707" s="24"/>
      <c r="N1707" s="24"/>
      <c r="O1707" s="24"/>
      <c r="P1707" s="24"/>
      <c r="Q1707" s="24"/>
      <c r="R1707" s="24"/>
      <c r="S1707" s="24"/>
      <c r="T1707" s="24"/>
      <c r="Z1707" s="25"/>
    </row>
    <row r="1708">
      <c r="A1708" s="16"/>
      <c r="B1708" s="17"/>
      <c r="C1708" s="24"/>
      <c r="D1708" s="25"/>
      <c r="E1708" s="24"/>
      <c r="F1708" s="25"/>
      <c r="G1708" s="24"/>
      <c r="H1708" s="25"/>
      <c r="I1708" s="24"/>
      <c r="J1708" s="25"/>
      <c r="K1708" s="25"/>
      <c r="L1708" s="24"/>
      <c r="M1708" s="24"/>
      <c r="N1708" s="24"/>
      <c r="O1708" s="24"/>
      <c r="P1708" s="24"/>
      <c r="Q1708" s="24"/>
      <c r="R1708" s="24"/>
      <c r="S1708" s="24"/>
      <c r="T1708" s="24"/>
      <c r="Z1708" s="25"/>
    </row>
    <row r="1709">
      <c r="A1709" s="16"/>
      <c r="B1709" s="17"/>
      <c r="C1709" s="24"/>
      <c r="D1709" s="25"/>
      <c r="E1709" s="24"/>
      <c r="F1709" s="25"/>
      <c r="G1709" s="24"/>
      <c r="H1709" s="25"/>
      <c r="I1709" s="24"/>
      <c r="J1709" s="25"/>
      <c r="K1709" s="25"/>
      <c r="L1709" s="24"/>
      <c r="M1709" s="24"/>
      <c r="N1709" s="24"/>
      <c r="O1709" s="24"/>
      <c r="P1709" s="24"/>
      <c r="Q1709" s="24"/>
      <c r="R1709" s="24"/>
      <c r="S1709" s="24"/>
      <c r="T1709" s="24"/>
      <c r="Z1709" s="25"/>
    </row>
    <row r="1710">
      <c r="A1710" s="16"/>
      <c r="B1710" s="17"/>
      <c r="C1710" s="24"/>
      <c r="D1710" s="25"/>
      <c r="E1710" s="24"/>
      <c r="F1710" s="25"/>
      <c r="G1710" s="24"/>
      <c r="H1710" s="25"/>
      <c r="I1710" s="24"/>
      <c r="J1710" s="25"/>
      <c r="K1710" s="25"/>
      <c r="L1710" s="24"/>
      <c r="M1710" s="24"/>
      <c r="N1710" s="24"/>
      <c r="O1710" s="24"/>
      <c r="P1710" s="24"/>
      <c r="Q1710" s="24"/>
      <c r="R1710" s="24"/>
      <c r="S1710" s="24"/>
      <c r="T1710" s="24"/>
      <c r="Z1710" s="25"/>
    </row>
    <row r="1711">
      <c r="A1711" s="16"/>
      <c r="B1711" s="17"/>
      <c r="C1711" s="24"/>
      <c r="D1711" s="25"/>
      <c r="E1711" s="24"/>
      <c r="F1711" s="25"/>
      <c r="G1711" s="24"/>
      <c r="H1711" s="25"/>
      <c r="I1711" s="24"/>
      <c r="J1711" s="25"/>
      <c r="K1711" s="25"/>
      <c r="L1711" s="24"/>
      <c r="M1711" s="24"/>
      <c r="N1711" s="24"/>
      <c r="O1711" s="24"/>
      <c r="P1711" s="24"/>
      <c r="Q1711" s="24"/>
      <c r="R1711" s="24"/>
      <c r="S1711" s="24"/>
      <c r="T1711" s="24"/>
      <c r="Z1711" s="25"/>
    </row>
    <row r="1712">
      <c r="A1712" s="16"/>
      <c r="B1712" s="17"/>
      <c r="C1712" s="24"/>
      <c r="D1712" s="25"/>
      <c r="E1712" s="24"/>
      <c r="F1712" s="25"/>
      <c r="G1712" s="24"/>
      <c r="H1712" s="25"/>
      <c r="I1712" s="24"/>
      <c r="J1712" s="25"/>
      <c r="K1712" s="25"/>
      <c r="L1712" s="24"/>
      <c r="M1712" s="24"/>
      <c r="N1712" s="24"/>
      <c r="O1712" s="24"/>
      <c r="P1712" s="24"/>
      <c r="Q1712" s="24"/>
      <c r="R1712" s="24"/>
      <c r="S1712" s="24"/>
      <c r="T1712" s="24"/>
      <c r="Z1712" s="25"/>
    </row>
    <row r="1713">
      <c r="A1713" s="16"/>
      <c r="B1713" s="17"/>
      <c r="C1713" s="24"/>
      <c r="D1713" s="25"/>
      <c r="E1713" s="24"/>
      <c r="F1713" s="25"/>
      <c r="G1713" s="24"/>
      <c r="H1713" s="25"/>
      <c r="I1713" s="24"/>
      <c r="J1713" s="25"/>
      <c r="K1713" s="25"/>
      <c r="L1713" s="24"/>
      <c r="M1713" s="24"/>
      <c r="N1713" s="24"/>
      <c r="O1713" s="24"/>
      <c r="P1713" s="24"/>
      <c r="Q1713" s="24"/>
      <c r="R1713" s="24"/>
      <c r="S1713" s="24"/>
      <c r="T1713" s="24"/>
      <c r="Z1713" s="25"/>
    </row>
    <row r="1714">
      <c r="A1714" s="16"/>
      <c r="B1714" s="17"/>
      <c r="C1714" s="24"/>
      <c r="D1714" s="25"/>
      <c r="E1714" s="24"/>
      <c r="F1714" s="25"/>
      <c r="G1714" s="24"/>
      <c r="H1714" s="25"/>
      <c r="I1714" s="24"/>
      <c r="J1714" s="25"/>
      <c r="K1714" s="25"/>
      <c r="L1714" s="24"/>
      <c r="M1714" s="24"/>
      <c r="N1714" s="24"/>
      <c r="O1714" s="24"/>
      <c r="P1714" s="24"/>
      <c r="Q1714" s="24"/>
      <c r="R1714" s="24"/>
      <c r="S1714" s="24"/>
      <c r="T1714" s="24"/>
      <c r="Z1714" s="25"/>
    </row>
    <row r="1715">
      <c r="A1715" s="16"/>
      <c r="B1715" s="17"/>
      <c r="C1715" s="24"/>
      <c r="D1715" s="25"/>
      <c r="E1715" s="24"/>
      <c r="F1715" s="25"/>
      <c r="G1715" s="24"/>
      <c r="H1715" s="25"/>
      <c r="I1715" s="24"/>
      <c r="J1715" s="25"/>
      <c r="K1715" s="25"/>
      <c r="L1715" s="24"/>
      <c r="M1715" s="24"/>
      <c r="N1715" s="24"/>
      <c r="O1715" s="24"/>
      <c r="P1715" s="24"/>
      <c r="Q1715" s="24"/>
      <c r="R1715" s="24"/>
      <c r="S1715" s="24"/>
      <c r="T1715" s="24"/>
      <c r="Z1715" s="25"/>
    </row>
    <row r="1716">
      <c r="A1716" s="16"/>
      <c r="B1716" s="17"/>
      <c r="C1716" s="24"/>
      <c r="D1716" s="25"/>
      <c r="E1716" s="24"/>
      <c r="F1716" s="25"/>
      <c r="G1716" s="24"/>
      <c r="H1716" s="25"/>
      <c r="I1716" s="24"/>
      <c r="J1716" s="25"/>
      <c r="K1716" s="25"/>
      <c r="L1716" s="24"/>
      <c r="M1716" s="24"/>
      <c r="N1716" s="24"/>
      <c r="O1716" s="24"/>
      <c r="P1716" s="24"/>
      <c r="Q1716" s="24"/>
      <c r="R1716" s="24"/>
      <c r="S1716" s="24"/>
      <c r="T1716" s="24"/>
      <c r="Z1716" s="25"/>
    </row>
    <row r="1717">
      <c r="A1717" s="16"/>
      <c r="B1717" s="17"/>
      <c r="C1717" s="24"/>
      <c r="D1717" s="25"/>
      <c r="E1717" s="24"/>
      <c r="F1717" s="25"/>
      <c r="G1717" s="24"/>
      <c r="H1717" s="25"/>
      <c r="I1717" s="24"/>
      <c r="J1717" s="25"/>
      <c r="K1717" s="25"/>
      <c r="L1717" s="24"/>
      <c r="M1717" s="24"/>
      <c r="N1717" s="24"/>
      <c r="O1717" s="24"/>
      <c r="P1717" s="24"/>
      <c r="Q1717" s="24"/>
      <c r="R1717" s="24"/>
      <c r="S1717" s="24"/>
      <c r="T1717" s="24"/>
      <c r="Z1717" s="25"/>
    </row>
    <row r="1718">
      <c r="A1718" s="16"/>
      <c r="B1718" s="17"/>
      <c r="C1718" s="24"/>
      <c r="D1718" s="25"/>
      <c r="E1718" s="24"/>
      <c r="F1718" s="25"/>
      <c r="G1718" s="24"/>
      <c r="H1718" s="25"/>
      <c r="I1718" s="24"/>
      <c r="J1718" s="25"/>
      <c r="K1718" s="25"/>
      <c r="L1718" s="24"/>
      <c r="M1718" s="24"/>
      <c r="N1718" s="24"/>
      <c r="O1718" s="24"/>
      <c r="P1718" s="24"/>
      <c r="Q1718" s="24"/>
      <c r="R1718" s="24"/>
      <c r="S1718" s="24"/>
      <c r="T1718" s="24"/>
      <c r="Z1718" s="25"/>
    </row>
    <row r="1719">
      <c r="A1719" s="16"/>
      <c r="B1719" s="17"/>
      <c r="C1719" s="24"/>
      <c r="D1719" s="25"/>
      <c r="E1719" s="24"/>
      <c r="F1719" s="25"/>
      <c r="G1719" s="24"/>
      <c r="H1719" s="25"/>
      <c r="I1719" s="24"/>
      <c r="J1719" s="25"/>
      <c r="K1719" s="25"/>
      <c r="L1719" s="24"/>
      <c r="M1719" s="24"/>
      <c r="N1719" s="24"/>
      <c r="O1719" s="24"/>
      <c r="P1719" s="24"/>
      <c r="Q1719" s="24"/>
      <c r="R1719" s="24"/>
      <c r="S1719" s="24"/>
      <c r="T1719" s="24"/>
      <c r="Z1719" s="25"/>
    </row>
    <row r="1720">
      <c r="A1720" s="16"/>
      <c r="B1720" s="17"/>
      <c r="C1720" s="24"/>
      <c r="D1720" s="25"/>
      <c r="E1720" s="24"/>
      <c r="F1720" s="25"/>
      <c r="G1720" s="24"/>
      <c r="H1720" s="25"/>
      <c r="I1720" s="24"/>
      <c r="J1720" s="25"/>
      <c r="K1720" s="25"/>
      <c r="L1720" s="24"/>
      <c r="M1720" s="24"/>
      <c r="N1720" s="24"/>
      <c r="O1720" s="24"/>
      <c r="P1720" s="24"/>
      <c r="Q1720" s="24"/>
      <c r="R1720" s="24"/>
      <c r="S1720" s="24"/>
      <c r="T1720" s="24"/>
      <c r="Z1720" s="25"/>
    </row>
    <row r="1721">
      <c r="A1721" s="16"/>
      <c r="B1721" s="17"/>
      <c r="C1721" s="24"/>
      <c r="D1721" s="25"/>
      <c r="E1721" s="24"/>
      <c r="F1721" s="25"/>
      <c r="G1721" s="24"/>
      <c r="H1721" s="25"/>
      <c r="I1721" s="24"/>
      <c r="J1721" s="25"/>
      <c r="K1721" s="25"/>
      <c r="L1721" s="24"/>
      <c r="M1721" s="24"/>
      <c r="N1721" s="24"/>
      <c r="O1721" s="24"/>
      <c r="P1721" s="24"/>
      <c r="Q1721" s="24"/>
      <c r="R1721" s="24"/>
      <c r="S1721" s="24"/>
      <c r="T1721" s="24"/>
      <c r="Z1721" s="25"/>
    </row>
    <row r="1722">
      <c r="A1722" s="16"/>
      <c r="B1722" s="17"/>
      <c r="C1722" s="24"/>
      <c r="D1722" s="25"/>
      <c r="E1722" s="24"/>
      <c r="F1722" s="25"/>
      <c r="G1722" s="24"/>
      <c r="H1722" s="25"/>
      <c r="I1722" s="24"/>
      <c r="J1722" s="25"/>
      <c r="K1722" s="25"/>
      <c r="L1722" s="24"/>
      <c r="M1722" s="24"/>
      <c r="N1722" s="24"/>
      <c r="O1722" s="24"/>
      <c r="P1722" s="24"/>
      <c r="Q1722" s="24"/>
      <c r="R1722" s="24"/>
      <c r="S1722" s="24"/>
      <c r="T1722" s="24"/>
      <c r="Z1722" s="25"/>
    </row>
    <row r="1723">
      <c r="A1723" s="16"/>
      <c r="B1723" s="17"/>
      <c r="C1723" s="24"/>
      <c r="D1723" s="25"/>
      <c r="E1723" s="24"/>
      <c r="F1723" s="25"/>
      <c r="G1723" s="24"/>
      <c r="H1723" s="25"/>
      <c r="I1723" s="24"/>
      <c r="J1723" s="25"/>
      <c r="K1723" s="25"/>
      <c r="L1723" s="24"/>
      <c r="M1723" s="24"/>
      <c r="N1723" s="24"/>
      <c r="O1723" s="24"/>
      <c r="P1723" s="24"/>
      <c r="Q1723" s="24"/>
      <c r="R1723" s="24"/>
      <c r="S1723" s="24"/>
      <c r="T1723" s="24"/>
      <c r="Z1723" s="25"/>
    </row>
    <row r="1724">
      <c r="A1724" s="16"/>
      <c r="B1724" s="17"/>
      <c r="C1724" s="24"/>
      <c r="D1724" s="25"/>
      <c r="E1724" s="24"/>
      <c r="F1724" s="25"/>
      <c r="G1724" s="24"/>
      <c r="H1724" s="25"/>
      <c r="I1724" s="24"/>
      <c r="J1724" s="25"/>
      <c r="K1724" s="25"/>
      <c r="L1724" s="24"/>
      <c r="M1724" s="24"/>
      <c r="N1724" s="24"/>
      <c r="O1724" s="24"/>
      <c r="P1724" s="24"/>
      <c r="Q1724" s="24"/>
      <c r="R1724" s="24"/>
      <c r="S1724" s="24"/>
      <c r="T1724" s="24"/>
      <c r="Z1724" s="25"/>
    </row>
    <row r="1725">
      <c r="A1725" s="16"/>
      <c r="B1725" s="17"/>
      <c r="C1725" s="24"/>
      <c r="D1725" s="25"/>
      <c r="E1725" s="24"/>
      <c r="F1725" s="25"/>
      <c r="G1725" s="24"/>
      <c r="H1725" s="25"/>
      <c r="I1725" s="24"/>
      <c r="J1725" s="25"/>
      <c r="K1725" s="25"/>
      <c r="L1725" s="24"/>
      <c r="M1725" s="24"/>
      <c r="N1725" s="24"/>
      <c r="O1725" s="24"/>
      <c r="P1725" s="24"/>
      <c r="Q1725" s="24"/>
      <c r="R1725" s="24"/>
      <c r="S1725" s="24"/>
      <c r="T1725" s="24"/>
      <c r="Z1725" s="25"/>
    </row>
    <row r="1726">
      <c r="A1726" s="16"/>
      <c r="B1726" s="17"/>
      <c r="C1726" s="24"/>
      <c r="D1726" s="25"/>
      <c r="E1726" s="24"/>
      <c r="F1726" s="25"/>
      <c r="G1726" s="24"/>
      <c r="H1726" s="25"/>
      <c r="I1726" s="24"/>
      <c r="J1726" s="25"/>
      <c r="K1726" s="25"/>
      <c r="L1726" s="24"/>
      <c r="M1726" s="24"/>
      <c r="N1726" s="24"/>
      <c r="O1726" s="24"/>
      <c r="P1726" s="24"/>
      <c r="Q1726" s="24"/>
      <c r="R1726" s="24"/>
      <c r="S1726" s="24"/>
      <c r="T1726" s="24"/>
      <c r="Z1726" s="25"/>
    </row>
    <row r="1727">
      <c r="A1727" s="16"/>
      <c r="B1727" s="17"/>
      <c r="C1727" s="24"/>
      <c r="D1727" s="25"/>
      <c r="E1727" s="24"/>
      <c r="F1727" s="25"/>
      <c r="G1727" s="24"/>
      <c r="H1727" s="25"/>
      <c r="I1727" s="24"/>
      <c r="J1727" s="25"/>
      <c r="K1727" s="25"/>
      <c r="L1727" s="24"/>
      <c r="M1727" s="24"/>
      <c r="N1727" s="24"/>
      <c r="O1727" s="24"/>
      <c r="P1727" s="24"/>
      <c r="Q1727" s="24"/>
      <c r="R1727" s="24"/>
      <c r="S1727" s="24"/>
      <c r="T1727" s="24"/>
      <c r="Z1727" s="25"/>
    </row>
    <row r="1728">
      <c r="A1728" s="16"/>
      <c r="B1728" s="17"/>
      <c r="C1728" s="24"/>
      <c r="D1728" s="25"/>
      <c r="E1728" s="24"/>
      <c r="F1728" s="25"/>
      <c r="G1728" s="24"/>
      <c r="H1728" s="25"/>
      <c r="I1728" s="24"/>
      <c r="J1728" s="25"/>
      <c r="K1728" s="25"/>
      <c r="L1728" s="24"/>
      <c r="M1728" s="24"/>
      <c r="N1728" s="24"/>
      <c r="O1728" s="24"/>
      <c r="P1728" s="24"/>
      <c r="Q1728" s="24"/>
      <c r="R1728" s="24"/>
      <c r="S1728" s="24"/>
      <c r="T1728" s="24"/>
      <c r="Z1728" s="25"/>
    </row>
    <row r="1729">
      <c r="A1729" s="16"/>
      <c r="B1729" s="17"/>
      <c r="C1729" s="24"/>
      <c r="D1729" s="25"/>
      <c r="E1729" s="24"/>
      <c r="F1729" s="25"/>
      <c r="G1729" s="24"/>
      <c r="H1729" s="25"/>
      <c r="I1729" s="24"/>
      <c r="J1729" s="25"/>
      <c r="K1729" s="25"/>
      <c r="L1729" s="24"/>
      <c r="M1729" s="24"/>
      <c r="N1729" s="24"/>
      <c r="O1729" s="24"/>
      <c r="P1729" s="24"/>
      <c r="Q1729" s="24"/>
      <c r="R1729" s="24"/>
      <c r="S1729" s="24"/>
      <c r="T1729" s="24"/>
      <c r="Z1729" s="25"/>
    </row>
    <row r="1730">
      <c r="A1730" s="16"/>
      <c r="B1730" s="17"/>
      <c r="C1730" s="24"/>
      <c r="D1730" s="25"/>
      <c r="E1730" s="24"/>
      <c r="F1730" s="25"/>
      <c r="G1730" s="24"/>
      <c r="H1730" s="25"/>
      <c r="I1730" s="24"/>
      <c r="J1730" s="25"/>
      <c r="K1730" s="25"/>
      <c r="L1730" s="24"/>
      <c r="M1730" s="24"/>
      <c r="N1730" s="24"/>
      <c r="O1730" s="24"/>
      <c r="P1730" s="24"/>
      <c r="Q1730" s="24"/>
      <c r="R1730" s="24"/>
      <c r="S1730" s="24"/>
      <c r="T1730" s="24"/>
      <c r="Z1730" s="25"/>
    </row>
    <row r="1731">
      <c r="A1731" s="16"/>
      <c r="B1731" s="17"/>
      <c r="C1731" s="24"/>
      <c r="D1731" s="25"/>
      <c r="E1731" s="24"/>
      <c r="F1731" s="25"/>
      <c r="G1731" s="24"/>
      <c r="H1731" s="25"/>
      <c r="I1731" s="24"/>
      <c r="J1731" s="25"/>
      <c r="K1731" s="25"/>
      <c r="L1731" s="24"/>
      <c r="M1731" s="24"/>
      <c r="N1731" s="24"/>
      <c r="O1731" s="24"/>
      <c r="P1731" s="24"/>
      <c r="Q1731" s="24"/>
      <c r="R1731" s="24"/>
      <c r="S1731" s="24"/>
      <c r="T1731" s="24"/>
      <c r="Z1731" s="25"/>
    </row>
    <row r="1732">
      <c r="A1732" s="16"/>
      <c r="B1732" s="17"/>
      <c r="C1732" s="24"/>
      <c r="D1732" s="25"/>
      <c r="E1732" s="24"/>
      <c r="F1732" s="25"/>
      <c r="G1732" s="24"/>
      <c r="H1732" s="25"/>
      <c r="I1732" s="24"/>
      <c r="J1732" s="25"/>
      <c r="K1732" s="25"/>
      <c r="L1732" s="24"/>
      <c r="M1732" s="24"/>
      <c r="N1732" s="24"/>
      <c r="O1732" s="24"/>
      <c r="P1732" s="24"/>
      <c r="Q1732" s="24"/>
      <c r="R1732" s="24"/>
      <c r="S1732" s="24"/>
      <c r="T1732" s="24"/>
      <c r="Z1732" s="25"/>
    </row>
    <row r="1733">
      <c r="A1733" s="16"/>
      <c r="B1733" s="17"/>
      <c r="C1733" s="24"/>
      <c r="D1733" s="25"/>
      <c r="E1733" s="24"/>
      <c r="F1733" s="25"/>
      <c r="G1733" s="24"/>
      <c r="H1733" s="25"/>
      <c r="I1733" s="24"/>
      <c r="J1733" s="25"/>
      <c r="K1733" s="25"/>
      <c r="L1733" s="24"/>
      <c r="M1733" s="24"/>
      <c r="N1733" s="24"/>
      <c r="O1733" s="24"/>
      <c r="P1733" s="24"/>
      <c r="Q1733" s="24"/>
      <c r="R1733" s="24"/>
      <c r="S1733" s="24"/>
      <c r="T1733" s="24"/>
      <c r="Z1733" s="25"/>
    </row>
    <row r="1734">
      <c r="A1734" s="16"/>
      <c r="B1734" s="17"/>
      <c r="C1734" s="24"/>
      <c r="D1734" s="25"/>
      <c r="E1734" s="24"/>
      <c r="F1734" s="25"/>
      <c r="G1734" s="24"/>
      <c r="H1734" s="25"/>
      <c r="I1734" s="24"/>
      <c r="J1734" s="25"/>
      <c r="K1734" s="25"/>
      <c r="L1734" s="24"/>
      <c r="M1734" s="24"/>
      <c r="N1734" s="24"/>
      <c r="O1734" s="24"/>
      <c r="P1734" s="24"/>
      <c r="Q1734" s="24"/>
      <c r="R1734" s="24"/>
      <c r="S1734" s="24"/>
      <c r="T1734" s="24"/>
      <c r="Z1734" s="25"/>
    </row>
    <row r="1735">
      <c r="A1735" s="16"/>
      <c r="B1735" s="17"/>
      <c r="C1735" s="24"/>
      <c r="D1735" s="25"/>
      <c r="E1735" s="24"/>
      <c r="F1735" s="25"/>
      <c r="G1735" s="24"/>
      <c r="H1735" s="25"/>
      <c r="I1735" s="24"/>
      <c r="J1735" s="25"/>
      <c r="K1735" s="25"/>
      <c r="L1735" s="24"/>
      <c r="M1735" s="24"/>
      <c r="N1735" s="24"/>
      <c r="O1735" s="24"/>
      <c r="P1735" s="24"/>
      <c r="Q1735" s="24"/>
      <c r="R1735" s="24"/>
      <c r="S1735" s="24"/>
      <c r="T1735" s="24"/>
      <c r="Z1735" s="25"/>
    </row>
    <row r="1736">
      <c r="A1736" s="16"/>
      <c r="B1736" s="17"/>
      <c r="C1736" s="24"/>
      <c r="D1736" s="25"/>
      <c r="E1736" s="24"/>
      <c r="F1736" s="25"/>
      <c r="G1736" s="24"/>
      <c r="H1736" s="25"/>
      <c r="I1736" s="24"/>
      <c r="J1736" s="25"/>
      <c r="K1736" s="25"/>
      <c r="L1736" s="24"/>
      <c r="M1736" s="24"/>
      <c r="N1736" s="24"/>
      <c r="O1736" s="24"/>
      <c r="P1736" s="24"/>
      <c r="Q1736" s="24"/>
      <c r="R1736" s="24"/>
      <c r="S1736" s="24"/>
      <c r="T1736" s="24"/>
      <c r="Z1736" s="25"/>
    </row>
    <row r="1737">
      <c r="A1737" s="16"/>
      <c r="B1737" s="17"/>
      <c r="C1737" s="24"/>
      <c r="D1737" s="25"/>
      <c r="E1737" s="24"/>
      <c r="F1737" s="25"/>
      <c r="G1737" s="24"/>
      <c r="H1737" s="25"/>
      <c r="I1737" s="24"/>
      <c r="J1737" s="25"/>
      <c r="K1737" s="25"/>
      <c r="L1737" s="24"/>
      <c r="M1737" s="24"/>
      <c r="N1737" s="24"/>
      <c r="O1737" s="24"/>
      <c r="P1737" s="24"/>
      <c r="Q1737" s="24"/>
      <c r="R1737" s="24"/>
      <c r="S1737" s="24"/>
      <c r="T1737" s="24"/>
      <c r="Z1737" s="25"/>
    </row>
    <row r="1738">
      <c r="A1738" s="16"/>
      <c r="B1738" s="17"/>
      <c r="C1738" s="24"/>
      <c r="D1738" s="25"/>
      <c r="E1738" s="24"/>
      <c r="F1738" s="25"/>
      <c r="G1738" s="24"/>
      <c r="H1738" s="25"/>
      <c r="I1738" s="24"/>
      <c r="J1738" s="25"/>
      <c r="K1738" s="25"/>
      <c r="L1738" s="24"/>
      <c r="M1738" s="24"/>
      <c r="N1738" s="24"/>
      <c r="O1738" s="24"/>
      <c r="P1738" s="24"/>
      <c r="Q1738" s="24"/>
      <c r="R1738" s="24"/>
      <c r="S1738" s="24"/>
      <c r="T1738" s="24"/>
      <c r="Z1738" s="25"/>
    </row>
    <row r="1739">
      <c r="A1739" s="16"/>
      <c r="B1739" s="17"/>
      <c r="C1739" s="24"/>
      <c r="D1739" s="25"/>
      <c r="E1739" s="24"/>
      <c r="F1739" s="25"/>
      <c r="G1739" s="24"/>
      <c r="H1739" s="25"/>
      <c r="I1739" s="24"/>
      <c r="J1739" s="25"/>
      <c r="K1739" s="25"/>
      <c r="L1739" s="24"/>
      <c r="M1739" s="24"/>
      <c r="N1739" s="24"/>
      <c r="O1739" s="24"/>
      <c r="P1739" s="24"/>
      <c r="Q1739" s="24"/>
      <c r="R1739" s="24"/>
      <c r="S1739" s="24"/>
      <c r="T1739" s="24"/>
      <c r="Z1739" s="25"/>
    </row>
    <row r="1740">
      <c r="A1740" s="16"/>
      <c r="B1740" s="17"/>
      <c r="C1740" s="24"/>
      <c r="D1740" s="25"/>
      <c r="E1740" s="24"/>
      <c r="F1740" s="25"/>
      <c r="G1740" s="24"/>
      <c r="H1740" s="25"/>
      <c r="I1740" s="24"/>
      <c r="J1740" s="25"/>
      <c r="K1740" s="25"/>
      <c r="L1740" s="24"/>
      <c r="M1740" s="24"/>
      <c r="N1740" s="24"/>
      <c r="O1740" s="24"/>
      <c r="P1740" s="24"/>
      <c r="Q1740" s="24"/>
      <c r="R1740" s="24"/>
      <c r="S1740" s="24"/>
      <c r="T1740" s="24"/>
      <c r="Z1740" s="25"/>
    </row>
    <row r="1741">
      <c r="A1741" s="16"/>
      <c r="B1741" s="17"/>
      <c r="C1741" s="24"/>
      <c r="D1741" s="25"/>
      <c r="E1741" s="24"/>
      <c r="F1741" s="25"/>
      <c r="G1741" s="24"/>
      <c r="H1741" s="25"/>
      <c r="I1741" s="24"/>
      <c r="J1741" s="25"/>
      <c r="K1741" s="25"/>
      <c r="L1741" s="24"/>
      <c r="M1741" s="24"/>
      <c r="N1741" s="24"/>
      <c r="O1741" s="24"/>
      <c r="P1741" s="24"/>
      <c r="Q1741" s="24"/>
      <c r="R1741" s="24"/>
      <c r="S1741" s="24"/>
      <c r="T1741" s="24"/>
      <c r="Z1741" s="25"/>
    </row>
    <row r="1742">
      <c r="A1742" s="16"/>
      <c r="B1742" s="17"/>
      <c r="C1742" s="24"/>
      <c r="D1742" s="25"/>
      <c r="E1742" s="24"/>
      <c r="F1742" s="25"/>
      <c r="G1742" s="24"/>
      <c r="H1742" s="25"/>
      <c r="I1742" s="24"/>
      <c r="J1742" s="25"/>
      <c r="K1742" s="25"/>
      <c r="L1742" s="24"/>
      <c r="M1742" s="24"/>
      <c r="N1742" s="24"/>
      <c r="O1742" s="24"/>
      <c r="P1742" s="24"/>
      <c r="Q1742" s="24"/>
      <c r="R1742" s="24"/>
      <c r="S1742" s="24"/>
      <c r="T1742" s="24"/>
      <c r="Z1742" s="25"/>
    </row>
    <row r="1743">
      <c r="A1743" s="16"/>
      <c r="B1743" s="17"/>
      <c r="C1743" s="24"/>
      <c r="D1743" s="25"/>
      <c r="E1743" s="24"/>
      <c r="F1743" s="25"/>
      <c r="G1743" s="24"/>
      <c r="H1743" s="25"/>
      <c r="I1743" s="24"/>
      <c r="J1743" s="25"/>
      <c r="K1743" s="25"/>
      <c r="L1743" s="24"/>
      <c r="M1743" s="24"/>
      <c r="N1743" s="24"/>
      <c r="O1743" s="24"/>
      <c r="P1743" s="24"/>
      <c r="Q1743" s="24"/>
      <c r="R1743" s="24"/>
      <c r="S1743" s="24"/>
      <c r="T1743" s="24"/>
      <c r="Z1743" s="25"/>
    </row>
    <row r="1744">
      <c r="A1744" s="16"/>
      <c r="B1744" s="17"/>
      <c r="C1744" s="24"/>
      <c r="D1744" s="25"/>
      <c r="E1744" s="24"/>
      <c r="F1744" s="25"/>
      <c r="G1744" s="24"/>
      <c r="H1744" s="25"/>
      <c r="I1744" s="24"/>
      <c r="J1744" s="25"/>
      <c r="K1744" s="25"/>
      <c r="L1744" s="24"/>
      <c r="M1744" s="24"/>
      <c r="N1744" s="24"/>
      <c r="O1744" s="24"/>
      <c r="P1744" s="24"/>
      <c r="Q1744" s="24"/>
      <c r="R1744" s="24"/>
      <c r="S1744" s="24"/>
      <c r="T1744" s="24"/>
      <c r="Z1744" s="25"/>
    </row>
    <row r="1745">
      <c r="A1745" s="16"/>
      <c r="B1745" s="17"/>
      <c r="C1745" s="24"/>
      <c r="D1745" s="25"/>
      <c r="E1745" s="24"/>
      <c r="F1745" s="25"/>
      <c r="G1745" s="24"/>
      <c r="H1745" s="25"/>
      <c r="I1745" s="24"/>
      <c r="J1745" s="25"/>
      <c r="K1745" s="25"/>
      <c r="L1745" s="24"/>
      <c r="M1745" s="24"/>
      <c r="N1745" s="24"/>
      <c r="O1745" s="24"/>
      <c r="P1745" s="24"/>
      <c r="Q1745" s="24"/>
      <c r="R1745" s="24"/>
      <c r="S1745" s="24"/>
      <c r="T1745" s="24"/>
      <c r="Z1745" s="25"/>
    </row>
    <row r="1746">
      <c r="A1746" s="16"/>
      <c r="B1746" s="17"/>
      <c r="C1746" s="24"/>
      <c r="D1746" s="25"/>
      <c r="E1746" s="24"/>
      <c r="F1746" s="25"/>
      <c r="G1746" s="24"/>
      <c r="H1746" s="25"/>
      <c r="I1746" s="24"/>
      <c r="J1746" s="25"/>
      <c r="K1746" s="25"/>
      <c r="L1746" s="24"/>
      <c r="M1746" s="24"/>
      <c r="N1746" s="24"/>
      <c r="O1746" s="24"/>
      <c r="P1746" s="24"/>
      <c r="Q1746" s="24"/>
      <c r="R1746" s="24"/>
      <c r="S1746" s="24"/>
      <c r="T1746" s="24"/>
      <c r="Z1746" s="25"/>
    </row>
    <row r="1747">
      <c r="A1747" s="16"/>
      <c r="B1747" s="17"/>
      <c r="C1747" s="24"/>
      <c r="D1747" s="25"/>
      <c r="E1747" s="24"/>
      <c r="F1747" s="25"/>
      <c r="G1747" s="24"/>
      <c r="H1747" s="25"/>
      <c r="I1747" s="24"/>
      <c r="J1747" s="25"/>
      <c r="K1747" s="25"/>
      <c r="L1747" s="24"/>
      <c r="M1747" s="24"/>
      <c r="N1747" s="24"/>
      <c r="O1747" s="24"/>
      <c r="P1747" s="24"/>
      <c r="Q1747" s="24"/>
      <c r="R1747" s="24"/>
      <c r="S1747" s="24"/>
      <c r="T1747" s="24"/>
      <c r="Z1747" s="25"/>
    </row>
    <row r="1748">
      <c r="A1748" s="16"/>
      <c r="B1748" s="17"/>
      <c r="C1748" s="24"/>
      <c r="D1748" s="25"/>
      <c r="E1748" s="24"/>
      <c r="F1748" s="25"/>
      <c r="G1748" s="24"/>
      <c r="H1748" s="25"/>
      <c r="I1748" s="24"/>
      <c r="J1748" s="25"/>
      <c r="K1748" s="25"/>
      <c r="L1748" s="24"/>
      <c r="M1748" s="24"/>
      <c r="N1748" s="24"/>
      <c r="O1748" s="24"/>
      <c r="P1748" s="24"/>
      <c r="Q1748" s="24"/>
      <c r="R1748" s="24"/>
      <c r="S1748" s="24"/>
      <c r="T1748" s="24"/>
      <c r="Z1748" s="25"/>
    </row>
    <row r="1749">
      <c r="A1749" s="16"/>
      <c r="B1749" s="17"/>
      <c r="C1749" s="24"/>
      <c r="D1749" s="25"/>
      <c r="E1749" s="24"/>
      <c r="F1749" s="25"/>
      <c r="G1749" s="24"/>
      <c r="H1749" s="25"/>
      <c r="I1749" s="24"/>
      <c r="J1749" s="25"/>
      <c r="K1749" s="25"/>
      <c r="L1749" s="24"/>
      <c r="M1749" s="24"/>
      <c r="N1749" s="24"/>
      <c r="O1749" s="24"/>
      <c r="P1749" s="24"/>
      <c r="Q1749" s="24"/>
      <c r="R1749" s="24"/>
      <c r="S1749" s="24"/>
      <c r="T1749" s="24"/>
      <c r="Z1749" s="25"/>
    </row>
    <row r="1750">
      <c r="A1750" s="16"/>
      <c r="B1750" s="17"/>
      <c r="C1750" s="24"/>
      <c r="D1750" s="25"/>
      <c r="E1750" s="24"/>
      <c r="F1750" s="25"/>
      <c r="G1750" s="24"/>
      <c r="H1750" s="25"/>
      <c r="I1750" s="24"/>
      <c r="J1750" s="25"/>
      <c r="K1750" s="25"/>
      <c r="L1750" s="24"/>
      <c r="M1750" s="24"/>
      <c r="N1750" s="24"/>
      <c r="O1750" s="24"/>
      <c r="P1750" s="24"/>
      <c r="Q1750" s="24"/>
      <c r="R1750" s="24"/>
      <c r="S1750" s="24"/>
      <c r="T1750" s="24"/>
      <c r="Z1750" s="25"/>
    </row>
    <row r="1751">
      <c r="A1751" s="16"/>
      <c r="B1751" s="17"/>
      <c r="C1751" s="24"/>
      <c r="D1751" s="25"/>
      <c r="E1751" s="24"/>
      <c r="F1751" s="25"/>
      <c r="G1751" s="24"/>
      <c r="H1751" s="25"/>
      <c r="I1751" s="24"/>
      <c r="J1751" s="25"/>
      <c r="K1751" s="25"/>
      <c r="L1751" s="24"/>
      <c r="M1751" s="24"/>
      <c r="N1751" s="24"/>
      <c r="O1751" s="24"/>
      <c r="P1751" s="24"/>
      <c r="Q1751" s="24"/>
      <c r="R1751" s="24"/>
      <c r="S1751" s="24"/>
      <c r="T1751" s="24"/>
      <c r="Z1751" s="25"/>
    </row>
    <row r="1752">
      <c r="A1752" s="16"/>
      <c r="B1752" s="17"/>
      <c r="C1752" s="24"/>
      <c r="D1752" s="25"/>
      <c r="E1752" s="24"/>
      <c r="F1752" s="25"/>
      <c r="G1752" s="24"/>
      <c r="H1752" s="25"/>
      <c r="I1752" s="24"/>
      <c r="J1752" s="25"/>
      <c r="K1752" s="25"/>
      <c r="L1752" s="24"/>
      <c r="M1752" s="24"/>
      <c r="N1752" s="24"/>
      <c r="O1752" s="24"/>
      <c r="P1752" s="24"/>
      <c r="Q1752" s="24"/>
      <c r="R1752" s="24"/>
      <c r="S1752" s="24"/>
      <c r="T1752" s="24"/>
      <c r="Z1752" s="25"/>
    </row>
    <row r="1753">
      <c r="A1753" s="16"/>
      <c r="B1753" s="17"/>
      <c r="C1753" s="24"/>
      <c r="D1753" s="25"/>
      <c r="E1753" s="24"/>
      <c r="F1753" s="25"/>
      <c r="G1753" s="24"/>
      <c r="H1753" s="25"/>
      <c r="I1753" s="24"/>
      <c r="J1753" s="25"/>
      <c r="K1753" s="25"/>
      <c r="L1753" s="24"/>
      <c r="M1753" s="24"/>
      <c r="N1753" s="24"/>
      <c r="O1753" s="24"/>
      <c r="P1753" s="24"/>
      <c r="Q1753" s="24"/>
      <c r="R1753" s="24"/>
      <c r="S1753" s="24"/>
      <c r="T1753" s="24"/>
      <c r="Z1753" s="25"/>
    </row>
    <row r="1754">
      <c r="A1754" s="16"/>
      <c r="B1754" s="17"/>
      <c r="C1754" s="24"/>
      <c r="D1754" s="25"/>
      <c r="E1754" s="24"/>
      <c r="F1754" s="25"/>
      <c r="G1754" s="24"/>
      <c r="H1754" s="25"/>
      <c r="I1754" s="24"/>
      <c r="J1754" s="25"/>
      <c r="K1754" s="25"/>
      <c r="L1754" s="24"/>
      <c r="M1754" s="24"/>
      <c r="N1754" s="24"/>
      <c r="O1754" s="24"/>
      <c r="P1754" s="24"/>
      <c r="Q1754" s="24"/>
      <c r="R1754" s="24"/>
      <c r="S1754" s="24"/>
      <c r="T1754" s="24"/>
      <c r="Z1754" s="25"/>
    </row>
    <row r="1755">
      <c r="A1755" s="16"/>
      <c r="B1755" s="17"/>
      <c r="C1755" s="24"/>
      <c r="D1755" s="25"/>
      <c r="E1755" s="24"/>
      <c r="F1755" s="25"/>
      <c r="G1755" s="24"/>
      <c r="H1755" s="25"/>
      <c r="I1755" s="24"/>
      <c r="J1755" s="25"/>
      <c r="K1755" s="25"/>
      <c r="L1755" s="24"/>
      <c r="M1755" s="24"/>
      <c r="N1755" s="24"/>
      <c r="O1755" s="24"/>
      <c r="P1755" s="24"/>
      <c r="Q1755" s="24"/>
      <c r="R1755" s="24"/>
      <c r="S1755" s="24"/>
      <c r="T1755" s="24"/>
      <c r="Z1755" s="25"/>
    </row>
    <row r="1756">
      <c r="A1756" s="16"/>
      <c r="B1756" s="17"/>
      <c r="C1756" s="24"/>
      <c r="D1756" s="25"/>
      <c r="E1756" s="24"/>
      <c r="F1756" s="25"/>
      <c r="G1756" s="24"/>
      <c r="H1756" s="25"/>
      <c r="I1756" s="24"/>
      <c r="J1756" s="25"/>
      <c r="K1756" s="25"/>
      <c r="L1756" s="24"/>
      <c r="M1756" s="24"/>
      <c r="N1756" s="24"/>
      <c r="O1756" s="24"/>
      <c r="P1756" s="24"/>
      <c r="Q1756" s="24"/>
      <c r="R1756" s="24"/>
      <c r="S1756" s="24"/>
      <c r="T1756" s="24"/>
      <c r="Z1756" s="25"/>
    </row>
    <row r="1757">
      <c r="A1757" s="16"/>
      <c r="B1757" s="17"/>
      <c r="C1757" s="24"/>
      <c r="D1757" s="25"/>
      <c r="E1757" s="24"/>
      <c r="F1757" s="25"/>
      <c r="G1757" s="24"/>
      <c r="H1757" s="25"/>
      <c r="I1757" s="24"/>
      <c r="J1757" s="25"/>
      <c r="K1757" s="25"/>
      <c r="L1757" s="24"/>
      <c r="M1757" s="24"/>
      <c r="N1757" s="24"/>
      <c r="O1757" s="24"/>
      <c r="P1757" s="24"/>
      <c r="Q1757" s="24"/>
      <c r="R1757" s="24"/>
      <c r="S1757" s="24"/>
      <c r="T1757" s="24"/>
      <c r="Z1757" s="25"/>
    </row>
    <row r="1758">
      <c r="A1758" s="16"/>
      <c r="B1758" s="17"/>
      <c r="C1758" s="24"/>
      <c r="D1758" s="25"/>
      <c r="E1758" s="24"/>
      <c r="F1758" s="25"/>
      <c r="G1758" s="24"/>
      <c r="H1758" s="25"/>
      <c r="I1758" s="24"/>
      <c r="J1758" s="25"/>
      <c r="K1758" s="25"/>
      <c r="L1758" s="24"/>
      <c r="M1758" s="24"/>
      <c r="N1758" s="24"/>
      <c r="O1758" s="24"/>
      <c r="P1758" s="24"/>
      <c r="Q1758" s="24"/>
      <c r="R1758" s="24"/>
      <c r="S1758" s="24"/>
      <c r="T1758" s="24"/>
      <c r="Z1758" s="25"/>
    </row>
    <row r="1759">
      <c r="A1759" s="16"/>
      <c r="B1759" s="17"/>
      <c r="C1759" s="24"/>
      <c r="D1759" s="25"/>
      <c r="E1759" s="24"/>
      <c r="F1759" s="25"/>
      <c r="G1759" s="24"/>
      <c r="H1759" s="25"/>
      <c r="I1759" s="24"/>
      <c r="J1759" s="25"/>
      <c r="K1759" s="25"/>
      <c r="L1759" s="24"/>
      <c r="M1759" s="24"/>
      <c r="N1759" s="24"/>
      <c r="O1759" s="24"/>
      <c r="P1759" s="24"/>
      <c r="Q1759" s="24"/>
      <c r="R1759" s="24"/>
      <c r="S1759" s="24"/>
      <c r="T1759" s="24"/>
      <c r="Z1759" s="25"/>
    </row>
    <row r="1760">
      <c r="A1760" s="16"/>
      <c r="B1760" s="17"/>
      <c r="C1760" s="24"/>
      <c r="D1760" s="25"/>
      <c r="E1760" s="24"/>
      <c r="F1760" s="25"/>
      <c r="G1760" s="24"/>
      <c r="H1760" s="25"/>
      <c r="I1760" s="24"/>
      <c r="J1760" s="25"/>
      <c r="K1760" s="25"/>
      <c r="L1760" s="24"/>
      <c r="M1760" s="24"/>
      <c r="N1760" s="24"/>
      <c r="O1760" s="24"/>
      <c r="P1760" s="24"/>
      <c r="Q1760" s="24"/>
      <c r="R1760" s="24"/>
      <c r="S1760" s="24"/>
      <c r="T1760" s="24"/>
      <c r="Z1760" s="25"/>
    </row>
    <row r="1761">
      <c r="A1761" s="16"/>
      <c r="B1761" s="17"/>
      <c r="C1761" s="24"/>
      <c r="D1761" s="25"/>
      <c r="E1761" s="24"/>
      <c r="F1761" s="25"/>
      <c r="G1761" s="24"/>
      <c r="H1761" s="25"/>
      <c r="I1761" s="24"/>
      <c r="J1761" s="25"/>
      <c r="K1761" s="25"/>
      <c r="L1761" s="24"/>
      <c r="M1761" s="24"/>
      <c r="N1761" s="24"/>
      <c r="O1761" s="24"/>
      <c r="P1761" s="24"/>
      <c r="Q1761" s="24"/>
      <c r="R1761" s="24"/>
      <c r="S1761" s="24"/>
      <c r="T1761" s="24"/>
      <c r="Z1761" s="25"/>
    </row>
    <row r="1762">
      <c r="A1762" s="16"/>
      <c r="B1762" s="17"/>
      <c r="C1762" s="24"/>
      <c r="D1762" s="25"/>
      <c r="E1762" s="24"/>
      <c r="F1762" s="25"/>
      <c r="G1762" s="24"/>
      <c r="H1762" s="25"/>
      <c r="I1762" s="24"/>
      <c r="J1762" s="25"/>
      <c r="K1762" s="25"/>
      <c r="L1762" s="24"/>
      <c r="M1762" s="24"/>
      <c r="N1762" s="24"/>
      <c r="O1762" s="24"/>
      <c r="P1762" s="24"/>
      <c r="Q1762" s="24"/>
      <c r="R1762" s="24"/>
      <c r="S1762" s="24"/>
      <c r="T1762" s="24"/>
      <c r="Z1762" s="25"/>
    </row>
    <row r="1763">
      <c r="A1763" s="16"/>
      <c r="B1763" s="17"/>
      <c r="C1763" s="24"/>
      <c r="D1763" s="25"/>
      <c r="E1763" s="24"/>
      <c r="F1763" s="25"/>
      <c r="G1763" s="24"/>
      <c r="H1763" s="25"/>
      <c r="I1763" s="24"/>
      <c r="J1763" s="25"/>
      <c r="K1763" s="25"/>
      <c r="L1763" s="24"/>
      <c r="M1763" s="24"/>
      <c r="N1763" s="24"/>
      <c r="O1763" s="24"/>
      <c r="P1763" s="24"/>
      <c r="Q1763" s="24"/>
      <c r="R1763" s="24"/>
      <c r="S1763" s="24"/>
      <c r="T1763" s="24"/>
      <c r="Z1763" s="25"/>
    </row>
    <row r="1764">
      <c r="A1764" s="16"/>
      <c r="B1764" s="17"/>
      <c r="C1764" s="24"/>
      <c r="D1764" s="25"/>
      <c r="E1764" s="24"/>
      <c r="F1764" s="25"/>
      <c r="G1764" s="24"/>
      <c r="H1764" s="25"/>
      <c r="I1764" s="24"/>
      <c r="J1764" s="25"/>
      <c r="K1764" s="25"/>
      <c r="L1764" s="24"/>
      <c r="M1764" s="24"/>
      <c r="N1764" s="24"/>
      <c r="O1764" s="24"/>
      <c r="P1764" s="24"/>
      <c r="Q1764" s="24"/>
      <c r="R1764" s="24"/>
      <c r="S1764" s="24"/>
      <c r="T1764" s="24"/>
      <c r="Z1764" s="25"/>
    </row>
    <row r="1765">
      <c r="A1765" s="16"/>
      <c r="B1765" s="17"/>
      <c r="C1765" s="24"/>
      <c r="D1765" s="25"/>
      <c r="E1765" s="24"/>
      <c r="F1765" s="25"/>
      <c r="G1765" s="24"/>
      <c r="H1765" s="25"/>
      <c r="I1765" s="24"/>
      <c r="J1765" s="25"/>
      <c r="K1765" s="25"/>
      <c r="L1765" s="24"/>
      <c r="M1765" s="24"/>
      <c r="N1765" s="24"/>
      <c r="O1765" s="24"/>
      <c r="P1765" s="24"/>
      <c r="Q1765" s="24"/>
      <c r="R1765" s="24"/>
      <c r="S1765" s="24"/>
      <c r="T1765" s="24"/>
      <c r="Z1765" s="25"/>
    </row>
    <row r="1766">
      <c r="A1766" s="16"/>
      <c r="B1766" s="17"/>
      <c r="C1766" s="24"/>
      <c r="D1766" s="25"/>
      <c r="E1766" s="24"/>
      <c r="F1766" s="25"/>
      <c r="G1766" s="24"/>
      <c r="H1766" s="25"/>
      <c r="I1766" s="24"/>
      <c r="J1766" s="25"/>
      <c r="K1766" s="25"/>
      <c r="L1766" s="24"/>
      <c r="M1766" s="24"/>
      <c r="N1766" s="24"/>
      <c r="O1766" s="24"/>
      <c r="P1766" s="24"/>
      <c r="Q1766" s="24"/>
      <c r="R1766" s="24"/>
      <c r="S1766" s="24"/>
      <c r="T1766" s="24"/>
      <c r="Z1766" s="25"/>
    </row>
    <row r="1767">
      <c r="A1767" s="16"/>
      <c r="B1767" s="17"/>
      <c r="C1767" s="24"/>
      <c r="D1767" s="25"/>
      <c r="E1767" s="24"/>
      <c r="F1767" s="25"/>
      <c r="G1767" s="24"/>
      <c r="H1767" s="25"/>
      <c r="I1767" s="24"/>
      <c r="J1767" s="25"/>
      <c r="K1767" s="25"/>
      <c r="L1767" s="24"/>
      <c r="M1767" s="24"/>
      <c r="N1767" s="24"/>
      <c r="O1767" s="24"/>
      <c r="P1767" s="24"/>
      <c r="Q1767" s="24"/>
      <c r="R1767" s="24"/>
      <c r="S1767" s="24"/>
      <c r="T1767" s="24"/>
      <c r="Z1767" s="25"/>
    </row>
    <row r="1768">
      <c r="A1768" s="16"/>
      <c r="B1768" s="17"/>
      <c r="C1768" s="24"/>
      <c r="D1768" s="25"/>
      <c r="E1768" s="24"/>
      <c r="F1768" s="25"/>
      <c r="G1768" s="24"/>
      <c r="H1768" s="25"/>
      <c r="I1768" s="24"/>
      <c r="J1768" s="25"/>
      <c r="K1768" s="25"/>
      <c r="L1768" s="24"/>
      <c r="M1768" s="24"/>
      <c r="N1768" s="24"/>
      <c r="O1768" s="24"/>
      <c r="P1768" s="24"/>
      <c r="Q1768" s="24"/>
      <c r="R1768" s="24"/>
      <c r="S1768" s="24"/>
      <c r="T1768" s="24"/>
      <c r="Z1768" s="25"/>
    </row>
    <row r="1769">
      <c r="A1769" s="16"/>
      <c r="B1769" s="17"/>
      <c r="C1769" s="24"/>
      <c r="D1769" s="25"/>
      <c r="E1769" s="24"/>
      <c r="F1769" s="25"/>
      <c r="G1769" s="24"/>
      <c r="H1769" s="25"/>
      <c r="I1769" s="24"/>
      <c r="J1769" s="25"/>
      <c r="K1769" s="25"/>
      <c r="L1769" s="24"/>
      <c r="M1769" s="24"/>
      <c r="N1769" s="24"/>
      <c r="O1769" s="24"/>
      <c r="P1769" s="24"/>
      <c r="Q1769" s="24"/>
      <c r="R1769" s="24"/>
      <c r="S1769" s="24"/>
      <c r="T1769" s="24"/>
      <c r="Z1769" s="25"/>
    </row>
    <row r="1770">
      <c r="A1770" s="16"/>
      <c r="B1770" s="17"/>
      <c r="C1770" s="24"/>
      <c r="D1770" s="25"/>
      <c r="E1770" s="24"/>
      <c r="F1770" s="25"/>
      <c r="G1770" s="24"/>
      <c r="H1770" s="25"/>
      <c r="I1770" s="24"/>
      <c r="J1770" s="25"/>
      <c r="K1770" s="25"/>
      <c r="L1770" s="24"/>
      <c r="M1770" s="24"/>
      <c r="N1770" s="24"/>
      <c r="O1770" s="24"/>
      <c r="P1770" s="24"/>
      <c r="Q1770" s="24"/>
      <c r="R1770" s="24"/>
      <c r="S1770" s="24"/>
      <c r="T1770" s="24"/>
      <c r="Z1770" s="25"/>
    </row>
    <row r="1771">
      <c r="A1771" s="16"/>
      <c r="B1771" s="17"/>
      <c r="C1771" s="24"/>
      <c r="D1771" s="25"/>
      <c r="E1771" s="24"/>
      <c r="F1771" s="25"/>
      <c r="G1771" s="24"/>
      <c r="H1771" s="25"/>
      <c r="I1771" s="24"/>
      <c r="J1771" s="25"/>
      <c r="K1771" s="25"/>
      <c r="L1771" s="24"/>
      <c r="M1771" s="24"/>
      <c r="N1771" s="24"/>
      <c r="O1771" s="24"/>
      <c r="P1771" s="24"/>
      <c r="Q1771" s="24"/>
      <c r="R1771" s="24"/>
      <c r="S1771" s="24"/>
      <c r="T1771" s="24"/>
      <c r="Z1771" s="25"/>
    </row>
    <row r="1772">
      <c r="A1772" s="16"/>
      <c r="B1772" s="17"/>
      <c r="C1772" s="24"/>
      <c r="D1772" s="25"/>
      <c r="E1772" s="24"/>
      <c r="F1772" s="25"/>
      <c r="G1772" s="24"/>
      <c r="H1772" s="25"/>
      <c r="I1772" s="24"/>
      <c r="J1772" s="25"/>
      <c r="K1772" s="25"/>
      <c r="L1772" s="24"/>
      <c r="M1772" s="24"/>
      <c r="N1772" s="24"/>
      <c r="O1772" s="24"/>
      <c r="P1772" s="24"/>
      <c r="Q1772" s="24"/>
      <c r="R1772" s="24"/>
      <c r="S1772" s="24"/>
      <c r="T1772" s="24"/>
      <c r="Z1772" s="25"/>
    </row>
    <row r="1773">
      <c r="A1773" s="16"/>
      <c r="B1773" s="17"/>
      <c r="C1773" s="24"/>
      <c r="D1773" s="25"/>
      <c r="E1773" s="24"/>
      <c r="F1773" s="25"/>
      <c r="G1773" s="24"/>
      <c r="H1773" s="25"/>
      <c r="I1773" s="24"/>
      <c r="J1773" s="25"/>
      <c r="K1773" s="25"/>
      <c r="L1773" s="24"/>
      <c r="M1773" s="24"/>
      <c r="N1773" s="24"/>
      <c r="O1773" s="24"/>
      <c r="P1773" s="24"/>
      <c r="Q1773" s="24"/>
      <c r="R1773" s="24"/>
      <c r="S1773" s="24"/>
      <c r="T1773" s="24"/>
      <c r="Z1773" s="25"/>
    </row>
    <row r="1774">
      <c r="A1774" s="16"/>
      <c r="B1774" s="17"/>
      <c r="C1774" s="24"/>
      <c r="D1774" s="25"/>
      <c r="E1774" s="24"/>
      <c r="F1774" s="25"/>
      <c r="G1774" s="24"/>
      <c r="H1774" s="25"/>
      <c r="I1774" s="24"/>
      <c r="J1774" s="25"/>
      <c r="K1774" s="25"/>
      <c r="L1774" s="24"/>
      <c r="M1774" s="24"/>
      <c r="N1774" s="24"/>
      <c r="O1774" s="24"/>
      <c r="P1774" s="24"/>
      <c r="Q1774" s="24"/>
      <c r="R1774" s="24"/>
      <c r="S1774" s="24"/>
      <c r="T1774" s="24"/>
      <c r="Z1774" s="25"/>
    </row>
    <row r="1775">
      <c r="A1775" s="16"/>
      <c r="B1775" s="17"/>
      <c r="C1775" s="24"/>
      <c r="D1775" s="25"/>
      <c r="E1775" s="24"/>
      <c r="F1775" s="25"/>
      <c r="G1775" s="24"/>
      <c r="H1775" s="25"/>
      <c r="I1775" s="24"/>
      <c r="J1775" s="25"/>
      <c r="K1775" s="25"/>
      <c r="L1775" s="24"/>
      <c r="M1775" s="24"/>
      <c r="N1775" s="24"/>
      <c r="O1775" s="24"/>
      <c r="P1775" s="24"/>
      <c r="Q1775" s="24"/>
      <c r="R1775" s="24"/>
      <c r="S1775" s="24"/>
      <c r="T1775" s="24"/>
      <c r="Z1775" s="25"/>
    </row>
    <row r="1776">
      <c r="A1776" s="16"/>
      <c r="B1776" s="17"/>
      <c r="C1776" s="24"/>
      <c r="D1776" s="25"/>
      <c r="E1776" s="24"/>
      <c r="F1776" s="25"/>
      <c r="G1776" s="24"/>
      <c r="H1776" s="25"/>
      <c r="I1776" s="24"/>
      <c r="J1776" s="25"/>
      <c r="K1776" s="25"/>
      <c r="L1776" s="24"/>
      <c r="M1776" s="24"/>
      <c r="N1776" s="24"/>
      <c r="O1776" s="24"/>
      <c r="P1776" s="24"/>
      <c r="Q1776" s="24"/>
      <c r="R1776" s="24"/>
      <c r="S1776" s="24"/>
      <c r="T1776" s="24"/>
      <c r="Z1776" s="25"/>
    </row>
    <row r="1777">
      <c r="A1777" s="16"/>
      <c r="B1777" s="17"/>
      <c r="C1777" s="24"/>
      <c r="D1777" s="25"/>
      <c r="E1777" s="24"/>
      <c r="F1777" s="25"/>
      <c r="G1777" s="24"/>
      <c r="H1777" s="25"/>
      <c r="I1777" s="24"/>
      <c r="J1777" s="25"/>
      <c r="K1777" s="25"/>
      <c r="L1777" s="24"/>
      <c r="M1777" s="24"/>
      <c r="N1777" s="24"/>
      <c r="O1777" s="24"/>
      <c r="P1777" s="24"/>
      <c r="Q1777" s="24"/>
      <c r="R1777" s="24"/>
      <c r="S1777" s="24"/>
      <c r="T1777" s="24"/>
      <c r="Z1777" s="25"/>
    </row>
    <row r="1778">
      <c r="A1778" s="16"/>
      <c r="B1778" s="17"/>
      <c r="C1778" s="24"/>
      <c r="D1778" s="25"/>
      <c r="E1778" s="24"/>
      <c r="F1778" s="25"/>
      <c r="G1778" s="24"/>
      <c r="H1778" s="25"/>
      <c r="I1778" s="24"/>
      <c r="J1778" s="25"/>
      <c r="K1778" s="25"/>
      <c r="L1778" s="24"/>
      <c r="M1778" s="24"/>
      <c r="N1778" s="24"/>
      <c r="O1778" s="24"/>
      <c r="P1778" s="24"/>
      <c r="Q1778" s="24"/>
      <c r="R1778" s="24"/>
      <c r="S1778" s="24"/>
      <c r="T1778" s="24"/>
      <c r="Z1778" s="25"/>
    </row>
    <row r="1779">
      <c r="A1779" s="16"/>
      <c r="B1779" s="17"/>
      <c r="C1779" s="24"/>
      <c r="D1779" s="25"/>
      <c r="E1779" s="24"/>
      <c r="F1779" s="25"/>
      <c r="G1779" s="24"/>
      <c r="H1779" s="25"/>
      <c r="I1779" s="24"/>
      <c r="J1779" s="25"/>
      <c r="K1779" s="25"/>
      <c r="L1779" s="24"/>
      <c r="M1779" s="24"/>
      <c r="N1779" s="24"/>
      <c r="O1779" s="24"/>
      <c r="P1779" s="24"/>
      <c r="Q1779" s="24"/>
      <c r="R1779" s="24"/>
      <c r="S1779" s="24"/>
      <c r="T1779" s="24"/>
      <c r="Z1779" s="25"/>
    </row>
    <row r="1780">
      <c r="A1780" s="16"/>
      <c r="B1780" s="17"/>
      <c r="C1780" s="24"/>
      <c r="D1780" s="25"/>
      <c r="E1780" s="24"/>
      <c r="F1780" s="25"/>
      <c r="G1780" s="24"/>
      <c r="H1780" s="25"/>
      <c r="I1780" s="24"/>
      <c r="J1780" s="25"/>
      <c r="K1780" s="25"/>
      <c r="L1780" s="24"/>
      <c r="M1780" s="24"/>
      <c r="N1780" s="24"/>
      <c r="O1780" s="24"/>
      <c r="P1780" s="24"/>
      <c r="Q1780" s="24"/>
      <c r="R1780" s="24"/>
      <c r="S1780" s="24"/>
      <c r="T1780" s="24"/>
      <c r="Z1780" s="25"/>
    </row>
    <row r="1781">
      <c r="A1781" s="16"/>
      <c r="B1781" s="17"/>
      <c r="C1781" s="24"/>
      <c r="D1781" s="25"/>
      <c r="E1781" s="24"/>
      <c r="F1781" s="25"/>
      <c r="G1781" s="24"/>
      <c r="H1781" s="25"/>
      <c r="I1781" s="24"/>
      <c r="J1781" s="25"/>
      <c r="K1781" s="25"/>
      <c r="L1781" s="24"/>
      <c r="M1781" s="24"/>
      <c r="N1781" s="24"/>
      <c r="O1781" s="24"/>
      <c r="P1781" s="24"/>
      <c r="Q1781" s="24"/>
      <c r="R1781" s="24"/>
      <c r="S1781" s="24"/>
      <c r="T1781" s="24"/>
      <c r="Z1781" s="25"/>
    </row>
    <row r="1782">
      <c r="A1782" s="16"/>
      <c r="B1782" s="17"/>
      <c r="C1782" s="24"/>
      <c r="D1782" s="25"/>
      <c r="E1782" s="24"/>
      <c r="F1782" s="25"/>
      <c r="G1782" s="24"/>
      <c r="H1782" s="25"/>
      <c r="I1782" s="24"/>
      <c r="J1782" s="25"/>
      <c r="K1782" s="25"/>
      <c r="L1782" s="24"/>
      <c r="M1782" s="24"/>
      <c r="N1782" s="24"/>
      <c r="O1782" s="24"/>
      <c r="P1782" s="24"/>
      <c r="Q1782" s="24"/>
      <c r="R1782" s="24"/>
      <c r="S1782" s="24"/>
      <c r="T1782" s="24"/>
      <c r="Z1782" s="25"/>
    </row>
    <row r="1783">
      <c r="A1783" s="16"/>
      <c r="B1783" s="17"/>
      <c r="C1783" s="24"/>
      <c r="D1783" s="25"/>
      <c r="E1783" s="24"/>
      <c r="F1783" s="25"/>
      <c r="G1783" s="24"/>
      <c r="H1783" s="25"/>
      <c r="I1783" s="24"/>
      <c r="J1783" s="25"/>
      <c r="K1783" s="25"/>
      <c r="L1783" s="24"/>
      <c r="M1783" s="24"/>
      <c r="N1783" s="24"/>
      <c r="O1783" s="24"/>
      <c r="P1783" s="24"/>
      <c r="Q1783" s="24"/>
      <c r="R1783" s="24"/>
      <c r="S1783" s="24"/>
      <c r="T1783" s="24"/>
      <c r="Z1783" s="25"/>
    </row>
    <row r="1784">
      <c r="A1784" s="16"/>
      <c r="B1784" s="17"/>
      <c r="C1784" s="24"/>
      <c r="D1784" s="25"/>
      <c r="E1784" s="24"/>
      <c r="F1784" s="25"/>
      <c r="G1784" s="24"/>
      <c r="H1784" s="25"/>
      <c r="I1784" s="24"/>
      <c r="J1784" s="25"/>
      <c r="K1784" s="25"/>
      <c r="L1784" s="24"/>
      <c r="M1784" s="24"/>
      <c r="N1784" s="24"/>
      <c r="O1784" s="24"/>
      <c r="P1784" s="24"/>
      <c r="Q1784" s="24"/>
      <c r="R1784" s="24"/>
      <c r="S1784" s="24"/>
      <c r="T1784" s="24"/>
      <c r="Z1784" s="25"/>
    </row>
    <row r="1785">
      <c r="A1785" s="16"/>
      <c r="B1785" s="17"/>
      <c r="C1785" s="24"/>
      <c r="D1785" s="25"/>
      <c r="E1785" s="24"/>
      <c r="F1785" s="25"/>
      <c r="G1785" s="24"/>
      <c r="H1785" s="25"/>
      <c r="I1785" s="24"/>
      <c r="J1785" s="25"/>
      <c r="K1785" s="25"/>
      <c r="L1785" s="24"/>
      <c r="M1785" s="24"/>
      <c r="N1785" s="24"/>
      <c r="O1785" s="24"/>
      <c r="P1785" s="24"/>
      <c r="Q1785" s="24"/>
      <c r="R1785" s="24"/>
      <c r="S1785" s="24"/>
      <c r="T1785" s="24"/>
      <c r="Z1785" s="25"/>
    </row>
    <row r="1786">
      <c r="A1786" s="16"/>
      <c r="B1786" s="17"/>
      <c r="C1786" s="24"/>
      <c r="D1786" s="25"/>
      <c r="E1786" s="24"/>
      <c r="F1786" s="25"/>
      <c r="G1786" s="24"/>
      <c r="H1786" s="25"/>
      <c r="I1786" s="24"/>
      <c r="J1786" s="25"/>
      <c r="K1786" s="25"/>
      <c r="L1786" s="24"/>
      <c r="M1786" s="24"/>
      <c r="N1786" s="24"/>
      <c r="O1786" s="24"/>
      <c r="P1786" s="24"/>
      <c r="Q1786" s="24"/>
      <c r="R1786" s="24"/>
      <c r="S1786" s="24"/>
      <c r="T1786" s="24"/>
      <c r="Z1786" s="25"/>
    </row>
    <row r="1787">
      <c r="A1787" s="16"/>
      <c r="B1787" s="17"/>
      <c r="C1787" s="24"/>
      <c r="D1787" s="25"/>
      <c r="E1787" s="24"/>
      <c r="F1787" s="25"/>
      <c r="G1787" s="24"/>
      <c r="H1787" s="25"/>
      <c r="I1787" s="24"/>
      <c r="J1787" s="25"/>
      <c r="K1787" s="25"/>
      <c r="L1787" s="24"/>
      <c r="M1787" s="24"/>
      <c r="N1787" s="24"/>
      <c r="O1787" s="24"/>
      <c r="P1787" s="24"/>
      <c r="Q1787" s="24"/>
      <c r="R1787" s="24"/>
      <c r="S1787" s="24"/>
      <c r="T1787" s="24"/>
      <c r="Z1787" s="25"/>
    </row>
    <row r="1788">
      <c r="A1788" s="16"/>
      <c r="B1788" s="17"/>
      <c r="C1788" s="24"/>
      <c r="D1788" s="25"/>
      <c r="E1788" s="24"/>
      <c r="F1788" s="25"/>
      <c r="G1788" s="24"/>
      <c r="H1788" s="25"/>
      <c r="I1788" s="24"/>
      <c r="J1788" s="25"/>
      <c r="K1788" s="25"/>
      <c r="L1788" s="24"/>
      <c r="M1788" s="24"/>
      <c r="N1788" s="24"/>
      <c r="O1788" s="24"/>
      <c r="P1788" s="24"/>
      <c r="Q1788" s="24"/>
      <c r="R1788" s="24"/>
      <c r="S1788" s="24"/>
      <c r="T1788" s="24"/>
      <c r="Z1788" s="25"/>
    </row>
    <row r="1789">
      <c r="A1789" s="16"/>
      <c r="B1789" s="17"/>
      <c r="C1789" s="24"/>
      <c r="D1789" s="25"/>
      <c r="E1789" s="24"/>
      <c r="F1789" s="25"/>
      <c r="G1789" s="24"/>
      <c r="H1789" s="25"/>
      <c r="I1789" s="24"/>
      <c r="J1789" s="25"/>
      <c r="K1789" s="25"/>
      <c r="L1789" s="24"/>
      <c r="M1789" s="24"/>
      <c r="N1789" s="24"/>
      <c r="O1789" s="24"/>
      <c r="P1789" s="24"/>
      <c r="Q1789" s="24"/>
      <c r="R1789" s="24"/>
      <c r="S1789" s="24"/>
      <c r="T1789" s="24"/>
      <c r="Z1789" s="25"/>
    </row>
    <row r="1790">
      <c r="A1790" s="16"/>
      <c r="B1790" s="17"/>
      <c r="C1790" s="24"/>
      <c r="D1790" s="25"/>
      <c r="E1790" s="24"/>
      <c r="F1790" s="25"/>
      <c r="G1790" s="24"/>
      <c r="H1790" s="25"/>
      <c r="I1790" s="24"/>
      <c r="J1790" s="25"/>
      <c r="K1790" s="25"/>
      <c r="L1790" s="24"/>
      <c r="M1790" s="24"/>
      <c r="N1790" s="24"/>
      <c r="O1790" s="24"/>
      <c r="P1790" s="24"/>
      <c r="Q1790" s="24"/>
      <c r="R1790" s="24"/>
      <c r="S1790" s="24"/>
      <c r="T1790" s="24"/>
      <c r="Z1790" s="25"/>
    </row>
    <row r="1791">
      <c r="A1791" s="16"/>
      <c r="B1791" s="17"/>
      <c r="C1791" s="24"/>
      <c r="D1791" s="25"/>
      <c r="E1791" s="24"/>
      <c r="F1791" s="25"/>
      <c r="G1791" s="24"/>
      <c r="H1791" s="25"/>
      <c r="I1791" s="24"/>
      <c r="J1791" s="25"/>
      <c r="K1791" s="25"/>
      <c r="L1791" s="24"/>
      <c r="M1791" s="24"/>
      <c r="N1791" s="24"/>
      <c r="O1791" s="24"/>
      <c r="P1791" s="24"/>
      <c r="Q1791" s="24"/>
      <c r="R1791" s="24"/>
      <c r="S1791" s="24"/>
      <c r="T1791" s="24"/>
      <c r="Z1791" s="25"/>
    </row>
    <row r="1792">
      <c r="A1792" s="16"/>
      <c r="B1792" s="17"/>
      <c r="C1792" s="24"/>
      <c r="D1792" s="25"/>
      <c r="E1792" s="24"/>
      <c r="F1792" s="25"/>
      <c r="G1792" s="24"/>
      <c r="H1792" s="25"/>
      <c r="I1792" s="24"/>
      <c r="J1792" s="25"/>
      <c r="K1792" s="25"/>
      <c r="L1792" s="24"/>
      <c r="M1792" s="24"/>
      <c r="N1792" s="24"/>
      <c r="O1792" s="24"/>
      <c r="P1792" s="24"/>
      <c r="Q1792" s="24"/>
      <c r="R1792" s="24"/>
      <c r="S1792" s="24"/>
      <c r="T1792" s="24"/>
      <c r="Z1792" s="25"/>
    </row>
    <row r="1793">
      <c r="A1793" s="16"/>
      <c r="B1793" s="17"/>
      <c r="C1793" s="24"/>
      <c r="D1793" s="25"/>
      <c r="E1793" s="24"/>
      <c r="F1793" s="25"/>
      <c r="G1793" s="24"/>
      <c r="H1793" s="25"/>
      <c r="I1793" s="24"/>
      <c r="J1793" s="25"/>
      <c r="K1793" s="25"/>
      <c r="L1793" s="24"/>
      <c r="M1793" s="24"/>
      <c r="N1793" s="24"/>
      <c r="O1793" s="24"/>
      <c r="P1793" s="24"/>
      <c r="Q1793" s="24"/>
      <c r="R1793" s="24"/>
      <c r="S1793" s="24"/>
      <c r="T1793" s="24"/>
      <c r="Z1793" s="25"/>
    </row>
    <row r="1794">
      <c r="A1794" s="16"/>
      <c r="B1794" s="17"/>
      <c r="C1794" s="24"/>
      <c r="D1794" s="25"/>
      <c r="E1794" s="24"/>
      <c r="F1794" s="25"/>
      <c r="G1794" s="24"/>
      <c r="H1794" s="25"/>
      <c r="I1794" s="24"/>
      <c r="J1794" s="25"/>
      <c r="K1794" s="25"/>
      <c r="L1794" s="24"/>
      <c r="M1794" s="24"/>
      <c r="N1794" s="24"/>
      <c r="O1794" s="24"/>
      <c r="P1794" s="24"/>
      <c r="Q1794" s="24"/>
      <c r="R1794" s="24"/>
      <c r="S1794" s="24"/>
      <c r="T1794" s="24"/>
      <c r="Z1794" s="25"/>
    </row>
    <row r="1795">
      <c r="A1795" s="16"/>
      <c r="B1795" s="17"/>
      <c r="C1795" s="24"/>
      <c r="D1795" s="25"/>
      <c r="E1795" s="24"/>
      <c r="F1795" s="25"/>
      <c r="G1795" s="24"/>
      <c r="H1795" s="25"/>
      <c r="I1795" s="24"/>
      <c r="J1795" s="25"/>
      <c r="K1795" s="25"/>
      <c r="L1795" s="24"/>
      <c r="M1795" s="24"/>
      <c r="N1795" s="24"/>
      <c r="O1795" s="24"/>
      <c r="P1795" s="24"/>
      <c r="Q1795" s="24"/>
      <c r="R1795" s="24"/>
      <c r="S1795" s="24"/>
      <c r="T1795" s="24"/>
      <c r="Z1795" s="25"/>
    </row>
    <row r="1796">
      <c r="A1796" s="16"/>
      <c r="B1796" s="17"/>
      <c r="C1796" s="24"/>
      <c r="D1796" s="25"/>
      <c r="E1796" s="24"/>
      <c r="F1796" s="25"/>
      <c r="G1796" s="24"/>
      <c r="H1796" s="25"/>
      <c r="I1796" s="24"/>
      <c r="J1796" s="25"/>
      <c r="K1796" s="25"/>
      <c r="L1796" s="24"/>
      <c r="M1796" s="24"/>
      <c r="N1796" s="24"/>
      <c r="O1796" s="24"/>
      <c r="P1796" s="24"/>
      <c r="Q1796" s="24"/>
      <c r="R1796" s="24"/>
      <c r="S1796" s="24"/>
      <c r="T1796" s="24"/>
      <c r="Z1796" s="25"/>
    </row>
    <row r="1797">
      <c r="A1797" s="16"/>
      <c r="B1797" s="17"/>
      <c r="C1797" s="24"/>
      <c r="D1797" s="25"/>
      <c r="E1797" s="24"/>
      <c r="F1797" s="25"/>
      <c r="G1797" s="24"/>
      <c r="H1797" s="25"/>
      <c r="I1797" s="24"/>
      <c r="J1797" s="25"/>
      <c r="K1797" s="25"/>
      <c r="L1797" s="24"/>
      <c r="M1797" s="24"/>
      <c r="N1797" s="24"/>
      <c r="O1797" s="24"/>
      <c r="P1797" s="24"/>
      <c r="Q1797" s="24"/>
      <c r="R1797" s="24"/>
      <c r="S1797" s="24"/>
      <c r="T1797" s="24"/>
      <c r="Z1797" s="25"/>
    </row>
    <row r="1798">
      <c r="A1798" s="16"/>
      <c r="B1798" s="17"/>
      <c r="C1798" s="24"/>
      <c r="D1798" s="25"/>
      <c r="E1798" s="24"/>
      <c r="F1798" s="25"/>
      <c r="G1798" s="24"/>
      <c r="H1798" s="25"/>
      <c r="I1798" s="24"/>
      <c r="J1798" s="25"/>
      <c r="K1798" s="25"/>
      <c r="L1798" s="24"/>
      <c r="M1798" s="24"/>
      <c r="N1798" s="24"/>
      <c r="O1798" s="24"/>
      <c r="P1798" s="24"/>
      <c r="Q1798" s="24"/>
      <c r="R1798" s="24"/>
      <c r="S1798" s="24"/>
      <c r="T1798" s="24"/>
      <c r="Z1798" s="25"/>
    </row>
    <row r="1799">
      <c r="A1799" s="16"/>
      <c r="B1799" s="17"/>
      <c r="C1799" s="24"/>
      <c r="D1799" s="25"/>
      <c r="E1799" s="24"/>
      <c r="F1799" s="25"/>
      <c r="G1799" s="24"/>
      <c r="H1799" s="25"/>
      <c r="I1799" s="24"/>
      <c r="J1799" s="25"/>
      <c r="K1799" s="25"/>
      <c r="L1799" s="24"/>
      <c r="M1799" s="24"/>
      <c r="N1799" s="24"/>
      <c r="O1799" s="24"/>
      <c r="P1799" s="24"/>
      <c r="Q1799" s="24"/>
      <c r="R1799" s="24"/>
      <c r="S1799" s="24"/>
      <c r="T1799" s="24"/>
      <c r="Z1799" s="25"/>
    </row>
    <row r="1800">
      <c r="A1800" s="16"/>
      <c r="B1800" s="17"/>
      <c r="C1800" s="24"/>
      <c r="D1800" s="25"/>
      <c r="E1800" s="24"/>
      <c r="F1800" s="25"/>
      <c r="G1800" s="24"/>
      <c r="H1800" s="25"/>
      <c r="I1800" s="24"/>
      <c r="J1800" s="25"/>
      <c r="K1800" s="25"/>
      <c r="L1800" s="24"/>
      <c r="M1800" s="24"/>
      <c r="N1800" s="24"/>
      <c r="O1800" s="24"/>
      <c r="P1800" s="24"/>
      <c r="Q1800" s="24"/>
      <c r="R1800" s="24"/>
      <c r="S1800" s="24"/>
      <c r="T1800" s="24"/>
      <c r="Z1800" s="25"/>
    </row>
    <row r="1801">
      <c r="A1801" s="16"/>
      <c r="B1801" s="17"/>
      <c r="C1801" s="24"/>
      <c r="D1801" s="25"/>
      <c r="E1801" s="24"/>
      <c r="F1801" s="25"/>
      <c r="G1801" s="24"/>
      <c r="H1801" s="25"/>
      <c r="I1801" s="24"/>
      <c r="J1801" s="25"/>
      <c r="K1801" s="25"/>
      <c r="L1801" s="24"/>
      <c r="M1801" s="24"/>
      <c r="N1801" s="24"/>
      <c r="O1801" s="24"/>
      <c r="P1801" s="24"/>
      <c r="Q1801" s="24"/>
      <c r="R1801" s="24"/>
      <c r="S1801" s="24"/>
      <c r="T1801" s="24"/>
      <c r="Z1801" s="25"/>
    </row>
    <row r="1802">
      <c r="A1802" s="16"/>
      <c r="B1802" s="17"/>
      <c r="C1802" s="24"/>
      <c r="D1802" s="25"/>
      <c r="E1802" s="24"/>
      <c r="F1802" s="25"/>
      <c r="G1802" s="24"/>
      <c r="H1802" s="25"/>
      <c r="I1802" s="24"/>
      <c r="J1802" s="25"/>
      <c r="K1802" s="25"/>
      <c r="L1802" s="24"/>
      <c r="M1802" s="24"/>
      <c r="N1802" s="24"/>
      <c r="O1802" s="24"/>
      <c r="P1802" s="24"/>
      <c r="Q1802" s="24"/>
      <c r="R1802" s="24"/>
      <c r="S1802" s="24"/>
      <c r="T1802" s="24"/>
      <c r="Z1802" s="25"/>
    </row>
    <row r="1803">
      <c r="A1803" s="16"/>
      <c r="B1803" s="17"/>
      <c r="C1803" s="24"/>
      <c r="D1803" s="25"/>
      <c r="E1803" s="24"/>
      <c r="F1803" s="25"/>
      <c r="G1803" s="24"/>
      <c r="H1803" s="25"/>
      <c r="I1803" s="24"/>
      <c r="J1803" s="25"/>
      <c r="K1803" s="25"/>
      <c r="L1803" s="24"/>
      <c r="M1803" s="24"/>
      <c r="N1803" s="24"/>
      <c r="O1803" s="24"/>
      <c r="P1803" s="24"/>
      <c r="Q1803" s="24"/>
      <c r="R1803" s="24"/>
      <c r="S1803" s="24"/>
      <c r="T1803" s="24"/>
      <c r="Z1803" s="25"/>
    </row>
    <row r="1804">
      <c r="A1804" s="16"/>
      <c r="B1804" s="17"/>
      <c r="C1804" s="24"/>
      <c r="D1804" s="25"/>
      <c r="E1804" s="24"/>
      <c r="F1804" s="25"/>
      <c r="G1804" s="24"/>
      <c r="H1804" s="25"/>
      <c r="I1804" s="24"/>
      <c r="J1804" s="25"/>
      <c r="K1804" s="25"/>
      <c r="L1804" s="24"/>
      <c r="M1804" s="24"/>
      <c r="N1804" s="24"/>
      <c r="O1804" s="24"/>
      <c r="P1804" s="24"/>
      <c r="Q1804" s="24"/>
      <c r="R1804" s="24"/>
      <c r="S1804" s="24"/>
      <c r="T1804" s="24"/>
      <c r="Z1804" s="25"/>
    </row>
    <row r="1805">
      <c r="A1805" s="16"/>
      <c r="B1805" s="17"/>
      <c r="C1805" s="24"/>
      <c r="D1805" s="25"/>
      <c r="E1805" s="24"/>
      <c r="F1805" s="25"/>
      <c r="G1805" s="24"/>
      <c r="H1805" s="25"/>
      <c r="I1805" s="24"/>
      <c r="J1805" s="25"/>
      <c r="K1805" s="25"/>
      <c r="L1805" s="24"/>
      <c r="M1805" s="24"/>
      <c r="N1805" s="24"/>
      <c r="O1805" s="24"/>
      <c r="P1805" s="24"/>
      <c r="Q1805" s="24"/>
      <c r="R1805" s="24"/>
      <c r="S1805" s="24"/>
      <c r="T1805" s="24"/>
      <c r="Z1805" s="25"/>
    </row>
    <row r="1806">
      <c r="A1806" s="16"/>
      <c r="B1806" s="17"/>
      <c r="C1806" s="24"/>
      <c r="D1806" s="25"/>
      <c r="E1806" s="24"/>
      <c r="F1806" s="25"/>
      <c r="G1806" s="24"/>
      <c r="H1806" s="25"/>
      <c r="I1806" s="24"/>
      <c r="J1806" s="25"/>
      <c r="K1806" s="25"/>
      <c r="L1806" s="24"/>
      <c r="M1806" s="24"/>
      <c r="N1806" s="24"/>
      <c r="O1806" s="24"/>
      <c r="P1806" s="24"/>
      <c r="Q1806" s="24"/>
      <c r="R1806" s="24"/>
      <c r="S1806" s="24"/>
      <c r="T1806" s="24"/>
      <c r="Z1806" s="25"/>
    </row>
    <row r="1807">
      <c r="A1807" s="16"/>
      <c r="B1807" s="17"/>
      <c r="C1807" s="24"/>
      <c r="D1807" s="25"/>
      <c r="E1807" s="24"/>
      <c r="F1807" s="25"/>
      <c r="G1807" s="24"/>
      <c r="H1807" s="25"/>
      <c r="I1807" s="24"/>
      <c r="J1807" s="25"/>
      <c r="K1807" s="25"/>
      <c r="L1807" s="24"/>
      <c r="M1807" s="24"/>
      <c r="N1807" s="24"/>
      <c r="O1807" s="24"/>
      <c r="P1807" s="24"/>
      <c r="Q1807" s="24"/>
      <c r="R1807" s="24"/>
      <c r="S1807" s="24"/>
      <c r="T1807" s="24"/>
      <c r="Z1807" s="25"/>
    </row>
    <row r="1808">
      <c r="A1808" s="16"/>
      <c r="B1808" s="17"/>
      <c r="C1808" s="24"/>
      <c r="D1808" s="25"/>
      <c r="E1808" s="24"/>
      <c r="F1808" s="25"/>
      <c r="G1808" s="24"/>
      <c r="H1808" s="25"/>
      <c r="I1808" s="24"/>
      <c r="J1808" s="25"/>
      <c r="K1808" s="25"/>
      <c r="L1808" s="24"/>
      <c r="M1808" s="24"/>
      <c r="N1808" s="24"/>
      <c r="O1808" s="24"/>
      <c r="P1808" s="24"/>
      <c r="Q1808" s="24"/>
      <c r="R1808" s="24"/>
      <c r="S1808" s="24"/>
      <c r="T1808" s="24"/>
      <c r="Z1808" s="25"/>
    </row>
    <row r="1809">
      <c r="A1809" s="16"/>
      <c r="B1809" s="17"/>
      <c r="C1809" s="24"/>
      <c r="D1809" s="25"/>
      <c r="E1809" s="24"/>
      <c r="F1809" s="25"/>
      <c r="G1809" s="24"/>
      <c r="H1809" s="25"/>
      <c r="I1809" s="24"/>
      <c r="J1809" s="25"/>
      <c r="K1809" s="25"/>
      <c r="L1809" s="24"/>
      <c r="M1809" s="24"/>
      <c r="N1809" s="24"/>
      <c r="O1809" s="24"/>
      <c r="P1809" s="24"/>
      <c r="Q1809" s="24"/>
      <c r="R1809" s="24"/>
      <c r="S1809" s="24"/>
      <c r="T1809" s="24"/>
      <c r="Z1809" s="25"/>
    </row>
    <row r="1810">
      <c r="A1810" s="16"/>
      <c r="B1810" s="17"/>
      <c r="C1810" s="24"/>
      <c r="D1810" s="25"/>
      <c r="E1810" s="24"/>
      <c r="F1810" s="25"/>
      <c r="G1810" s="24"/>
      <c r="H1810" s="25"/>
      <c r="I1810" s="24"/>
      <c r="J1810" s="25"/>
      <c r="K1810" s="25"/>
      <c r="L1810" s="24"/>
      <c r="M1810" s="24"/>
      <c r="N1810" s="24"/>
      <c r="O1810" s="24"/>
      <c r="P1810" s="24"/>
      <c r="Q1810" s="24"/>
      <c r="R1810" s="24"/>
      <c r="S1810" s="24"/>
      <c r="T1810" s="24"/>
      <c r="Z1810" s="25"/>
    </row>
    <row r="1811">
      <c r="A1811" s="16"/>
      <c r="B1811" s="17"/>
      <c r="C1811" s="24"/>
      <c r="D1811" s="25"/>
      <c r="E1811" s="24"/>
      <c r="F1811" s="25"/>
      <c r="G1811" s="24"/>
      <c r="H1811" s="25"/>
      <c r="I1811" s="24"/>
      <c r="J1811" s="25"/>
      <c r="K1811" s="25"/>
      <c r="L1811" s="24"/>
      <c r="M1811" s="24"/>
      <c r="N1811" s="24"/>
      <c r="O1811" s="24"/>
      <c r="P1811" s="24"/>
      <c r="Q1811" s="24"/>
      <c r="R1811" s="24"/>
      <c r="S1811" s="24"/>
      <c r="T1811" s="24"/>
      <c r="Z1811" s="25"/>
    </row>
    <row r="1812">
      <c r="A1812" s="16"/>
      <c r="B1812" s="17"/>
      <c r="C1812" s="24"/>
      <c r="D1812" s="25"/>
      <c r="E1812" s="24"/>
      <c r="F1812" s="25"/>
      <c r="G1812" s="24"/>
      <c r="H1812" s="25"/>
      <c r="I1812" s="24"/>
      <c r="J1812" s="25"/>
      <c r="K1812" s="25"/>
      <c r="L1812" s="24"/>
      <c r="M1812" s="24"/>
      <c r="N1812" s="24"/>
      <c r="O1812" s="24"/>
      <c r="P1812" s="24"/>
      <c r="Q1812" s="24"/>
      <c r="R1812" s="24"/>
      <c r="S1812" s="24"/>
      <c r="T1812" s="24"/>
      <c r="Z1812" s="25"/>
    </row>
    <row r="1813">
      <c r="A1813" s="16"/>
      <c r="B1813" s="17"/>
      <c r="C1813" s="24"/>
      <c r="D1813" s="25"/>
      <c r="E1813" s="24"/>
      <c r="F1813" s="25"/>
      <c r="G1813" s="24"/>
      <c r="H1813" s="25"/>
      <c r="I1813" s="24"/>
      <c r="J1813" s="25"/>
      <c r="K1813" s="25"/>
      <c r="L1813" s="24"/>
      <c r="M1813" s="24"/>
      <c r="N1813" s="24"/>
      <c r="O1813" s="24"/>
      <c r="P1813" s="24"/>
      <c r="Q1813" s="24"/>
      <c r="R1813" s="24"/>
      <c r="S1813" s="24"/>
      <c r="T1813" s="24"/>
      <c r="Z1813" s="25"/>
    </row>
    <row r="1814">
      <c r="A1814" s="16"/>
      <c r="B1814" s="17"/>
      <c r="C1814" s="24"/>
      <c r="D1814" s="25"/>
      <c r="E1814" s="24"/>
      <c r="F1814" s="25"/>
      <c r="G1814" s="24"/>
      <c r="H1814" s="25"/>
      <c r="I1814" s="24"/>
      <c r="J1814" s="25"/>
      <c r="K1814" s="25"/>
      <c r="L1814" s="24"/>
      <c r="M1814" s="24"/>
      <c r="N1814" s="24"/>
      <c r="O1814" s="24"/>
      <c r="P1814" s="24"/>
      <c r="Q1814" s="24"/>
      <c r="R1814" s="24"/>
      <c r="S1814" s="24"/>
      <c r="T1814" s="24"/>
      <c r="Z1814" s="25"/>
    </row>
    <row r="1815">
      <c r="A1815" s="16"/>
      <c r="B1815" s="17"/>
      <c r="C1815" s="24"/>
      <c r="D1815" s="25"/>
      <c r="E1815" s="24"/>
      <c r="F1815" s="25"/>
      <c r="G1815" s="24"/>
      <c r="H1815" s="25"/>
      <c r="I1815" s="24"/>
      <c r="J1815" s="25"/>
      <c r="K1815" s="25"/>
      <c r="L1815" s="24"/>
      <c r="M1815" s="24"/>
      <c r="N1815" s="24"/>
      <c r="O1815" s="24"/>
      <c r="P1815" s="24"/>
      <c r="Q1815" s="24"/>
      <c r="R1815" s="24"/>
      <c r="S1815" s="24"/>
      <c r="T1815" s="24"/>
      <c r="Z1815" s="25"/>
    </row>
    <row r="1816">
      <c r="A1816" s="16"/>
      <c r="B1816" s="17"/>
      <c r="C1816" s="24"/>
      <c r="D1816" s="25"/>
      <c r="E1816" s="24"/>
      <c r="F1816" s="25"/>
      <c r="G1816" s="24"/>
      <c r="H1816" s="25"/>
      <c r="I1816" s="24"/>
      <c r="J1816" s="25"/>
      <c r="K1816" s="25"/>
      <c r="L1816" s="24"/>
      <c r="M1816" s="24"/>
      <c r="N1816" s="24"/>
      <c r="O1816" s="24"/>
      <c r="P1816" s="24"/>
      <c r="Q1816" s="24"/>
      <c r="R1816" s="24"/>
      <c r="S1816" s="24"/>
      <c r="T1816" s="24"/>
      <c r="Z1816" s="25"/>
    </row>
    <row r="1817">
      <c r="A1817" s="16"/>
      <c r="B1817" s="17"/>
      <c r="C1817" s="24"/>
      <c r="D1817" s="25"/>
      <c r="E1817" s="24"/>
      <c r="F1817" s="25"/>
      <c r="G1817" s="24"/>
      <c r="H1817" s="25"/>
      <c r="I1817" s="24"/>
      <c r="J1817" s="25"/>
      <c r="K1817" s="25"/>
      <c r="L1817" s="24"/>
      <c r="M1817" s="24"/>
      <c r="N1817" s="24"/>
      <c r="O1817" s="24"/>
      <c r="P1817" s="24"/>
      <c r="Q1817" s="24"/>
      <c r="R1817" s="24"/>
      <c r="S1817" s="24"/>
      <c r="T1817" s="24"/>
      <c r="Z1817" s="25"/>
    </row>
    <row r="1818">
      <c r="A1818" s="16"/>
      <c r="B1818" s="17"/>
      <c r="C1818" s="24"/>
      <c r="D1818" s="25"/>
      <c r="E1818" s="24"/>
      <c r="F1818" s="25"/>
      <c r="G1818" s="24"/>
      <c r="H1818" s="25"/>
      <c r="I1818" s="24"/>
      <c r="J1818" s="25"/>
      <c r="K1818" s="25"/>
      <c r="L1818" s="24"/>
      <c r="M1818" s="24"/>
      <c r="N1818" s="24"/>
      <c r="O1818" s="24"/>
      <c r="P1818" s="24"/>
      <c r="Q1818" s="24"/>
      <c r="R1818" s="24"/>
      <c r="S1818" s="24"/>
      <c r="T1818" s="24"/>
      <c r="Z1818" s="25"/>
    </row>
    <row r="1819">
      <c r="A1819" s="16"/>
      <c r="B1819" s="17"/>
      <c r="C1819" s="24"/>
      <c r="D1819" s="25"/>
      <c r="E1819" s="24"/>
      <c r="F1819" s="25"/>
      <c r="G1819" s="24"/>
      <c r="H1819" s="25"/>
      <c r="I1819" s="24"/>
      <c r="J1819" s="25"/>
      <c r="K1819" s="25"/>
      <c r="L1819" s="24"/>
      <c r="M1819" s="24"/>
      <c r="N1819" s="24"/>
      <c r="O1819" s="24"/>
      <c r="P1819" s="24"/>
      <c r="Q1819" s="24"/>
      <c r="R1819" s="24"/>
      <c r="S1819" s="24"/>
      <c r="T1819" s="24"/>
      <c r="Z1819" s="25"/>
    </row>
    <row r="1820">
      <c r="A1820" s="16"/>
      <c r="B1820" s="17"/>
      <c r="C1820" s="24"/>
      <c r="D1820" s="25"/>
      <c r="E1820" s="24"/>
      <c r="F1820" s="25"/>
      <c r="G1820" s="24"/>
      <c r="H1820" s="25"/>
      <c r="I1820" s="24"/>
      <c r="J1820" s="25"/>
      <c r="K1820" s="25"/>
      <c r="L1820" s="24"/>
      <c r="M1820" s="24"/>
      <c r="N1820" s="24"/>
      <c r="O1820" s="24"/>
      <c r="P1820" s="24"/>
      <c r="Q1820" s="24"/>
      <c r="R1820" s="24"/>
      <c r="S1820" s="24"/>
      <c r="T1820" s="24"/>
      <c r="Z1820" s="25"/>
    </row>
    <row r="1821">
      <c r="A1821" s="16"/>
      <c r="B1821" s="17"/>
      <c r="C1821" s="24"/>
      <c r="D1821" s="25"/>
      <c r="E1821" s="24"/>
      <c r="F1821" s="25"/>
      <c r="G1821" s="24"/>
      <c r="H1821" s="25"/>
      <c r="I1821" s="24"/>
      <c r="J1821" s="25"/>
      <c r="K1821" s="25"/>
      <c r="L1821" s="24"/>
      <c r="M1821" s="24"/>
      <c r="N1821" s="24"/>
      <c r="O1821" s="24"/>
      <c r="P1821" s="24"/>
      <c r="Q1821" s="24"/>
      <c r="R1821" s="24"/>
      <c r="S1821" s="24"/>
      <c r="T1821" s="24"/>
      <c r="Z1821" s="25"/>
    </row>
    <row r="1822">
      <c r="A1822" s="16"/>
      <c r="B1822" s="17"/>
      <c r="C1822" s="24"/>
      <c r="D1822" s="25"/>
      <c r="E1822" s="24"/>
      <c r="F1822" s="25"/>
      <c r="G1822" s="24"/>
      <c r="H1822" s="25"/>
      <c r="I1822" s="24"/>
      <c r="J1822" s="25"/>
      <c r="K1822" s="25"/>
      <c r="L1822" s="24"/>
      <c r="M1822" s="24"/>
      <c r="N1822" s="24"/>
      <c r="O1822" s="24"/>
      <c r="P1822" s="24"/>
      <c r="Q1822" s="24"/>
      <c r="R1822" s="24"/>
      <c r="S1822" s="24"/>
      <c r="T1822" s="24"/>
      <c r="Z1822" s="25"/>
    </row>
    <row r="1823">
      <c r="A1823" s="16"/>
      <c r="B1823" s="17"/>
      <c r="C1823" s="24"/>
      <c r="D1823" s="25"/>
      <c r="E1823" s="24"/>
      <c r="F1823" s="25"/>
      <c r="G1823" s="24"/>
      <c r="H1823" s="25"/>
      <c r="I1823" s="24"/>
      <c r="J1823" s="25"/>
      <c r="K1823" s="25"/>
      <c r="L1823" s="24"/>
      <c r="M1823" s="24"/>
      <c r="N1823" s="24"/>
      <c r="O1823" s="24"/>
      <c r="P1823" s="24"/>
      <c r="Q1823" s="24"/>
      <c r="R1823" s="24"/>
      <c r="S1823" s="24"/>
      <c r="T1823" s="24"/>
      <c r="Z1823" s="25"/>
    </row>
    <row r="1824">
      <c r="A1824" s="16"/>
      <c r="B1824" s="17"/>
      <c r="C1824" s="24"/>
      <c r="D1824" s="25"/>
      <c r="E1824" s="24"/>
      <c r="F1824" s="25"/>
      <c r="G1824" s="24"/>
      <c r="H1824" s="25"/>
      <c r="I1824" s="24"/>
      <c r="J1824" s="25"/>
      <c r="K1824" s="25"/>
      <c r="L1824" s="24"/>
      <c r="M1824" s="24"/>
      <c r="N1824" s="24"/>
      <c r="O1824" s="24"/>
      <c r="P1824" s="24"/>
      <c r="Q1824" s="24"/>
      <c r="R1824" s="24"/>
      <c r="S1824" s="24"/>
      <c r="T1824" s="24"/>
      <c r="Z1824" s="25"/>
    </row>
    <row r="1825">
      <c r="A1825" s="16"/>
      <c r="B1825" s="17"/>
      <c r="C1825" s="24"/>
      <c r="D1825" s="25"/>
      <c r="E1825" s="24"/>
      <c r="F1825" s="25"/>
      <c r="G1825" s="24"/>
      <c r="H1825" s="25"/>
      <c r="I1825" s="24"/>
      <c r="J1825" s="25"/>
      <c r="K1825" s="25"/>
      <c r="L1825" s="24"/>
      <c r="M1825" s="24"/>
      <c r="N1825" s="24"/>
      <c r="O1825" s="24"/>
      <c r="P1825" s="24"/>
      <c r="Q1825" s="24"/>
      <c r="R1825" s="24"/>
      <c r="S1825" s="24"/>
      <c r="T1825" s="24"/>
      <c r="Z1825" s="25"/>
    </row>
    <row r="1826">
      <c r="A1826" s="16"/>
      <c r="B1826" s="17"/>
      <c r="C1826" s="24"/>
      <c r="D1826" s="25"/>
      <c r="E1826" s="24"/>
      <c r="F1826" s="25"/>
      <c r="G1826" s="24"/>
      <c r="H1826" s="25"/>
      <c r="I1826" s="24"/>
      <c r="J1826" s="25"/>
      <c r="K1826" s="25"/>
      <c r="L1826" s="24"/>
      <c r="M1826" s="24"/>
      <c r="N1826" s="24"/>
      <c r="O1826" s="24"/>
      <c r="P1826" s="24"/>
      <c r="Q1826" s="24"/>
      <c r="R1826" s="24"/>
      <c r="S1826" s="24"/>
      <c r="T1826" s="24"/>
      <c r="Z1826" s="25"/>
    </row>
    <row r="1827">
      <c r="A1827" s="16"/>
      <c r="B1827" s="17"/>
      <c r="C1827" s="24"/>
      <c r="D1827" s="25"/>
      <c r="E1827" s="24"/>
      <c r="F1827" s="25"/>
      <c r="G1827" s="24"/>
      <c r="H1827" s="25"/>
      <c r="I1827" s="24"/>
      <c r="J1827" s="25"/>
      <c r="K1827" s="25"/>
      <c r="L1827" s="24"/>
      <c r="M1827" s="24"/>
      <c r="N1827" s="24"/>
      <c r="O1827" s="24"/>
      <c r="P1827" s="24"/>
      <c r="Q1827" s="24"/>
      <c r="R1827" s="24"/>
      <c r="S1827" s="24"/>
      <c r="T1827" s="24"/>
      <c r="Z1827" s="25"/>
    </row>
    <row r="1828">
      <c r="A1828" s="16"/>
      <c r="B1828" s="17"/>
      <c r="C1828" s="24"/>
      <c r="D1828" s="25"/>
      <c r="E1828" s="24"/>
      <c r="F1828" s="25"/>
      <c r="G1828" s="24"/>
      <c r="H1828" s="25"/>
      <c r="I1828" s="24"/>
      <c r="J1828" s="25"/>
      <c r="K1828" s="25"/>
      <c r="L1828" s="24"/>
      <c r="M1828" s="24"/>
      <c r="N1828" s="24"/>
      <c r="O1828" s="24"/>
      <c r="P1828" s="24"/>
      <c r="Q1828" s="24"/>
      <c r="R1828" s="24"/>
      <c r="S1828" s="24"/>
      <c r="T1828" s="24"/>
      <c r="Z1828" s="25"/>
    </row>
    <row r="1829">
      <c r="A1829" s="16"/>
      <c r="B1829" s="17"/>
      <c r="C1829" s="24"/>
      <c r="D1829" s="25"/>
      <c r="E1829" s="24"/>
      <c r="F1829" s="25"/>
      <c r="G1829" s="24"/>
      <c r="H1829" s="25"/>
      <c r="I1829" s="24"/>
      <c r="J1829" s="25"/>
      <c r="K1829" s="25"/>
      <c r="L1829" s="24"/>
      <c r="M1829" s="24"/>
      <c r="N1829" s="24"/>
      <c r="O1829" s="24"/>
      <c r="P1829" s="24"/>
      <c r="Q1829" s="24"/>
      <c r="R1829" s="24"/>
      <c r="S1829" s="24"/>
      <c r="T1829" s="24"/>
      <c r="Z1829" s="25"/>
    </row>
    <row r="1830">
      <c r="A1830" s="16"/>
      <c r="B1830" s="17"/>
      <c r="C1830" s="24"/>
      <c r="D1830" s="25"/>
      <c r="E1830" s="24"/>
      <c r="F1830" s="25"/>
      <c r="G1830" s="24"/>
      <c r="H1830" s="25"/>
      <c r="I1830" s="24"/>
      <c r="J1830" s="25"/>
      <c r="K1830" s="25"/>
      <c r="L1830" s="24"/>
      <c r="M1830" s="24"/>
      <c r="N1830" s="24"/>
      <c r="O1830" s="24"/>
      <c r="P1830" s="24"/>
      <c r="Q1830" s="24"/>
      <c r="R1830" s="24"/>
      <c r="S1830" s="24"/>
      <c r="T1830" s="24"/>
      <c r="Z1830" s="25"/>
    </row>
    <row r="1831">
      <c r="A1831" s="16"/>
      <c r="B1831" s="17"/>
      <c r="C1831" s="24"/>
      <c r="D1831" s="25"/>
      <c r="E1831" s="24"/>
      <c r="F1831" s="25"/>
      <c r="G1831" s="24"/>
      <c r="H1831" s="25"/>
      <c r="I1831" s="24"/>
      <c r="J1831" s="25"/>
      <c r="K1831" s="25"/>
      <c r="L1831" s="24"/>
      <c r="M1831" s="24"/>
      <c r="N1831" s="24"/>
      <c r="O1831" s="24"/>
      <c r="P1831" s="24"/>
      <c r="Q1831" s="24"/>
      <c r="R1831" s="24"/>
      <c r="S1831" s="24"/>
      <c r="T1831" s="24"/>
      <c r="Z1831" s="25"/>
    </row>
    <row r="1832">
      <c r="A1832" s="16"/>
      <c r="B1832" s="17"/>
      <c r="C1832" s="24"/>
      <c r="D1832" s="25"/>
      <c r="E1832" s="24"/>
      <c r="F1832" s="25"/>
      <c r="G1832" s="24"/>
      <c r="H1832" s="25"/>
      <c r="I1832" s="24"/>
      <c r="J1832" s="25"/>
      <c r="K1832" s="25"/>
      <c r="L1832" s="24"/>
      <c r="M1832" s="24"/>
      <c r="N1832" s="24"/>
      <c r="O1832" s="24"/>
      <c r="P1832" s="24"/>
      <c r="Q1832" s="24"/>
      <c r="R1832" s="24"/>
      <c r="S1832" s="24"/>
      <c r="T1832" s="24"/>
      <c r="Z1832" s="25"/>
    </row>
    <row r="1833">
      <c r="A1833" s="16"/>
      <c r="B1833" s="17"/>
      <c r="C1833" s="24"/>
      <c r="D1833" s="25"/>
      <c r="E1833" s="24"/>
      <c r="F1833" s="25"/>
      <c r="G1833" s="24"/>
      <c r="H1833" s="25"/>
      <c r="I1833" s="24"/>
      <c r="J1833" s="25"/>
      <c r="K1833" s="25"/>
      <c r="L1833" s="24"/>
      <c r="M1833" s="24"/>
      <c r="N1833" s="24"/>
      <c r="O1833" s="24"/>
      <c r="P1833" s="24"/>
      <c r="Q1833" s="24"/>
      <c r="R1833" s="24"/>
      <c r="S1833" s="24"/>
      <c r="T1833" s="24"/>
      <c r="Z1833" s="25"/>
    </row>
    <row r="1834">
      <c r="A1834" s="16"/>
      <c r="B1834" s="17"/>
      <c r="C1834" s="24"/>
      <c r="D1834" s="25"/>
      <c r="E1834" s="24"/>
      <c r="F1834" s="25"/>
      <c r="G1834" s="24"/>
      <c r="H1834" s="25"/>
      <c r="I1834" s="24"/>
      <c r="J1834" s="25"/>
      <c r="K1834" s="25"/>
      <c r="L1834" s="24"/>
      <c r="M1834" s="24"/>
      <c r="N1834" s="24"/>
      <c r="O1834" s="24"/>
      <c r="P1834" s="24"/>
      <c r="Q1834" s="24"/>
      <c r="R1834" s="24"/>
      <c r="S1834" s="24"/>
      <c r="T1834" s="24"/>
      <c r="Z1834" s="25"/>
    </row>
    <row r="1835">
      <c r="A1835" s="16"/>
      <c r="B1835" s="17"/>
      <c r="C1835" s="24"/>
      <c r="D1835" s="25"/>
      <c r="E1835" s="24"/>
      <c r="F1835" s="25"/>
      <c r="G1835" s="24"/>
      <c r="H1835" s="25"/>
      <c r="I1835" s="24"/>
      <c r="J1835" s="25"/>
      <c r="K1835" s="25"/>
      <c r="L1835" s="24"/>
      <c r="M1835" s="24"/>
      <c r="N1835" s="24"/>
      <c r="O1835" s="24"/>
      <c r="P1835" s="24"/>
      <c r="Q1835" s="24"/>
      <c r="R1835" s="24"/>
      <c r="S1835" s="24"/>
      <c r="T1835" s="24"/>
      <c r="Z1835" s="25"/>
    </row>
    <row r="1836">
      <c r="A1836" s="16"/>
      <c r="B1836" s="17"/>
      <c r="C1836" s="24"/>
      <c r="D1836" s="25"/>
      <c r="E1836" s="24"/>
      <c r="F1836" s="25"/>
      <c r="G1836" s="24"/>
      <c r="H1836" s="25"/>
      <c r="I1836" s="24"/>
      <c r="J1836" s="25"/>
      <c r="K1836" s="25"/>
      <c r="L1836" s="24"/>
      <c r="M1836" s="24"/>
      <c r="N1836" s="24"/>
      <c r="O1836" s="24"/>
      <c r="P1836" s="24"/>
      <c r="Q1836" s="24"/>
      <c r="R1836" s="24"/>
      <c r="S1836" s="24"/>
      <c r="T1836" s="24"/>
      <c r="Z1836" s="25"/>
    </row>
    <row r="1837">
      <c r="A1837" s="16"/>
      <c r="B1837" s="17"/>
      <c r="C1837" s="24"/>
      <c r="D1837" s="25"/>
      <c r="E1837" s="24"/>
      <c r="F1837" s="25"/>
      <c r="G1837" s="24"/>
      <c r="H1837" s="25"/>
      <c r="I1837" s="24"/>
      <c r="J1837" s="25"/>
      <c r="K1837" s="25"/>
      <c r="L1837" s="24"/>
      <c r="M1837" s="24"/>
      <c r="N1837" s="24"/>
      <c r="O1837" s="24"/>
      <c r="P1837" s="24"/>
      <c r="Q1837" s="24"/>
      <c r="R1837" s="24"/>
      <c r="S1837" s="24"/>
      <c r="T1837" s="24"/>
      <c r="Z1837" s="25"/>
    </row>
    <row r="1838">
      <c r="A1838" s="16"/>
      <c r="B1838" s="17"/>
      <c r="C1838" s="24"/>
      <c r="D1838" s="25"/>
      <c r="E1838" s="24"/>
      <c r="F1838" s="25"/>
      <c r="G1838" s="24"/>
      <c r="H1838" s="25"/>
      <c r="I1838" s="24"/>
      <c r="J1838" s="25"/>
      <c r="K1838" s="25"/>
      <c r="L1838" s="24"/>
      <c r="M1838" s="24"/>
      <c r="N1838" s="24"/>
      <c r="O1838" s="24"/>
      <c r="P1838" s="24"/>
      <c r="Q1838" s="24"/>
      <c r="R1838" s="24"/>
      <c r="S1838" s="24"/>
      <c r="T1838" s="24"/>
      <c r="Z1838" s="25"/>
    </row>
    <row r="1839">
      <c r="A1839" s="16"/>
      <c r="B1839" s="17"/>
      <c r="C1839" s="24"/>
      <c r="D1839" s="25"/>
      <c r="E1839" s="24"/>
      <c r="F1839" s="25"/>
      <c r="G1839" s="24"/>
      <c r="H1839" s="25"/>
      <c r="I1839" s="24"/>
      <c r="J1839" s="25"/>
      <c r="K1839" s="25"/>
      <c r="L1839" s="24"/>
      <c r="M1839" s="24"/>
      <c r="N1839" s="24"/>
      <c r="O1839" s="24"/>
      <c r="P1839" s="24"/>
      <c r="Q1839" s="24"/>
      <c r="R1839" s="24"/>
      <c r="S1839" s="24"/>
      <c r="T1839" s="24"/>
      <c r="Z1839" s="25"/>
    </row>
    <row r="1840">
      <c r="A1840" s="16"/>
      <c r="B1840" s="17"/>
      <c r="C1840" s="24"/>
      <c r="D1840" s="25"/>
      <c r="E1840" s="24"/>
      <c r="F1840" s="25"/>
      <c r="G1840" s="24"/>
      <c r="H1840" s="25"/>
      <c r="I1840" s="24"/>
      <c r="J1840" s="25"/>
      <c r="K1840" s="25"/>
      <c r="L1840" s="24"/>
      <c r="M1840" s="24"/>
      <c r="N1840" s="24"/>
      <c r="O1840" s="24"/>
      <c r="P1840" s="24"/>
      <c r="Q1840" s="24"/>
      <c r="R1840" s="24"/>
      <c r="S1840" s="24"/>
      <c r="T1840" s="24"/>
      <c r="Z1840" s="25"/>
    </row>
    <row r="1841">
      <c r="A1841" s="16"/>
      <c r="B1841" s="17"/>
      <c r="C1841" s="24"/>
      <c r="D1841" s="25"/>
      <c r="E1841" s="24"/>
      <c r="F1841" s="25"/>
      <c r="G1841" s="24"/>
      <c r="H1841" s="25"/>
      <c r="I1841" s="24"/>
      <c r="J1841" s="25"/>
      <c r="K1841" s="25"/>
      <c r="L1841" s="24"/>
      <c r="M1841" s="24"/>
      <c r="N1841" s="24"/>
      <c r="O1841" s="24"/>
      <c r="P1841" s="24"/>
      <c r="Q1841" s="24"/>
      <c r="R1841" s="24"/>
      <c r="S1841" s="24"/>
      <c r="T1841" s="24"/>
      <c r="Z1841" s="25"/>
    </row>
    <row r="1842">
      <c r="A1842" s="16"/>
      <c r="B1842" s="17"/>
      <c r="C1842" s="24"/>
      <c r="D1842" s="25"/>
      <c r="E1842" s="24"/>
      <c r="F1842" s="25"/>
      <c r="G1842" s="24"/>
      <c r="H1842" s="25"/>
      <c r="I1842" s="24"/>
      <c r="J1842" s="25"/>
      <c r="K1842" s="25"/>
      <c r="L1842" s="24"/>
      <c r="M1842" s="24"/>
      <c r="N1842" s="24"/>
      <c r="O1842" s="24"/>
      <c r="P1842" s="24"/>
      <c r="Q1842" s="24"/>
      <c r="R1842" s="24"/>
      <c r="S1842" s="24"/>
      <c r="T1842" s="24"/>
      <c r="Z1842" s="25"/>
    </row>
    <row r="1843">
      <c r="A1843" s="16"/>
      <c r="B1843" s="17"/>
      <c r="C1843" s="24"/>
      <c r="D1843" s="25"/>
      <c r="E1843" s="24"/>
      <c r="F1843" s="25"/>
      <c r="G1843" s="24"/>
      <c r="H1843" s="25"/>
      <c r="I1843" s="24"/>
      <c r="J1843" s="25"/>
      <c r="K1843" s="25"/>
      <c r="L1843" s="24"/>
      <c r="M1843" s="24"/>
      <c r="N1843" s="24"/>
      <c r="O1843" s="24"/>
      <c r="P1843" s="24"/>
      <c r="Q1843" s="24"/>
      <c r="R1843" s="24"/>
      <c r="S1843" s="24"/>
      <c r="T1843" s="24"/>
      <c r="Z1843" s="25"/>
    </row>
    <row r="1844">
      <c r="A1844" s="16"/>
      <c r="B1844" s="17"/>
      <c r="C1844" s="24"/>
      <c r="D1844" s="25"/>
      <c r="E1844" s="24"/>
      <c r="F1844" s="25"/>
      <c r="G1844" s="24"/>
      <c r="H1844" s="25"/>
      <c r="I1844" s="24"/>
      <c r="J1844" s="25"/>
      <c r="K1844" s="25"/>
      <c r="L1844" s="24"/>
      <c r="M1844" s="24"/>
      <c r="N1844" s="24"/>
      <c r="O1844" s="24"/>
      <c r="P1844" s="24"/>
      <c r="Q1844" s="24"/>
      <c r="R1844" s="24"/>
      <c r="S1844" s="24"/>
      <c r="T1844" s="24"/>
      <c r="Z1844" s="25"/>
    </row>
    <row r="1845">
      <c r="A1845" s="16"/>
      <c r="B1845" s="17"/>
      <c r="C1845" s="24"/>
      <c r="D1845" s="25"/>
      <c r="E1845" s="24"/>
      <c r="F1845" s="25"/>
      <c r="G1845" s="24"/>
      <c r="H1845" s="25"/>
      <c r="I1845" s="24"/>
      <c r="J1845" s="25"/>
      <c r="K1845" s="25"/>
      <c r="L1845" s="24"/>
      <c r="M1845" s="24"/>
      <c r="N1845" s="24"/>
      <c r="O1845" s="24"/>
      <c r="P1845" s="24"/>
      <c r="Q1845" s="24"/>
      <c r="R1845" s="24"/>
      <c r="S1845" s="24"/>
      <c r="T1845" s="24"/>
      <c r="Z1845" s="25"/>
    </row>
    <row r="1846">
      <c r="A1846" s="16"/>
      <c r="B1846" s="17"/>
      <c r="C1846" s="24"/>
      <c r="D1846" s="25"/>
      <c r="E1846" s="24"/>
      <c r="F1846" s="25"/>
      <c r="G1846" s="24"/>
      <c r="H1846" s="25"/>
      <c r="I1846" s="24"/>
      <c r="J1846" s="25"/>
      <c r="K1846" s="25"/>
      <c r="L1846" s="24"/>
      <c r="M1846" s="24"/>
      <c r="N1846" s="24"/>
      <c r="O1846" s="24"/>
      <c r="P1846" s="24"/>
      <c r="Q1846" s="24"/>
      <c r="R1846" s="24"/>
      <c r="S1846" s="24"/>
      <c r="T1846" s="24"/>
      <c r="Z1846" s="25"/>
    </row>
    <row r="1847">
      <c r="A1847" s="16"/>
      <c r="B1847" s="17"/>
      <c r="C1847" s="24"/>
      <c r="D1847" s="25"/>
      <c r="E1847" s="24"/>
      <c r="F1847" s="25"/>
      <c r="G1847" s="24"/>
      <c r="H1847" s="25"/>
      <c r="I1847" s="24"/>
      <c r="J1847" s="25"/>
      <c r="K1847" s="25"/>
      <c r="L1847" s="24"/>
      <c r="M1847" s="24"/>
      <c r="N1847" s="24"/>
      <c r="O1847" s="24"/>
      <c r="P1847" s="24"/>
      <c r="Q1847" s="24"/>
      <c r="R1847" s="24"/>
      <c r="S1847" s="24"/>
      <c r="T1847" s="24"/>
      <c r="Z1847" s="25"/>
    </row>
    <row r="1848">
      <c r="A1848" s="16"/>
      <c r="B1848" s="17"/>
      <c r="C1848" s="24"/>
      <c r="D1848" s="25"/>
      <c r="E1848" s="24"/>
      <c r="F1848" s="25"/>
      <c r="G1848" s="24"/>
      <c r="H1848" s="25"/>
      <c r="I1848" s="24"/>
      <c r="J1848" s="25"/>
      <c r="K1848" s="25"/>
      <c r="L1848" s="24"/>
      <c r="M1848" s="24"/>
      <c r="N1848" s="24"/>
      <c r="O1848" s="24"/>
      <c r="P1848" s="24"/>
      <c r="Q1848" s="24"/>
      <c r="R1848" s="24"/>
      <c r="S1848" s="24"/>
      <c r="T1848" s="24"/>
      <c r="Z1848" s="25"/>
    </row>
    <row r="1849">
      <c r="A1849" s="16"/>
      <c r="B1849" s="17"/>
      <c r="C1849" s="24"/>
      <c r="D1849" s="25"/>
      <c r="E1849" s="24"/>
      <c r="F1849" s="25"/>
      <c r="G1849" s="24"/>
      <c r="H1849" s="25"/>
      <c r="I1849" s="24"/>
      <c r="J1849" s="25"/>
      <c r="K1849" s="25"/>
      <c r="L1849" s="24"/>
      <c r="M1849" s="24"/>
      <c r="N1849" s="24"/>
      <c r="O1849" s="24"/>
      <c r="P1849" s="24"/>
      <c r="Q1849" s="24"/>
      <c r="R1849" s="24"/>
      <c r="S1849" s="24"/>
      <c r="T1849" s="24"/>
      <c r="Z1849" s="25"/>
    </row>
    <row r="1850">
      <c r="A1850" s="16"/>
      <c r="B1850" s="17"/>
      <c r="C1850" s="24"/>
      <c r="D1850" s="25"/>
      <c r="E1850" s="24"/>
      <c r="F1850" s="25"/>
      <c r="G1850" s="24"/>
      <c r="H1850" s="25"/>
      <c r="I1850" s="24"/>
      <c r="J1850" s="25"/>
      <c r="K1850" s="25"/>
      <c r="L1850" s="24"/>
      <c r="M1850" s="24"/>
      <c r="N1850" s="24"/>
      <c r="O1850" s="24"/>
      <c r="P1850" s="24"/>
      <c r="Q1850" s="24"/>
      <c r="R1850" s="24"/>
      <c r="S1850" s="24"/>
      <c r="T1850" s="24"/>
      <c r="Z1850" s="25"/>
    </row>
    <row r="1851">
      <c r="A1851" s="16"/>
      <c r="B1851" s="17"/>
      <c r="C1851" s="24"/>
      <c r="D1851" s="25"/>
      <c r="E1851" s="24"/>
      <c r="F1851" s="25"/>
      <c r="G1851" s="24"/>
      <c r="H1851" s="25"/>
      <c r="I1851" s="24"/>
      <c r="J1851" s="25"/>
      <c r="K1851" s="25"/>
      <c r="L1851" s="24"/>
      <c r="M1851" s="24"/>
      <c r="N1851" s="24"/>
      <c r="O1851" s="24"/>
      <c r="P1851" s="24"/>
      <c r="Q1851" s="24"/>
      <c r="R1851" s="24"/>
      <c r="S1851" s="24"/>
      <c r="T1851" s="24"/>
      <c r="Z1851" s="25"/>
    </row>
    <row r="1852">
      <c r="A1852" s="16"/>
      <c r="B1852" s="17"/>
      <c r="C1852" s="24"/>
      <c r="D1852" s="25"/>
      <c r="E1852" s="24"/>
      <c r="F1852" s="25"/>
      <c r="G1852" s="24"/>
      <c r="H1852" s="25"/>
      <c r="I1852" s="24"/>
      <c r="J1852" s="25"/>
      <c r="K1852" s="25"/>
      <c r="L1852" s="24"/>
      <c r="M1852" s="24"/>
      <c r="N1852" s="24"/>
      <c r="O1852" s="24"/>
      <c r="P1852" s="24"/>
      <c r="Q1852" s="24"/>
      <c r="R1852" s="24"/>
      <c r="S1852" s="24"/>
      <c r="T1852" s="24"/>
      <c r="Z1852" s="25"/>
    </row>
    <row r="1853">
      <c r="A1853" s="16"/>
      <c r="B1853" s="17"/>
      <c r="C1853" s="24"/>
      <c r="D1853" s="25"/>
      <c r="E1853" s="24"/>
      <c r="F1853" s="25"/>
      <c r="G1853" s="24"/>
      <c r="H1853" s="25"/>
      <c r="I1853" s="24"/>
      <c r="J1853" s="25"/>
      <c r="K1853" s="25"/>
      <c r="L1853" s="24"/>
      <c r="M1853" s="24"/>
      <c r="N1853" s="24"/>
      <c r="O1853" s="24"/>
      <c r="P1853" s="24"/>
      <c r="Q1853" s="24"/>
      <c r="R1853" s="24"/>
      <c r="S1853" s="24"/>
      <c r="T1853" s="24"/>
      <c r="Z1853" s="25"/>
    </row>
    <row r="1854">
      <c r="A1854" s="16"/>
      <c r="B1854" s="17"/>
      <c r="C1854" s="24"/>
      <c r="D1854" s="25"/>
      <c r="E1854" s="24"/>
      <c r="F1854" s="25"/>
      <c r="G1854" s="24"/>
      <c r="H1854" s="25"/>
      <c r="I1854" s="24"/>
      <c r="J1854" s="25"/>
      <c r="K1854" s="25"/>
      <c r="L1854" s="24"/>
      <c r="M1854" s="24"/>
      <c r="N1854" s="24"/>
      <c r="O1854" s="24"/>
      <c r="P1854" s="24"/>
      <c r="Q1854" s="24"/>
      <c r="R1854" s="24"/>
      <c r="S1854" s="24"/>
      <c r="T1854" s="24"/>
      <c r="Z1854" s="25"/>
    </row>
    <row r="1855">
      <c r="A1855" s="16"/>
      <c r="B1855" s="17"/>
      <c r="C1855" s="24"/>
      <c r="D1855" s="25"/>
      <c r="E1855" s="24"/>
      <c r="F1855" s="25"/>
      <c r="G1855" s="24"/>
      <c r="H1855" s="25"/>
      <c r="I1855" s="24"/>
      <c r="J1855" s="25"/>
      <c r="K1855" s="25"/>
      <c r="L1855" s="24"/>
      <c r="M1855" s="24"/>
      <c r="N1855" s="24"/>
      <c r="O1855" s="24"/>
      <c r="P1855" s="24"/>
      <c r="Q1855" s="24"/>
      <c r="R1855" s="24"/>
      <c r="S1855" s="24"/>
      <c r="T1855" s="24"/>
      <c r="Z1855" s="25"/>
    </row>
    <row r="1856">
      <c r="A1856" s="16"/>
      <c r="B1856" s="17"/>
      <c r="C1856" s="24"/>
      <c r="D1856" s="25"/>
      <c r="E1856" s="24"/>
      <c r="F1856" s="25"/>
      <c r="G1856" s="24"/>
      <c r="H1856" s="25"/>
      <c r="I1856" s="24"/>
      <c r="J1856" s="25"/>
      <c r="K1856" s="25"/>
      <c r="L1856" s="24"/>
      <c r="M1856" s="24"/>
      <c r="N1856" s="24"/>
      <c r="O1856" s="24"/>
      <c r="P1856" s="24"/>
      <c r="Q1856" s="24"/>
      <c r="R1856" s="24"/>
      <c r="S1856" s="24"/>
      <c r="T1856" s="24"/>
      <c r="Z1856" s="25"/>
    </row>
    <row r="1857">
      <c r="A1857" s="16"/>
      <c r="B1857" s="17"/>
      <c r="C1857" s="24"/>
      <c r="D1857" s="25"/>
      <c r="E1857" s="24"/>
      <c r="F1857" s="25"/>
      <c r="G1857" s="24"/>
      <c r="H1857" s="25"/>
      <c r="I1857" s="24"/>
      <c r="J1857" s="25"/>
      <c r="K1857" s="25"/>
      <c r="L1857" s="24"/>
      <c r="M1857" s="24"/>
      <c r="N1857" s="24"/>
      <c r="O1857" s="24"/>
      <c r="P1857" s="24"/>
      <c r="Q1857" s="24"/>
      <c r="R1857" s="24"/>
      <c r="S1857" s="24"/>
      <c r="T1857" s="24"/>
      <c r="Z1857" s="25"/>
    </row>
    <row r="1858">
      <c r="A1858" s="16"/>
      <c r="B1858" s="17"/>
      <c r="C1858" s="24"/>
      <c r="D1858" s="25"/>
      <c r="E1858" s="24"/>
      <c r="F1858" s="25"/>
      <c r="G1858" s="24"/>
      <c r="H1858" s="25"/>
      <c r="I1858" s="24"/>
      <c r="J1858" s="25"/>
      <c r="K1858" s="25"/>
      <c r="L1858" s="24"/>
      <c r="M1858" s="24"/>
      <c r="N1858" s="24"/>
      <c r="O1858" s="24"/>
      <c r="P1858" s="24"/>
      <c r="Q1858" s="24"/>
      <c r="R1858" s="24"/>
      <c r="S1858" s="24"/>
      <c r="T1858" s="24"/>
      <c r="Z1858" s="25"/>
    </row>
    <row r="1859">
      <c r="A1859" s="16"/>
      <c r="B1859" s="17"/>
      <c r="C1859" s="24"/>
      <c r="D1859" s="25"/>
      <c r="E1859" s="24"/>
      <c r="F1859" s="25"/>
      <c r="G1859" s="24"/>
      <c r="H1859" s="25"/>
      <c r="I1859" s="24"/>
      <c r="J1859" s="25"/>
      <c r="K1859" s="25"/>
      <c r="L1859" s="24"/>
      <c r="M1859" s="24"/>
      <c r="N1859" s="24"/>
      <c r="O1859" s="24"/>
      <c r="P1859" s="24"/>
      <c r="Q1859" s="24"/>
      <c r="R1859" s="24"/>
      <c r="S1859" s="24"/>
      <c r="T1859" s="24"/>
      <c r="Z1859" s="25"/>
    </row>
    <row r="1860">
      <c r="A1860" s="16"/>
      <c r="B1860" s="17"/>
      <c r="C1860" s="24"/>
      <c r="D1860" s="25"/>
      <c r="E1860" s="24"/>
      <c r="F1860" s="25"/>
      <c r="G1860" s="24"/>
      <c r="H1860" s="25"/>
      <c r="I1860" s="24"/>
      <c r="J1860" s="25"/>
      <c r="K1860" s="25"/>
      <c r="L1860" s="24"/>
      <c r="M1860" s="24"/>
      <c r="N1860" s="24"/>
      <c r="O1860" s="24"/>
      <c r="P1860" s="24"/>
      <c r="Q1860" s="24"/>
      <c r="R1860" s="24"/>
      <c r="S1860" s="24"/>
      <c r="T1860" s="24"/>
      <c r="Z1860" s="25"/>
    </row>
    <row r="1861">
      <c r="A1861" s="16"/>
      <c r="B1861" s="17"/>
      <c r="C1861" s="24"/>
      <c r="D1861" s="25"/>
      <c r="E1861" s="24"/>
      <c r="F1861" s="25"/>
      <c r="G1861" s="24"/>
      <c r="H1861" s="25"/>
      <c r="I1861" s="24"/>
      <c r="J1861" s="25"/>
      <c r="K1861" s="25"/>
      <c r="L1861" s="24"/>
      <c r="M1861" s="24"/>
      <c r="N1861" s="24"/>
      <c r="O1861" s="24"/>
      <c r="P1861" s="24"/>
      <c r="Q1861" s="24"/>
      <c r="R1861" s="24"/>
      <c r="S1861" s="24"/>
      <c r="T1861" s="24"/>
      <c r="Z1861" s="25"/>
    </row>
    <row r="1862">
      <c r="A1862" s="16"/>
      <c r="B1862" s="17"/>
      <c r="C1862" s="24"/>
      <c r="D1862" s="25"/>
      <c r="E1862" s="24"/>
      <c r="F1862" s="25"/>
      <c r="G1862" s="24"/>
      <c r="H1862" s="25"/>
      <c r="I1862" s="24"/>
      <c r="J1862" s="25"/>
      <c r="K1862" s="25"/>
      <c r="L1862" s="24"/>
      <c r="M1862" s="24"/>
      <c r="N1862" s="24"/>
      <c r="O1862" s="24"/>
      <c r="P1862" s="24"/>
      <c r="Q1862" s="24"/>
      <c r="R1862" s="24"/>
      <c r="S1862" s="24"/>
      <c r="T1862" s="24"/>
      <c r="Z1862" s="25"/>
    </row>
    <row r="1863">
      <c r="A1863" s="16"/>
      <c r="B1863" s="17"/>
      <c r="C1863" s="24"/>
      <c r="D1863" s="25"/>
      <c r="E1863" s="24"/>
      <c r="F1863" s="25"/>
      <c r="G1863" s="24"/>
      <c r="H1863" s="25"/>
      <c r="I1863" s="24"/>
      <c r="J1863" s="25"/>
      <c r="K1863" s="25"/>
      <c r="L1863" s="24"/>
      <c r="M1863" s="24"/>
      <c r="N1863" s="24"/>
      <c r="O1863" s="24"/>
      <c r="P1863" s="24"/>
      <c r="Q1863" s="24"/>
      <c r="R1863" s="24"/>
      <c r="S1863" s="24"/>
      <c r="T1863" s="24"/>
      <c r="Z1863" s="25"/>
    </row>
    <row r="1864">
      <c r="A1864" s="16"/>
      <c r="B1864" s="17"/>
      <c r="C1864" s="24"/>
      <c r="D1864" s="25"/>
      <c r="E1864" s="24"/>
      <c r="F1864" s="25"/>
      <c r="G1864" s="24"/>
      <c r="H1864" s="25"/>
      <c r="I1864" s="24"/>
      <c r="J1864" s="25"/>
      <c r="K1864" s="25"/>
      <c r="L1864" s="24"/>
      <c r="M1864" s="24"/>
      <c r="N1864" s="24"/>
      <c r="O1864" s="24"/>
      <c r="P1864" s="24"/>
      <c r="Q1864" s="24"/>
      <c r="R1864" s="24"/>
      <c r="S1864" s="24"/>
      <c r="T1864" s="24"/>
      <c r="Z1864" s="25"/>
    </row>
    <row r="1865">
      <c r="A1865" s="16"/>
      <c r="B1865" s="17"/>
      <c r="C1865" s="24"/>
      <c r="D1865" s="25"/>
      <c r="E1865" s="24"/>
      <c r="F1865" s="25"/>
      <c r="G1865" s="24"/>
      <c r="H1865" s="25"/>
      <c r="I1865" s="24"/>
      <c r="J1865" s="25"/>
      <c r="K1865" s="25"/>
      <c r="L1865" s="24"/>
      <c r="M1865" s="24"/>
      <c r="N1865" s="24"/>
      <c r="O1865" s="24"/>
      <c r="P1865" s="24"/>
      <c r="Q1865" s="24"/>
      <c r="R1865" s="24"/>
      <c r="S1865" s="24"/>
      <c r="T1865" s="24"/>
      <c r="Z1865" s="25"/>
    </row>
    <row r="1866">
      <c r="A1866" s="16"/>
      <c r="B1866" s="17"/>
      <c r="C1866" s="24"/>
      <c r="D1866" s="25"/>
      <c r="E1866" s="24"/>
      <c r="F1866" s="25"/>
      <c r="G1866" s="24"/>
      <c r="H1866" s="25"/>
      <c r="I1866" s="24"/>
      <c r="J1866" s="25"/>
      <c r="K1866" s="25"/>
      <c r="L1866" s="24"/>
      <c r="M1866" s="24"/>
      <c r="N1866" s="24"/>
      <c r="O1866" s="24"/>
      <c r="P1866" s="24"/>
      <c r="Q1866" s="24"/>
      <c r="R1866" s="24"/>
      <c r="S1866" s="24"/>
      <c r="T1866" s="24"/>
      <c r="Z1866" s="25"/>
    </row>
    <row r="1867">
      <c r="A1867" s="16"/>
      <c r="B1867" s="17"/>
      <c r="C1867" s="24"/>
      <c r="D1867" s="25"/>
      <c r="E1867" s="24"/>
      <c r="F1867" s="25"/>
      <c r="G1867" s="24"/>
      <c r="H1867" s="25"/>
      <c r="I1867" s="24"/>
      <c r="J1867" s="25"/>
      <c r="K1867" s="25"/>
      <c r="L1867" s="24"/>
      <c r="M1867" s="24"/>
      <c r="N1867" s="24"/>
      <c r="O1867" s="24"/>
      <c r="P1867" s="24"/>
      <c r="Q1867" s="24"/>
      <c r="R1867" s="24"/>
      <c r="S1867" s="24"/>
      <c r="T1867" s="24"/>
      <c r="Z1867" s="25"/>
    </row>
    <row r="1868">
      <c r="A1868" s="16"/>
      <c r="B1868" s="17"/>
      <c r="C1868" s="24"/>
      <c r="D1868" s="25"/>
      <c r="E1868" s="24"/>
      <c r="F1868" s="25"/>
      <c r="G1868" s="24"/>
      <c r="H1868" s="25"/>
      <c r="I1868" s="24"/>
      <c r="J1868" s="25"/>
      <c r="K1868" s="25"/>
      <c r="L1868" s="24"/>
      <c r="M1868" s="24"/>
      <c r="N1868" s="24"/>
      <c r="O1868" s="24"/>
      <c r="P1868" s="24"/>
      <c r="Q1868" s="24"/>
      <c r="R1868" s="24"/>
      <c r="S1868" s="24"/>
      <c r="T1868" s="24"/>
      <c r="Z1868" s="25"/>
    </row>
    <row r="1869">
      <c r="A1869" s="16"/>
      <c r="B1869" s="17"/>
      <c r="C1869" s="24"/>
      <c r="D1869" s="25"/>
      <c r="E1869" s="24"/>
      <c r="F1869" s="25"/>
      <c r="G1869" s="24"/>
      <c r="H1869" s="25"/>
      <c r="I1869" s="24"/>
      <c r="J1869" s="25"/>
      <c r="K1869" s="25"/>
      <c r="L1869" s="24"/>
      <c r="M1869" s="24"/>
      <c r="N1869" s="24"/>
      <c r="O1869" s="24"/>
      <c r="P1869" s="24"/>
      <c r="Q1869" s="24"/>
      <c r="R1869" s="24"/>
      <c r="S1869" s="24"/>
      <c r="T1869" s="24"/>
      <c r="Z1869" s="25"/>
    </row>
    <row r="1870">
      <c r="A1870" s="16"/>
      <c r="B1870" s="17"/>
      <c r="C1870" s="24"/>
      <c r="D1870" s="25"/>
      <c r="E1870" s="24"/>
      <c r="F1870" s="25"/>
      <c r="G1870" s="24"/>
      <c r="H1870" s="25"/>
      <c r="I1870" s="24"/>
      <c r="J1870" s="25"/>
      <c r="K1870" s="25"/>
      <c r="L1870" s="24"/>
      <c r="M1870" s="24"/>
      <c r="N1870" s="24"/>
      <c r="O1870" s="24"/>
      <c r="P1870" s="24"/>
      <c r="Q1870" s="24"/>
      <c r="R1870" s="24"/>
      <c r="S1870" s="24"/>
      <c r="T1870" s="24"/>
      <c r="Z1870" s="25"/>
    </row>
    <row r="1871">
      <c r="A1871" s="16"/>
      <c r="B1871" s="17"/>
      <c r="C1871" s="24"/>
      <c r="D1871" s="25"/>
      <c r="E1871" s="24"/>
      <c r="F1871" s="25"/>
      <c r="G1871" s="24"/>
      <c r="H1871" s="25"/>
      <c r="I1871" s="24"/>
      <c r="J1871" s="25"/>
      <c r="K1871" s="25"/>
      <c r="L1871" s="24"/>
      <c r="M1871" s="24"/>
      <c r="N1871" s="24"/>
      <c r="O1871" s="24"/>
      <c r="P1871" s="24"/>
      <c r="Q1871" s="24"/>
      <c r="R1871" s="24"/>
      <c r="S1871" s="24"/>
      <c r="T1871" s="24"/>
      <c r="Z1871" s="25"/>
    </row>
    <row r="1872">
      <c r="A1872" s="16"/>
      <c r="B1872" s="17"/>
      <c r="C1872" s="24"/>
      <c r="D1872" s="25"/>
      <c r="E1872" s="24"/>
      <c r="F1872" s="25"/>
      <c r="G1872" s="24"/>
      <c r="H1872" s="25"/>
      <c r="I1872" s="24"/>
      <c r="J1872" s="25"/>
      <c r="K1872" s="25"/>
      <c r="L1872" s="24"/>
      <c r="M1872" s="24"/>
      <c r="N1872" s="24"/>
      <c r="O1872" s="24"/>
      <c r="P1872" s="24"/>
      <c r="Q1872" s="24"/>
      <c r="R1872" s="24"/>
      <c r="S1872" s="24"/>
      <c r="T1872" s="24"/>
      <c r="Z1872" s="25"/>
    </row>
    <row r="1873">
      <c r="A1873" s="16"/>
      <c r="B1873" s="17"/>
      <c r="C1873" s="24"/>
      <c r="D1873" s="25"/>
      <c r="E1873" s="24"/>
      <c r="F1873" s="25"/>
      <c r="G1873" s="24"/>
      <c r="H1873" s="25"/>
      <c r="I1873" s="24"/>
      <c r="J1873" s="25"/>
      <c r="K1873" s="25"/>
      <c r="L1873" s="24"/>
      <c r="M1873" s="24"/>
      <c r="N1873" s="24"/>
      <c r="O1873" s="24"/>
      <c r="P1873" s="24"/>
      <c r="Q1873" s="24"/>
      <c r="R1873" s="24"/>
      <c r="S1873" s="24"/>
      <c r="T1873" s="24"/>
      <c r="Z1873" s="25"/>
    </row>
    <row r="1874">
      <c r="A1874" s="16"/>
      <c r="B1874" s="17"/>
      <c r="C1874" s="24"/>
      <c r="D1874" s="25"/>
      <c r="E1874" s="24"/>
      <c r="F1874" s="25"/>
      <c r="G1874" s="24"/>
      <c r="H1874" s="25"/>
      <c r="I1874" s="24"/>
      <c r="J1874" s="25"/>
      <c r="K1874" s="25"/>
      <c r="L1874" s="24"/>
      <c r="M1874" s="24"/>
      <c r="N1874" s="24"/>
      <c r="O1874" s="24"/>
      <c r="P1874" s="24"/>
      <c r="Q1874" s="24"/>
      <c r="R1874" s="24"/>
      <c r="S1874" s="24"/>
      <c r="T1874" s="24"/>
      <c r="Z1874" s="25"/>
    </row>
    <row r="1875">
      <c r="A1875" s="16"/>
      <c r="B1875" s="17"/>
      <c r="C1875" s="24"/>
      <c r="D1875" s="25"/>
      <c r="E1875" s="24"/>
      <c r="F1875" s="25"/>
      <c r="G1875" s="24"/>
      <c r="H1875" s="25"/>
      <c r="I1875" s="24"/>
      <c r="J1875" s="25"/>
      <c r="K1875" s="25"/>
      <c r="L1875" s="24"/>
      <c r="M1875" s="24"/>
      <c r="N1875" s="24"/>
      <c r="O1875" s="24"/>
      <c r="P1875" s="24"/>
      <c r="Q1875" s="24"/>
      <c r="R1875" s="24"/>
      <c r="S1875" s="24"/>
      <c r="T1875" s="24"/>
      <c r="Z1875" s="25"/>
    </row>
    <row r="1876">
      <c r="A1876" s="16"/>
      <c r="B1876" s="17"/>
      <c r="C1876" s="24"/>
      <c r="D1876" s="25"/>
      <c r="E1876" s="24"/>
      <c r="F1876" s="25"/>
      <c r="G1876" s="24"/>
      <c r="H1876" s="25"/>
      <c r="I1876" s="24"/>
      <c r="J1876" s="25"/>
      <c r="K1876" s="25"/>
      <c r="L1876" s="24"/>
      <c r="M1876" s="24"/>
      <c r="N1876" s="24"/>
      <c r="O1876" s="24"/>
      <c r="P1876" s="24"/>
      <c r="Q1876" s="24"/>
      <c r="R1876" s="24"/>
      <c r="S1876" s="24"/>
      <c r="T1876" s="24"/>
      <c r="Z1876" s="25"/>
    </row>
    <row r="1877">
      <c r="A1877" s="16"/>
      <c r="B1877" s="17"/>
      <c r="C1877" s="24"/>
      <c r="D1877" s="25"/>
      <c r="E1877" s="24"/>
      <c r="F1877" s="25"/>
      <c r="G1877" s="24"/>
      <c r="H1877" s="25"/>
      <c r="I1877" s="24"/>
      <c r="J1877" s="25"/>
      <c r="K1877" s="25"/>
      <c r="L1877" s="24"/>
      <c r="M1877" s="24"/>
      <c r="N1877" s="24"/>
      <c r="O1877" s="24"/>
      <c r="P1877" s="24"/>
      <c r="Q1877" s="24"/>
      <c r="R1877" s="24"/>
      <c r="S1877" s="24"/>
      <c r="T1877" s="24"/>
      <c r="Z1877" s="25"/>
    </row>
    <row r="1878">
      <c r="A1878" s="16"/>
      <c r="B1878" s="17"/>
      <c r="C1878" s="24"/>
      <c r="D1878" s="25"/>
      <c r="E1878" s="24"/>
      <c r="F1878" s="25"/>
      <c r="G1878" s="24"/>
      <c r="H1878" s="25"/>
      <c r="I1878" s="24"/>
      <c r="J1878" s="25"/>
      <c r="K1878" s="25"/>
      <c r="L1878" s="24"/>
      <c r="M1878" s="24"/>
      <c r="N1878" s="24"/>
      <c r="O1878" s="24"/>
      <c r="P1878" s="24"/>
      <c r="Q1878" s="24"/>
      <c r="R1878" s="24"/>
      <c r="S1878" s="24"/>
      <c r="T1878" s="24"/>
      <c r="Z1878" s="25"/>
    </row>
    <row r="1879">
      <c r="A1879" s="16"/>
      <c r="B1879" s="17"/>
      <c r="C1879" s="24"/>
      <c r="D1879" s="25"/>
      <c r="E1879" s="24"/>
      <c r="F1879" s="25"/>
      <c r="G1879" s="24"/>
      <c r="H1879" s="25"/>
      <c r="I1879" s="24"/>
      <c r="J1879" s="25"/>
      <c r="K1879" s="25"/>
      <c r="L1879" s="24"/>
      <c r="M1879" s="24"/>
      <c r="N1879" s="24"/>
      <c r="O1879" s="24"/>
      <c r="P1879" s="24"/>
      <c r="Q1879" s="24"/>
      <c r="R1879" s="24"/>
      <c r="S1879" s="24"/>
      <c r="T1879" s="24"/>
      <c r="Z1879" s="25"/>
    </row>
    <row r="1880">
      <c r="A1880" s="16"/>
      <c r="B1880" s="17"/>
      <c r="C1880" s="24"/>
      <c r="D1880" s="25"/>
      <c r="E1880" s="24"/>
      <c r="F1880" s="25"/>
      <c r="G1880" s="24"/>
      <c r="H1880" s="25"/>
      <c r="I1880" s="24"/>
      <c r="J1880" s="25"/>
      <c r="K1880" s="25"/>
      <c r="L1880" s="24"/>
      <c r="M1880" s="24"/>
      <c r="N1880" s="24"/>
      <c r="O1880" s="24"/>
      <c r="P1880" s="24"/>
      <c r="Q1880" s="24"/>
      <c r="R1880" s="24"/>
      <c r="S1880" s="24"/>
      <c r="T1880" s="24"/>
      <c r="Z1880" s="25"/>
    </row>
    <row r="1881">
      <c r="A1881" s="16"/>
      <c r="B1881" s="17"/>
      <c r="C1881" s="24"/>
      <c r="D1881" s="25"/>
      <c r="E1881" s="24"/>
      <c r="F1881" s="25"/>
      <c r="G1881" s="24"/>
      <c r="H1881" s="25"/>
      <c r="I1881" s="24"/>
      <c r="J1881" s="25"/>
      <c r="K1881" s="25"/>
      <c r="L1881" s="24"/>
      <c r="M1881" s="24"/>
      <c r="N1881" s="24"/>
      <c r="O1881" s="24"/>
      <c r="P1881" s="24"/>
      <c r="Q1881" s="24"/>
      <c r="R1881" s="24"/>
      <c r="S1881" s="24"/>
      <c r="T1881" s="24"/>
      <c r="Z1881" s="25"/>
    </row>
    <row r="1882">
      <c r="A1882" s="16"/>
      <c r="B1882" s="17"/>
      <c r="C1882" s="24"/>
      <c r="D1882" s="25"/>
      <c r="E1882" s="24"/>
      <c r="F1882" s="25"/>
      <c r="G1882" s="24"/>
      <c r="H1882" s="25"/>
      <c r="I1882" s="24"/>
      <c r="J1882" s="25"/>
      <c r="K1882" s="25"/>
      <c r="L1882" s="24"/>
      <c r="M1882" s="24"/>
      <c r="N1882" s="24"/>
      <c r="O1882" s="24"/>
      <c r="P1882" s="24"/>
      <c r="Q1882" s="24"/>
      <c r="R1882" s="24"/>
      <c r="S1882" s="24"/>
      <c r="T1882" s="24"/>
      <c r="Z1882" s="25"/>
    </row>
    <row r="1883">
      <c r="A1883" s="16"/>
      <c r="B1883" s="17"/>
      <c r="C1883" s="24"/>
      <c r="D1883" s="25"/>
      <c r="E1883" s="24"/>
      <c r="F1883" s="25"/>
      <c r="G1883" s="24"/>
      <c r="H1883" s="25"/>
      <c r="I1883" s="24"/>
      <c r="J1883" s="25"/>
      <c r="K1883" s="25"/>
      <c r="L1883" s="24"/>
      <c r="M1883" s="24"/>
      <c r="N1883" s="24"/>
      <c r="O1883" s="24"/>
      <c r="P1883" s="24"/>
      <c r="Q1883" s="24"/>
      <c r="R1883" s="24"/>
      <c r="S1883" s="24"/>
      <c r="T1883" s="24"/>
      <c r="Z1883" s="25"/>
    </row>
    <row r="1884">
      <c r="A1884" s="16"/>
      <c r="B1884" s="17"/>
      <c r="C1884" s="24"/>
      <c r="D1884" s="25"/>
      <c r="E1884" s="24"/>
      <c r="F1884" s="25"/>
      <c r="G1884" s="24"/>
      <c r="H1884" s="25"/>
      <c r="I1884" s="24"/>
      <c r="J1884" s="25"/>
      <c r="K1884" s="25"/>
      <c r="L1884" s="24"/>
      <c r="M1884" s="24"/>
      <c r="N1884" s="24"/>
      <c r="O1884" s="24"/>
      <c r="P1884" s="24"/>
      <c r="Q1884" s="24"/>
      <c r="R1884" s="24"/>
      <c r="S1884" s="24"/>
      <c r="T1884" s="24"/>
      <c r="Z1884" s="25"/>
    </row>
    <row r="1885">
      <c r="A1885" s="16"/>
      <c r="B1885" s="17"/>
      <c r="C1885" s="24"/>
      <c r="D1885" s="25"/>
      <c r="E1885" s="24"/>
      <c r="F1885" s="25"/>
      <c r="G1885" s="24"/>
      <c r="H1885" s="25"/>
      <c r="I1885" s="24"/>
      <c r="J1885" s="25"/>
      <c r="K1885" s="25"/>
      <c r="L1885" s="24"/>
      <c r="M1885" s="24"/>
      <c r="N1885" s="24"/>
      <c r="O1885" s="24"/>
      <c r="P1885" s="24"/>
      <c r="Q1885" s="24"/>
      <c r="R1885" s="24"/>
      <c r="S1885" s="24"/>
      <c r="T1885" s="24"/>
      <c r="Z1885" s="25"/>
    </row>
    <row r="1886">
      <c r="A1886" s="16"/>
      <c r="B1886" s="17"/>
      <c r="C1886" s="24"/>
      <c r="D1886" s="25"/>
      <c r="E1886" s="24"/>
      <c r="F1886" s="25"/>
      <c r="G1886" s="24"/>
      <c r="H1886" s="25"/>
      <c r="I1886" s="24"/>
      <c r="J1886" s="25"/>
      <c r="K1886" s="25"/>
      <c r="L1886" s="24"/>
      <c r="M1886" s="24"/>
      <c r="N1886" s="24"/>
      <c r="O1886" s="24"/>
      <c r="P1886" s="24"/>
      <c r="Q1886" s="24"/>
      <c r="R1886" s="24"/>
      <c r="S1886" s="24"/>
      <c r="T1886" s="24"/>
      <c r="Z1886" s="25"/>
    </row>
    <row r="1887">
      <c r="A1887" s="16"/>
      <c r="B1887" s="17"/>
      <c r="C1887" s="24"/>
      <c r="D1887" s="25"/>
      <c r="E1887" s="24"/>
      <c r="F1887" s="25"/>
      <c r="G1887" s="24"/>
      <c r="H1887" s="25"/>
      <c r="I1887" s="24"/>
      <c r="J1887" s="25"/>
      <c r="K1887" s="25"/>
      <c r="L1887" s="24"/>
      <c r="M1887" s="24"/>
      <c r="N1887" s="24"/>
      <c r="O1887" s="24"/>
      <c r="P1887" s="24"/>
      <c r="Q1887" s="24"/>
      <c r="R1887" s="24"/>
      <c r="S1887" s="24"/>
      <c r="T1887" s="24"/>
      <c r="Z1887" s="25"/>
    </row>
    <row r="1888">
      <c r="A1888" s="16"/>
      <c r="B1888" s="17"/>
      <c r="C1888" s="24"/>
      <c r="D1888" s="25"/>
      <c r="E1888" s="24"/>
      <c r="F1888" s="25"/>
      <c r="G1888" s="24"/>
      <c r="H1888" s="25"/>
      <c r="I1888" s="24"/>
      <c r="J1888" s="25"/>
      <c r="K1888" s="25"/>
      <c r="L1888" s="24"/>
      <c r="M1888" s="24"/>
      <c r="N1888" s="24"/>
      <c r="O1888" s="24"/>
      <c r="P1888" s="24"/>
      <c r="Q1888" s="24"/>
      <c r="R1888" s="24"/>
      <c r="S1888" s="24"/>
      <c r="T1888" s="24"/>
      <c r="Z1888" s="25"/>
    </row>
    <row r="1889">
      <c r="A1889" s="16"/>
      <c r="B1889" s="17"/>
      <c r="C1889" s="24"/>
      <c r="D1889" s="25"/>
      <c r="E1889" s="24"/>
      <c r="F1889" s="25"/>
      <c r="G1889" s="24"/>
      <c r="H1889" s="25"/>
      <c r="I1889" s="24"/>
      <c r="J1889" s="25"/>
      <c r="K1889" s="25"/>
      <c r="L1889" s="24"/>
      <c r="M1889" s="24"/>
      <c r="N1889" s="24"/>
      <c r="O1889" s="24"/>
      <c r="P1889" s="24"/>
      <c r="Q1889" s="24"/>
      <c r="R1889" s="24"/>
      <c r="S1889" s="24"/>
      <c r="T1889" s="24"/>
      <c r="Z1889" s="25"/>
    </row>
    <row r="1890">
      <c r="A1890" s="16"/>
      <c r="B1890" s="17"/>
      <c r="C1890" s="24"/>
      <c r="D1890" s="25"/>
      <c r="E1890" s="24"/>
      <c r="F1890" s="25"/>
      <c r="G1890" s="24"/>
      <c r="H1890" s="25"/>
      <c r="I1890" s="24"/>
      <c r="J1890" s="25"/>
      <c r="K1890" s="25"/>
      <c r="L1890" s="24"/>
      <c r="M1890" s="24"/>
      <c r="N1890" s="24"/>
      <c r="O1890" s="24"/>
      <c r="P1890" s="24"/>
      <c r="Q1890" s="24"/>
      <c r="R1890" s="24"/>
      <c r="S1890" s="24"/>
      <c r="T1890" s="24"/>
      <c r="Z1890" s="25"/>
    </row>
    <row r="1891">
      <c r="A1891" s="16"/>
      <c r="B1891" s="17"/>
      <c r="C1891" s="24"/>
      <c r="D1891" s="25"/>
      <c r="E1891" s="24"/>
      <c r="F1891" s="25"/>
      <c r="G1891" s="24"/>
      <c r="H1891" s="25"/>
      <c r="I1891" s="24"/>
      <c r="J1891" s="25"/>
      <c r="K1891" s="25"/>
      <c r="L1891" s="24"/>
      <c r="M1891" s="24"/>
      <c r="N1891" s="24"/>
      <c r="O1891" s="24"/>
      <c r="P1891" s="24"/>
      <c r="Q1891" s="24"/>
      <c r="R1891" s="24"/>
      <c r="S1891" s="24"/>
      <c r="T1891" s="24"/>
      <c r="Z1891" s="25"/>
    </row>
    <row r="1892">
      <c r="A1892" s="16"/>
      <c r="B1892" s="17"/>
      <c r="C1892" s="24"/>
      <c r="D1892" s="25"/>
      <c r="E1892" s="24"/>
      <c r="F1892" s="25"/>
      <c r="G1892" s="24"/>
      <c r="H1892" s="25"/>
      <c r="I1892" s="24"/>
      <c r="J1892" s="25"/>
      <c r="K1892" s="25"/>
      <c r="L1892" s="24"/>
      <c r="M1892" s="24"/>
      <c r="N1892" s="24"/>
      <c r="O1892" s="24"/>
      <c r="P1892" s="24"/>
      <c r="Q1892" s="24"/>
      <c r="R1892" s="24"/>
      <c r="S1892" s="24"/>
      <c r="T1892" s="24"/>
      <c r="Z1892" s="25"/>
    </row>
    <row r="1893">
      <c r="A1893" s="16"/>
      <c r="B1893" s="17"/>
      <c r="C1893" s="24"/>
      <c r="D1893" s="25"/>
      <c r="E1893" s="24"/>
      <c r="F1893" s="25"/>
      <c r="G1893" s="24"/>
      <c r="H1893" s="25"/>
      <c r="I1893" s="24"/>
      <c r="J1893" s="25"/>
      <c r="K1893" s="25"/>
      <c r="L1893" s="24"/>
      <c r="M1893" s="24"/>
      <c r="N1893" s="24"/>
      <c r="O1893" s="24"/>
      <c r="P1893" s="24"/>
      <c r="Q1893" s="24"/>
      <c r="R1893" s="24"/>
      <c r="S1893" s="24"/>
      <c r="T1893" s="24"/>
      <c r="Z1893" s="25"/>
    </row>
    <row r="1894">
      <c r="A1894" s="16"/>
      <c r="B1894" s="17"/>
      <c r="C1894" s="24"/>
      <c r="D1894" s="25"/>
      <c r="E1894" s="24"/>
      <c r="F1894" s="25"/>
      <c r="G1894" s="24"/>
      <c r="H1894" s="25"/>
      <c r="I1894" s="24"/>
      <c r="J1894" s="25"/>
      <c r="K1894" s="25"/>
      <c r="L1894" s="24"/>
      <c r="M1894" s="24"/>
      <c r="N1894" s="24"/>
      <c r="O1894" s="24"/>
      <c r="P1894" s="24"/>
      <c r="Q1894" s="24"/>
      <c r="R1894" s="24"/>
      <c r="S1894" s="24"/>
      <c r="T1894" s="24"/>
      <c r="Z1894" s="25"/>
    </row>
    <row r="1895">
      <c r="A1895" s="16"/>
      <c r="B1895" s="17"/>
      <c r="C1895" s="24"/>
      <c r="D1895" s="25"/>
      <c r="E1895" s="24"/>
      <c r="F1895" s="25"/>
      <c r="G1895" s="24"/>
      <c r="H1895" s="25"/>
      <c r="I1895" s="24"/>
      <c r="J1895" s="25"/>
      <c r="K1895" s="25"/>
      <c r="L1895" s="24"/>
      <c r="M1895" s="24"/>
      <c r="N1895" s="24"/>
      <c r="O1895" s="24"/>
      <c r="P1895" s="24"/>
      <c r="Q1895" s="24"/>
      <c r="R1895" s="24"/>
      <c r="S1895" s="24"/>
      <c r="T1895" s="24"/>
      <c r="Z1895" s="25"/>
    </row>
    <row r="1896">
      <c r="A1896" s="16"/>
      <c r="B1896" s="17"/>
      <c r="C1896" s="24"/>
      <c r="D1896" s="25"/>
      <c r="E1896" s="24"/>
      <c r="F1896" s="25"/>
      <c r="G1896" s="24"/>
      <c r="H1896" s="25"/>
      <c r="I1896" s="24"/>
      <c r="J1896" s="25"/>
      <c r="K1896" s="25"/>
      <c r="L1896" s="24"/>
      <c r="M1896" s="24"/>
      <c r="N1896" s="24"/>
      <c r="O1896" s="24"/>
      <c r="P1896" s="24"/>
      <c r="Q1896" s="24"/>
      <c r="R1896" s="24"/>
      <c r="S1896" s="24"/>
      <c r="T1896" s="24"/>
      <c r="Z1896" s="25"/>
    </row>
    <row r="1897">
      <c r="A1897" s="16"/>
      <c r="B1897" s="17"/>
      <c r="C1897" s="24"/>
      <c r="D1897" s="25"/>
      <c r="E1897" s="24"/>
      <c r="F1897" s="25"/>
      <c r="G1897" s="24"/>
      <c r="H1897" s="25"/>
      <c r="I1897" s="24"/>
      <c r="J1897" s="25"/>
      <c r="K1897" s="25"/>
      <c r="L1897" s="24"/>
      <c r="M1897" s="24"/>
      <c r="N1897" s="24"/>
      <c r="O1897" s="24"/>
      <c r="P1897" s="24"/>
      <c r="Q1897" s="24"/>
      <c r="R1897" s="24"/>
      <c r="S1897" s="24"/>
      <c r="T1897" s="24"/>
      <c r="Z1897" s="25"/>
    </row>
    <row r="1898">
      <c r="A1898" s="16"/>
      <c r="B1898" s="17"/>
      <c r="C1898" s="24"/>
      <c r="D1898" s="25"/>
      <c r="E1898" s="24"/>
      <c r="F1898" s="25"/>
      <c r="G1898" s="24"/>
      <c r="H1898" s="25"/>
      <c r="I1898" s="24"/>
      <c r="J1898" s="25"/>
      <c r="K1898" s="25"/>
      <c r="L1898" s="24"/>
      <c r="M1898" s="24"/>
      <c r="N1898" s="24"/>
      <c r="O1898" s="24"/>
      <c r="P1898" s="24"/>
      <c r="Q1898" s="24"/>
      <c r="R1898" s="24"/>
      <c r="S1898" s="24"/>
      <c r="T1898" s="24"/>
      <c r="Z1898" s="25"/>
    </row>
    <row r="1899">
      <c r="A1899" s="16"/>
      <c r="B1899" s="17"/>
      <c r="C1899" s="24"/>
      <c r="D1899" s="25"/>
      <c r="E1899" s="24"/>
      <c r="F1899" s="25"/>
      <c r="G1899" s="24"/>
      <c r="H1899" s="25"/>
      <c r="I1899" s="24"/>
      <c r="J1899" s="25"/>
      <c r="K1899" s="25"/>
      <c r="L1899" s="24"/>
      <c r="M1899" s="24"/>
      <c r="N1899" s="24"/>
      <c r="O1899" s="24"/>
      <c r="P1899" s="24"/>
      <c r="Q1899" s="24"/>
      <c r="R1899" s="24"/>
      <c r="S1899" s="24"/>
      <c r="T1899" s="24"/>
      <c r="Z1899" s="25"/>
    </row>
    <row r="1900">
      <c r="A1900" s="16"/>
      <c r="B1900" s="17"/>
      <c r="C1900" s="24"/>
      <c r="D1900" s="25"/>
      <c r="E1900" s="24"/>
      <c r="F1900" s="25"/>
      <c r="G1900" s="24"/>
      <c r="H1900" s="25"/>
      <c r="I1900" s="24"/>
      <c r="J1900" s="25"/>
      <c r="K1900" s="25"/>
      <c r="L1900" s="24"/>
      <c r="M1900" s="24"/>
      <c r="N1900" s="24"/>
      <c r="O1900" s="24"/>
      <c r="P1900" s="24"/>
      <c r="Q1900" s="24"/>
      <c r="R1900" s="24"/>
      <c r="S1900" s="24"/>
      <c r="T1900" s="24"/>
      <c r="Z1900" s="25"/>
    </row>
    <row r="1901">
      <c r="A1901" s="16"/>
      <c r="B1901" s="17"/>
      <c r="C1901" s="24"/>
      <c r="D1901" s="25"/>
      <c r="E1901" s="24"/>
      <c r="F1901" s="25"/>
      <c r="G1901" s="24"/>
      <c r="H1901" s="25"/>
      <c r="I1901" s="24"/>
      <c r="J1901" s="25"/>
      <c r="K1901" s="25"/>
      <c r="L1901" s="24"/>
      <c r="M1901" s="24"/>
      <c r="N1901" s="24"/>
      <c r="O1901" s="24"/>
      <c r="P1901" s="24"/>
      <c r="Q1901" s="24"/>
      <c r="R1901" s="24"/>
      <c r="S1901" s="24"/>
      <c r="T1901" s="24"/>
      <c r="Z1901" s="25"/>
    </row>
    <row r="1902">
      <c r="A1902" s="16"/>
      <c r="B1902" s="17"/>
      <c r="C1902" s="24"/>
      <c r="D1902" s="25"/>
      <c r="E1902" s="24"/>
      <c r="F1902" s="25"/>
      <c r="G1902" s="24"/>
      <c r="H1902" s="25"/>
      <c r="I1902" s="24"/>
      <c r="J1902" s="25"/>
      <c r="K1902" s="25"/>
      <c r="L1902" s="24"/>
      <c r="M1902" s="24"/>
      <c r="N1902" s="24"/>
      <c r="O1902" s="24"/>
      <c r="P1902" s="24"/>
      <c r="Q1902" s="24"/>
      <c r="R1902" s="24"/>
      <c r="S1902" s="24"/>
      <c r="T1902" s="24"/>
      <c r="Z1902" s="25"/>
    </row>
    <row r="1903">
      <c r="A1903" s="16"/>
      <c r="B1903" s="17"/>
      <c r="C1903" s="24"/>
      <c r="D1903" s="25"/>
      <c r="E1903" s="24"/>
      <c r="F1903" s="25"/>
      <c r="G1903" s="24"/>
      <c r="H1903" s="25"/>
      <c r="I1903" s="24"/>
      <c r="J1903" s="25"/>
      <c r="K1903" s="25"/>
      <c r="L1903" s="24"/>
      <c r="M1903" s="24"/>
      <c r="N1903" s="24"/>
      <c r="O1903" s="24"/>
      <c r="P1903" s="24"/>
      <c r="Q1903" s="24"/>
      <c r="R1903" s="24"/>
      <c r="S1903" s="24"/>
      <c r="T1903" s="24"/>
      <c r="Z1903" s="25"/>
    </row>
    <row r="1904">
      <c r="A1904" s="16"/>
      <c r="B1904" s="17"/>
      <c r="C1904" s="24"/>
      <c r="D1904" s="25"/>
      <c r="E1904" s="24"/>
      <c r="F1904" s="25"/>
      <c r="G1904" s="24"/>
      <c r="H1904" s="25"/>
      <c r="I1904" s="24"/>
      <c r="J1904" s="25"/>
      <c r="K1904" s="25"/>
      <c r="L1904" s="24"/>
      <c r="M1904" s="24"/>
      <c r="N1904" s="24"/>
      <c r="O1904" s="24"/>
      <c r="P1904" s="24"/>
      <c r="Q1904" s="24"/>
      <c r="R1904" s="24"/>
      <c r="S1904" s="24"/>
      <c r="T1904" s="24"/>
      <c r="Z1904" s="25"/>
    </row>
    <row r="1905">
      <c r="A1905" s="16"/>
      <c r="B1905" s="17"/>
      <c r="C1905" s="24"/>
      <c r="D1905" s="25"/>
      <c r="E1905" s="24"/>
      <c r="F1905" s="25"/>
      <c r="G1905" s="24"/>
      <c r="H1905" s="25"/>
      <c r="I1905" s="24"/>
      <c r="J1905" s="25"/>
      <c r="K1905" s="25"/>
      <c r="L1905" s="24"/>
      <c r="M1905" s="24"/>
      <c r="N1905" s="24"/>
      <c r="O1905" s="24"/>
      <c r="P1905" s="24"/>
      <c r="Q1905" s="24"/>
      <c r="R1905" s="24"/>
      <c r="S1905" s="24"/>
      <c r="T1905" s="24"/>
      <c r="Z1905" s="25"/>
    </row>
    <row r="1906">
      <c r="A1906" s="16"/>
      <c r="B1906" s="17"/>
      <c r="C1906" s="24"/>
      <c r="D1906" s="25"/>
      <c r="E1906" s="24"/>
      <c r="F1906" s="25"/>
      <c r="G1906" s="24"/>
      <c r="H1906" s="25"/>
      <c r="I1906" s="24"/>
      <c r="J1906" s="25"/>
      <c r="K1906" s="25"/>
      <c r="L1906" s="24"/>
      <c r="M1906" s="24"/>
      <c r="N1906" s="24"/>
      <c r="O1906" s="24"/>
      <c r="P1906" s="24"/>
      <c r="Q1906" s="24"/>
      <c r="R1906" s="24"/>
      <c r="S1906" s="24"/>
      <c r="T1906" s="24"/>
      <c r="Z1906" s="25"/>
    </row>
    <row r="1907">
      <c r="A1907" s="16"/>
      <c r="B1907" s="17"/>
      <c r="C1907" s="24"/>
      <c r="D1907" s="25"/>
      <c r="E1907" s="24"/>
      <c r="F1907" s="25"/>
      <c r="G1907" s="24"/>
      <c r="H1907" s="25"/>
      <c r="I1907" s="24"/>
      <c r="J1907" s="25"/>
      <c r="K1907" s="25"/>
      <c r="L1907" s="24"/>
      <c r="M1907" s="24"/>
      <c r="N1907" s="24"/>
      <c r="O1907" s="24"/>
      <c r="P1907" s="24"/>
      <c r="Q1907" s="24"/>
      <c r="R1907" s="24"/>
      <c r="S1907" s="24"/>
      <c r="T1907" s="24"/>
      <c r="Z1907" s="25"/>
    </row>
    <row r="1908">
      <c r="A1908" s="16"/>
      <c r="B1908" s="17"/>
      <c r="C1908" s="24"/>
      <c r="D1908" s="25"/>
      <c r="E1908" s="24"/>
      <c r="F1908" s="25"/>
      <c r="G1908" s="24"/>
      <c r="H1908" s="25"/>
      <c r="I1908" s="24"/>
      <c r="J1908" s="25"/>
      <c r="K1908" s="25"/>
      <c r="L1908" s="24"/>
      <c r="M1908" s="24"/>
      <c r="N1908" s="24"/>
      <c r="O1908" s="24"/>
      <c r="P1908" s="24"/>
      <c r="Q1908" s="24"/>
      <c r="R1908" s="24"/>
      <c r="S1908" s="24"/>
      <c r="T1908" s="24"/>
      <c r="Z1908" s="25"/>
    </row>
    <row r="1909">
      <c r="A1909" s="16"/>
      <c r="B1909" s="17"/>
      <c r="C1909" s="24"/>
      <c r="D1909" s="25"/>
      <c r="E1909" s="24"/>
      <c r="F1909" s="25"/>
      <c r="G1909" s="24"/>
      <c r="H1909" s="25"/>
      <c r="I1909" s="24"/>
      <c r="J1909" s="25"/>
      <c r="K1909" s="25"/>
      <c r="L1909" s="24"/>
      <c r="M1909" s="24"/>
      <c r="N1909" s="24"/>
      <c r="O1909" s="24"/>
      <c r="P1909" s="24"/>
      <c r="Q1909" s="24"/>
      <c r="R1909" s="24"/>
      <c r="S1909" s="24"/>
      <c r="T1909" s="24"/>
      <c r="Z1909" s="25"/>
    </row>
    <row r="1910">
      <c r="A1910" s="16"/>
      <c r="B1910" s="17"/>
      <c r="C1910" s="24"/>
      <c r="D1910" s="25"/>
      <c r="E1910" s="24"/>
      <c r="F1910" s="25"/>
      <c r="G1910" s="24"/>
      <c r="H1910" s="25"/>
      <c r="I1910" s="24"/>
      <c r="J1910" s="25"/>
      <c r="K1910" s="25"/>
      <c r="L1910" s="24"/>
      <c r="M1910" s="24"/>
      <c r="N1910" s="24"/>
      <c r="O1910" s="24"/>
      <c r="P1910" s="24"/>
      <c r="Q1910" s="24"/>
      <c r="R1910" s="24"/>
      <c r="S1910" s="24"/>
      <c r="T1910" s="24"/>
      <c r="Z1910" s="25"/>
    </row>
    <row r="1911">
      <c r="A1911" s="16"/>
      <c r="B1911" s="17"/>
      <c r="C1911" s="24"/>
      <c r="D1911" s="25"/>
      <c r="E1911" s="24"/>
      <c r="F1911" s="25"/>
      <c r="G1911" s="24"/>
      <c r="H1911" s="25"/>
      <c r="I1911" s="24"/>
      <c r="J1911" s="25"/>
      <c r="K1911" s="25"/>
      <c r="L1911" s="24"/>
      <c r="M1911" s="24"/>
      <c r="N1911" s="24"/>
      <c r="O1911" s="24"/>
      <c r="P1911" s="24"/>
      <c r="Q1911" s="24"/>
      <c r="R1911" s="24"/>
      <c r="S1911" s="24"/>
      <c r="T1911" s="24"/>
      <c r="Z1911" s="25"/>
    </row>
    <row r="1912">
      <c r="A1912" s="16"/>
      <c r="B1912" s="17"/>
      <c r="C1912" s="24"/>
      <c r="D1912" s="25"/>
      <c r="E1912" s="24"/>
      <c r="F1912" s="25"/>
      <c r="G1912" s="24"/>
      <c r="H1912" s="25"/>
      <c r="I1912" s="24"/>
      <c r="J1912" s="25"/>
      <c r="K1912" s="25"/>
      <c r="L1912" s="24"/>
      <c r="M1912" s="24"/>
      <c r="N1912" s="24"/>
      <c r="O1912" s="24"/>
      <c r="P1912" s="24"/>
      <c r="Q1912" s="24"/>
      <c r="R1912" s="24"/>
      <c r="S1912" s="24"/>
      <c r="T1912" s="24"/>
      <c r="Z1912" s="25"/>
    </row>
    <row r="1913">
      <c r="A1913" s="16"/>
      <c r="B1913" s="17"/>
      <c r="C1913" s="24"/>
      <c r="D1913" s="25"/>
      <c r="E1913" s="24"/>
      <c r="F1913" s="25"/>
      <c r="G1913" s="24"/>
      <c r="H1913" s="25"/>
      <c r="I1913" s="24"/>
      <c r="J1913" s="25"/>
      <c r="K1913" s="25"/>
      <c r="L1913" s="24"/>
      <c r="M1913" s="24"/>
      <c r="N1913" s="24"/>
      <c r="O1913" s="24"/>
      <c r="P1913" s="24"/>
      <c r="Q1913" s="24"/>
      <c r="R1913" s="24"/>
      <c r="S1913" s="24"/>
      <c r="T1913" s="24"/>
      <c r="Z1913" s="25"/>
    </row>
    <row r="1914">
      <c r="A1914" s="16"/>
      <c r="B1914" s="17"/>
      <c r="C1914" s="24"/>
      <c r="D1914" s="25"/>
      <c r="E1914" s="24"/>
      <c r="F1914" s="25"/>
      <c r="G1914" s="24"/>
      <c r="H1914" s="25"/>
      <c r="I1914" s="24"/>
      <c r="J1914" s="25"/>
      <c r="K1914" s="25"/>
      <c r="L1914" s="24"/>
      <c r="M1914" s="24"/>
      <c r="N1914" s="24"/>
      <c r="O1914" s="24"/>
      <c r="P1914" s="24"/>
      <c r="Q1914" s="24"/>
      <c r="R1914" s="24"/>
      <c r="S1914" s="24"/>
      <c r="T1914" s="24"/>
      <c r="Z1914" s="25"/>
    </row>
    <row r="1915">
      <c r="A1915" s="16"/>
      <c r="B1915" s="17"/>
      <c r="C1915" s="24"/>
      <c r="D1915" s="25"/>
      <c r="E1915" s="24"/>
      <c r="F1915" s="25"/>
      <c r="G1915" s="24"/>
      <c r="H1915" s="25"/>
      <c r="I1915" s="24"/>
      <c r="J1915" s="25"/>
      <c r="K1915" s="25"/>
      <c r="L1915" s="24"/>
      <c r="M1915" s="24"/>
      <c r="N1915" s="24"/>
      <c r="O1915" s="24"/>
      <c r="P1915" s="24"/>
      <c r="Q1915" s="24"/>
      <c r="R1915" s="24"/>
      <c r="S1915" s="24"/>
      <c r="T1915" s="24"/>
      <c r="Z1915" s="25"/>
    </row>
    <row r="1916">
      <c r="A1916" s="16"/>
      <c r="B1916" s="17"/>
      <c r="C1916" s="24"/>
      <c r="D1916" s="25"/>
      <c r="E1916" s="24"/>
      <c r="F1916" s="25"/>
      <c r="G1916" s="24"/>
      <c r="H1916" s="25"/>
      <c r="I1916" s="24"/>
      <c r="J1916" s="25"/>
      <c r="K1916" s="25"/>
      <c r="L1916" s="24"/>
      <c r="M1916" s="24"/>
      <c r="N1916" s="24"/>
      <c r="O1916" s="24"/>
      <c r="P1916" s="24"/>
      <c r="Q1916" s="24"/>
      <c r="R1916" s="24"/>
      <c r="S1916" s="24"/>
      <c r="T1916" s="24"/>
      <c r="Z1916" s="25"/>
    </row>
    <row r="1917">
      <c r="A1917" s="16"/>
      <c r="B1917" s="17"/>
      <c r="C1917" s="24"/>
      <c r="D1917" s="25"/>
      <c r="E1917" s="24"/>
      <c r="F1917" s="25"/>
      <c r="G1917" s="24"/>
      <c r="H1917" s="25"/>
      <c r="I1917" s="24"/>
      <c r="J1917" s="25"/>
      <c r="K1917" s="25"/>
      <c r="L1917" s="24"/>
      <c r="M1917" s="24"/>
      <c r="N1917" s="24"/>
      <c r="O1917" s="24"/>
      <c r="P1917" s="24"/>
      <c r="Q1917" s="24"/>
      <c r="R1917" s="24"/>
      <c r="S1917" s="24"/>
      <c r="T1917" s="24"/>
      <c r="Z1917" s="25"/>
    </row>
    <row r="1918">
      <c r="A1918" s="16"/>
      <c r="B1918" s="17"/>
      <c r="C1918" s="24"/>
      <c r="D1918" s="25"/>
      <c r="E1918" s="24"/>
      <c r="F1918" s="25"/>
      <c r="G1918" s="24"/>
      <c r="H1918" s="25"/>
      <c r="I1918" s="24"/>
      <c r="J1918" s="25"/>
      <c r="K1918" s="25"/>
      <c r="L1918" s="24"/>
      <c r="M1918" s="24"/>
      <c r="N1918" s="24"/>
      <c r="O1918" s="24"/>
      <c r="P1918" s="24"/>
      <c r="Q1918" s="24"/>
      <c r="R1918" s="24"/>
      <c r="S1918" s="24"/>
      <c r="T1918" s="24"/>
      <c r="Z1918" s="25"/>
    </row>
    <row r="1919">
      <c r="A1919" s="16"/>
      <c r="B1919" s="17"/>
      <c r="C1919" s="24"/>
      <c r="D1919" s="25"/>
      <c r="E1919" s="24"/>
      <c r="F1919" s="25"/>
      <c r="G1919" s="24"/>
      <c r="H1919" s="25"/>
      <c r="I1919" s="24"/>
      <c r="J1919" s="25"/>
      <c r="K1919" s="25"/>
      <c r="L1919" s="24"/>
      <c r="M1919" s="24"/>
      <c r="N1919" s="24"/>
      <c r="O1919" s="24"/>
      <c r="P1919" s="24"/>
      <c r="Q1919" s="24"/>
      <c r="R1919" s="24"/>
      <c r="S1919" s="24"/>
      <c r="T1919" s="24"/>
      <c r="Z1919" s="25"/>
    </row>
    <row r="1920">
      <c r="A1920" s="16"/>
      <c r="B1920" s="17"/>
      <c r="C1920" s="24"/>
      <c r="D1920" s="25"/>
      <c r="E1920" s="24"/>
      <c r="F1920" s="25"/>
      <c r="G1920" s="24"/>
      <c r="H1920" s="25"/>
      <c r="I1920" s="24"/>
      <c r="J1920" s="25"/>
      <c r="K1920" s="25"/>
      <c r="L1920" s="24"/>
      <c r="M1920" s="24"/>
      <c r="N1920" s="24"/>
      <c r="O1920" s="24"/>
      <c r="P1920" s="24"/>
      <c r="Q1920" s="24"/>
      <c r="R1920" s="24"/>
      <c r="S1920" s="24"/>
      <c r="T1920" s="24"/>
      <c r="Z1920" s="25"/>
    </row>
    <row r="1921">
      <c r="A1921" s="16"/>
      <c r="B1921" s="17"/>
      <c r="C1921" s="24"/>
      <c r="D1921" s="25"/>
      <c r="E1921" s="24"/>
      <c r="F1921" s="25"/>
      <c r="G1921" s="24"/>
      <c r="H1921" s="25"/>
      <c r="I1921" s="24"/>
      <c r="J1921" s="25"/>
      <c r="K1921" s="25"/>
      <c r="L1921" s="24"/>
      <c r="M1921" s="24"/>
      <c r="N1921" s="24"/>
      <c r="O1921" s="24"/>
      <c r="P1921" s="24"/>
      <c r="Q1921" s="24"/>
      <c r="R1921" s="24"/>
      <c r="S1921" s="24"/>
      <c r="T1921" s="24"/>
      <c r="Z1921" s="25"/>
    </row>
    <row r="1922">
      <c r="A1922" s="16"/>
      <c r="B1922" s="17"/>
      <c r="C1922" s="24"/>
      <c r="D1922" s="25"/>
      <c r="E1922" s="24"/>
      <c r="F1922" s="25"/>
      <c r="G1922" s="24"/>
      <c r="H1922" s="25"/>
      <c r="I1922" s="24"/>
      <c r="J1922" s="25"/>
      <c r="K1922" s="25"/>
      <c r="L1922" s="24"/>
      <c r="M1922" s="24"/>
      <c r="N1922" s="24"/>
      <c r="O1922" s="24"/>
      <c r="P1922" s="24"/>
      <c r="Q1922" s="24"/>
      <c r="R1922" s="24"/>
      <c r="S1922" s="24"/>
      <c r="T1922" s="24"/>
      <c r="Z1922" s="25"/>
    </row>
    <row r="1923">
      <c r="A1923" s="16"/>
      <c r="B1923" s="17"/>
      <c r="C1923" s="24"/>
      <c r="D1923" s="25"/>
      <c r="E1923" s="24"/>
      <c r="F1923" s="25"/>
      <c r="G1923" s="24"/>
      <c r="H1923" s="25"/>
      <c r="I1923" s="24"/>
      <c r="J1923" s="25"/>
      <c r="K1923" s="25"/>
      <c r="L1923" s="24"/>
      <c r="M1923" s="24"/>
      <c r="N1923" s="24"/>
      <c r="O1923" s="24"/>
      <c r="P1923" s="24"/>
      <c r="Q1923" s="24"/>
      <c r="R1923" s="24"/>
      <c r="S1923" s="24"/>
      <c r="T1923" s="24"/>
      <c r="Z1923" s="25"/>
    </row>
    <row r="1924">
      <c r="A1924" s="16"/>
      <c r="B1924" s="17"/>
      <c r="C1924" s="24"/>
      <c r="D1924" s="25"/>
      <c r="E1924" s="24"/>
      <c r="F1924" s="25"/>
      <c r="G1924" s="24"/>
      <c r="H1924" s="25"/>
      <c r="I1924" s="24"/>
      <c r="J1924" s="25"/>
      <c r="K1924" s="25"/>
      <c r="L1924" s="24"/>
      <c r="M1924" s="24"/>
      <c r="N1924" s="24"/>
      <c r="O1924" s="24"/>
      <c r="P1924" s="24"/>
      <c r="Q1924" s="24"/>
      <c r="R1924" s="24"/>
      <c r="S1924" s="24"/>
      <c r="T1924" s="24"/>
      <c r="Z1924" s="25"/>
    </row>
    <row r="1925">
      <c r="A1925" s="16"/>
      <c r="B1925" s="17"/>
      <c r="C1925" s="24"/>
      <c r="D1925" s="25"/>
      <c r="E1925" s="24"/>
      <c r="F1925" s="25"/>
      <c r="G1925" s="24"/>
      <c r="H1925" s="25"/>
      <c r="I1925" s="24"/>
      <c r="J1925" s="25"/>
      <c r="K1925" s="25"/>
      <c r="L1925" s="24"/>
      <c r="M1925" s="24"/>
      <c r="N1925" s="24"/>
      <c r="O1925" s="24"/>
      <c r="P1925" s="24"/>
      <c r="Q1925" s="24"/>
      <c r="R1925" s="24"/>
      <c r="S1925" s="24"/>
      <c r="T1925" s="24"/>
      <c r="Z1925" s="25"/>
    </row>
    <row r="1926">
      <c r="A1926" s="16"/>
      <c r="B1926" s="17"/>
      <c r="C1926" s="24"/>
      <c r="D1926" s="25"/>
      <c r="E1926" s="24"/>
      <c r="F1926" s="25"/>
      <c r="G1926" s="24"/>
      <c r="H1926" s="25"/>
      <c r="I1926" s="24"/>
      <c r="J1926" s="25"/>
      <c r="K1926" s="25"/>
      <c r="L1926" s="24"/>
      <c r="M1926" s="24"/>
      <c r="N1926" s="24"/>
      <c r="O1926" s="24"/>
      <c r="P1926" s="24"/>
      <c r="Q1926" s="24"/>
      <c r="R1926" s="24"/>
      <c r="S1926" s="24"/>
      <c r="T1926" s="24"/>
      <c r="Z1926" s="25"/>
    </row>
    <row r="1927">
      <c r="A1927" s="16"/>
      <c r="B1927" s="17"/>
      <c r="C1927" s="24"/>
      <c r="D1927" s="25"/>
      <c r="E1927" s="24"/>
      <c r="F1927" s="25"/>
      <c r="G1927" s="24"/>
      <c r="H1927" s="25"/>
      <c r="I1927" s="24"/>
      <c r="J1927" s="25"/>
      <c r="K1927" s="25"/>
      <c r="L1927" s="24"/>
      <c r="M1927" s="24"/>
      <c r="N1927" s="24"/>
      <c r="O1927" s="24"/>
      <c r="P1927" s="24"/>
      <c r="Q1927" s="24"/>
      <c r="R1927" s="24"/>
      <c r="S1927" s="24"/>
      <c r="T1927" s="24"/>
      <c r="Z1927" s="25"/>
    </row>
    <row r="1928">
      <c r="A1928" s="16"/>
      <c r="B1928" s="17"/>
      <c r="C1928" s="24"/>
      <c r="D1928" s="25"/>
      <c r="E1928" s="24"/>
      <c r="F1928" s="25"/>
      <c r="G1928" s="24"/>
      <c r="H1928" s="25"/>
      <c r="I1928" s="24"/>
      <c r="J1928" s="25"/>
      <c r="K1928" s="25"/>
      <c r="L1928" s="24"/>
      <c r="M1928" s="24"/>
      <c r="N1928" s="24"/>
      <c r="O1928" s="24"/>
      <c r="P1928" s="24"/>
      <c r="Q1928" s="24"/>
      <c r="R1928" s="24"/>
      <c r="S1928" s="24"/>
      <c r="T1928" s="24"/>
      <c r="Z1928" s="25"/>
    </row>
    <row r="1929">
      <c r="A1929" s="16"/>
      <c r="B1929" s="17"/>
      <c r="C1929" s="24"/>
      <c r="D1929" s="25"/>
      <c r="E1929" s="24"/>
      <c r="F1929" s="25"/>
      <c r="G1929" s="24"/>
      <c r="H1929" s="25"/>
      <c r="I1929" s="24"/>
      <c r="J1929" s="25"/>
      <c r="K1929" s="25"/>
      <c r="L1929" s="24"/>
      <c r="M1929" s="24"/>
      <c r="N1929" s="24"/>
      <c r="O1929" s="24"/>
      <c r="P1929" s="24"/>
      <c r="Q1929" s="24"/>
      <c r="R1929" s="24"/>
      <c r="S1929" s="24"/>
      <c r="T1929" s="24"/>
      <c r="Z1929" s="25"/>
    </row>
    <row r="1930">
      <c r="A1930" s="16"/>
      <c r="B1930" s="17"/>
      <c r="C1930" s="24"/>
      <c r="D1930" s="25"/>
      <c r="E1930" s="24"/>
      <c r="F1930" s="25"/>
      <c r="G1930" s="24"/>
      <c r="H1930" s="25"/>
      <c r="I1930" s="24"/>
      <c r="J1930" s="25"/>
      <c r="K1930" s="25"/>
      <c r="L1930" s="24"/>
      <c r="M1930" s="24"/>
      <c r="N1930" s="24"/>
      <c r="O1930" s="24"/>
      <c r="P1930" s="24"/>
      <c r="Q1930" s="24"/>
      <c r="R1930" s="24"/>
      <c r="S1930" s="24"/>
      <c r="T1930" s="24"/>
      <c r="Z1930" s="25"/>
    </row>
    <row r="1931">
      <c r="A1931" s="16"/>
      <c r="B1931" s="17"/>
      <c r="C1931" s="24"/>
      <c r="D1931" s="25"/>
      <c r="E1931" s="24"/>
      <c r="F1931" s="25"/>
      <c r="G1931" s="24"/>
      <c r="H1931" s="25"/>
      <c r="I1931" s="24"/>
      <c r="J1931" s="25"/>
      <c r="K1931" s="25"/>
      <c r="L1931" s="24"/>
      <c r="M1931" s="24"/>
      <c r="N1931" s="24"/>
      <c r="O1931" s="24"/>
      <c r="P1931" s="24"/>
      <c r="Q1931" s="24"/>
      <c r="R1931" s="24"/>
      <c r="S1931" s="24"/>
      <c r="T1931" s="24"/>
      <c r="Z1931" s="25"/>
    </row>
    <row r="1932">
      <c r="A1932" s="16"/>
      <c r="B1932" s="17"/>
      <c r="C1932" s="24"/>
      <c r="D1932" s="25"/>
      <c r="E1932" s="24"/>
      <c r="F1932" s="25"/>
      <c r="G1932" s="24"/>
      <c r="H1932" s="25"/>
      <c r="I1932" s="24"/>
      <c r="J1932" s="25"/>
      <c r="K1932" s="25"/>
      <c r="L1932" s="24"/>
      <c r="M1932" s="24"/>
      <c r="N1932" s="24"/>
      <c r="O1932" s="24"/>
      <c r="P1932" s="24"/>
      <c r="Q1932" s="24"/>
      <c r="R1932" s="24"/>
      <c r="S1932" s="24"/>
      <c r="T1932" s="24"/>
      <c r="Z1932" s="25"/>
    </row>
    <row r="1933">
      <c r="A1933" s="16"/>
      <c r="B1933" s="17"/>
      <c r="C1933" s="24"/>
      <c r="D1933" s="25"/>
      <c r="E1933" s="24"/>
      <c r="F1933" s="25"/>
      <c r="G1933" s="24"/>
      <c r="H1933" s="25"/>
      <c r="I1933" s="24"/>
      <c r="J1933" s="25"/>
      <c r="K1933" s="25"/>
      <c r="L1933" s="24"/>
      <c r="M1933" s="24"/>
      <c r="N1933" s="24"/>
      <c r="O1933" s="24"/>
      <c r="P1933" s="24"/>
      <c r="Q1933" s="24"/>
      <c r="R1933" s="24"/>
      <c r="S1933" s="24"/>
      <c r="T1933" s="24"/>
      <c r="Z1933" s="25"/>
    </row>
    <row r="1934">
      <c r="A1934" s="16"/>
      <c r="B1934" s="17"/>
      <c r="C1934" s="24"/>
      <c r="D1934" s="25"/>
      <c r="E1934" s="24"/>
      <c r="F1934" s="25"/>
      <c r="G1934" s="24"/>
      <c r="H1934" s="25"/>
      <c r="I1934" s="24"/>
      <c r="J1934" s="25"/>
      <c r="K1934" s="25"/>
      <c r="L1934" s="24"/>
      <c r="M1934" s="24"/>
      <c r="N1934" s="24"/>
      <c r="O1934" s="24"/>
      <c r="P1934" s="24"/>
      <c r="Q1934" s="24"/>
      <c r="R1934" s="24"/>
      <c r="S1934" s="24"/>
      <c r="T1934" s="24"/>
      <c r="Z1934" s="25"/>
    </row>
    <row r="1935">
      <c r="A1935" s="16"/>
      <c r="B1935" s="17"/>
      <c r="C1935" s="24"/>
      <c r="D1935" s="25"/>
      <c r="E1935" s="24"/>
      <c r="F1935" s="25"/>
      <c r="G1935" s="24"/>
      <c r="H1935" s="25"/>
      <c r="I1935" s="24"/>
      <c r="J1935" s="25"/>
      <c r="K1935" s="25"/>
      <c r="L1935" s="24"/>
      <c r="M1935" s="24"/>
      <c r="N1935" s="24"/>
      <c r="O1935" s="24"/>
      <c r="P1935" s="24"/>
      <c r="Q1935" s="24"/>
      <c r="R1935" s="24"/>
      <c r="S1935" s="24"/>
      <c r="T1935" s="24"/>
      <c r="Z1935" s="25"/>
    </row>
    <row r="1936">
      <c r="A1936" s="16"/>
      <c r="B1936" s="17"/>
      <c r="C1936" s="24"/>
      <c r="D1936" s="25"/>
      <c r="E1936" s="24"/>
      <c r="F1936" s="25"/>
      <c r="G1936" s="24"/>
      <c r="H1936" s="25"/>
      <c r="I1936" s="24"/>
      <c r="J1936" s="25"/>
      <c r="K1936" s="25"/>
      <c r="L1936" s="24"/>
      <c r="M1936" s="24"/>
      <c r="N1936" s="24"/>
      <c r="O1936" s="24"/>
      <c r="P1936" s="24"/>
      <c r="Q1936" s="24"/>
      <c r="R1936" s="24"/>
      <c r="S1936" s="24"/>
      <c r="T1936" s="24"/>
      <c r="Z1936" s="25"/>
    </row>
    <row r="1937">
      <c r="A1937" s="16"/>
      <c r="B1937" s="17"/>
      <c r="C1937" s="24"/>
      <c r="D1937" s="25"/>
      <c r="E1937" s="24"/>
      <c r="F1937" s="25"/>
      <c r="G1937" s="24"/>
      <c r="H1937" s="25"/>
      <c r="I1937" s="24"/>
      <c r="J1937" s="25"/>
      <c r="K1937" s="25"/>
      <c r="L1937" s="24"/>
      <c r="M1937" s="24"/>
      <c r="N1937" s="24"/>
      <c r="O1937" s="24"/>
      <c r="P1937" s="24"/>
      <c r="Q1937" s="24"/>
      <c r="R1937" s="24"/>
      <c r="S1937" s="24"/>
      <c r="T1937" s="24"/>
      <c r="Z1937" s="25"/>
    </row>
    <row r="1938">
      <c r="A1938" s="16"/>
      <c r="B1938" s="17"/>
      <c r="C1938" s="24"/>
      <c r="D1938" s="25"/>
      <c r="E1938" s="24"/>
      <c r="F1938" s="25"/>
      <c r="G1938" s="24"/>
      <c r="H1938" s="25"/>
      <c r="I1938" s="24"/>
      <c r="J1938" s="25"/>
      <c r="K1938" s="25"/>
      <c r="L1938" s="24"/>
      <c r="M1938" s="24"/>
      <c r="N1938" s="24"/>
      <c r="O1938" s="24"/>
      <c r="P1938" s="24"/>
      <c r="Q1938" s="24"/>
      <c r="R1938" s="24"/>
      <c r="S1938" s="24"/>
      <c r="T1938" s="24"/>
      <c r="Z1938" s="25"/>
    </row>
    <row r="1939">
      <c r="A1939" s="16"/>
      <c r="B1939" s="17"/>
      <c r="C1939" s="24"/>
      <c r="D1939" s="25"/>
      <c r="E1939" s="24"/>
      <c r="F1939" s="25"/>
      <c r="G1939" s="24"/>
      <c r="H1939" s="25"/>
      <c r="I1939" s="24"/>
      <c r="J1939" s="25"/>
      <c r="K1939" s="25"/>
      <c r="L1939" s="24"/>
      <c r="M1939" s="24"/>
      <c r="N1939" s="24"/>
      <c r="O1939" s="24"/>
      <c r="P1939" s="24"/>
      <c r="Q1939" s="24"/>
      <c r="R1939" s="24"/>
      <c r="S1939" s="24"/>
      <c r="T1939" s="24"/>
      <c r="Z1939" s="25"/>
    </row>
    <row r="1940">
      <c r="A1940" s="16"/>
      <c r="B1940" s="17"/>
      <c r="C1940" s="24"/>
      <c r="D1940" s="25"/>
      <c r="E1940" s="24"/>
      <c r="F1940" s="25"/>
      <c r="G1940" s="24"/>
      <c r="H1940" s="25"/>
      <c r="I1940" s="24"/>
      <c r="J1940" s="25"/>
      <c r="K1940" s="25"/>
      <c r="L1940" s="24"/>
      <c r="M1940" s="24"/>
      <c r="N1940" s="24"/>
      <c r="O1940" s="24"/>
      <c r="P1940" s="24"/>
      <c r="Q1940" s="24"/>
      <c r="R1940" s="24"/>
      <c r="S1940" s="24"/>
      <c r="T1940" s="24"/>
      <c r="Z1940" s="25"/>
    </row>
    <row r="1941">
      <c r="A1941" s="16"/>
      <c r="B1941" s="17"/>
      <c r="C1941" s="24"/>
      <c r="D1941" s="25"/>
      <c r="E1941" s="24"/>
      <c r="F1941" s="25"/>
      <c r="G1941" s="24"/>
      <c r="H1941" s="25"/>
      <c r="I1941" s="24"/>
      <c r="J1941" s="25"/>
      <c r="K1941" s="25"/>
      <c r="L1941" s="24"/>
      <c r="M1941" s="24"/>
      <c r="N1941" s="24"/>
      <c r="O1941" s="24"/>
      <c r="P1941" s="24"/>
      <c r="Q1941" s="24"/>
      <c r="R1941" s="24"/>
      <c r="S1941" s="24"/>
      <c r="T1941" s="24"/>
      <c r="Z1941" s="25"/>
    </row>
    <row r="1942">
      <c r="A1942" s="16"/>
      <c r="B1942" s="17"/>
      <c r="C1942" s="24"/>
      <c r="D1942" s="25"/>
      <c r="E1942" s="24"/>
      <c r="F1942" s="25"/>
      <c r="G1942" s="24"/>
      <c r="H1942" s="25"/>
      <c r="I1942" s="24"/>
      <c r="J1942" s="25"/>
      <c r="K1942" s="25"/>
      <c r="L1942" s="24"/>
      <c r="M1942" s="24"/>
      <c r="N1942" s="24"/>
      <c r="O1942" s="24"/>
      <c r="P1942" s="24"/>
      <c r="Q1942" s="24"/>
      <c r="R1942" s="24"/>
      <c r="S1942" s="24"/>
      <c r="T1942" s="24"/>
      <c r="Z1942" s="25"/>
    </row>
    <row r="1943">
      <c r="A1943" s="16"/>
      <c r="B1943" s="17"/>
      <c r="C1943" s="24"/>
      <c r="D1943" s="25"/>
      <c r="E1943" s="24"/>
      <c r="F1943" s="25"/>
      <c r="G1943" s="24"/>
      <c r="H1943" s="25"/>
      <c r="I1943" s="24"/>
      <c r="J1943" s="25"/>
      <c r="K1943" s="25"/>
      <c r="L1943" s="24"/>
      <c r="M1943" s="24"/>
      <c r="N1943" s="24"/>
      <c r="O1943" s="24"/>
      <c r="P1943" s="24"/>
      <c r="Q1943" s="24"/>
      <c r="R1943" s="24"/>
      <c r="S1943" s="24"/>
      <c r="T1943" s="24"/>
      <c r="Z1943" s="25"/>
    </row>
    <row r="1944">
      <c r="A1944" s="16"/>
      <c r="B1944" s="17"/>
      <c r="C1944" s="24"/>
      <c r="D1944" s="25"/>
      <c r="E1944" s="24"/>
      <c r="F1944" s="25"/>
      <c r="G1944" s="24"/>
      <c r="H1944" s="25"/>
      <c r="I1944" s="24"/>
      <c r="J1944" s="25"/>
      <c r="K1944" s="25"/>
      <c r="L1944" s="24"/>
      <c r="M1944" s="24"/>
      <c r="N1944" s="24"/>
      <c r="O1944" s="24"/>
      <c r="P1944" s="24"/>
      <c r="Q1944" s="24"/>
      <c r="R1944" s="24"/>
      <c r="S1944" s="24"/>
      <c r="T1944" s="24"/>
      <c r="Z1944" s="25"/>
    </row>
    <row r="1945">
      <c r="A1945" s="16"/>
      <c r="B1945" s="17"/>
      <c r="C1945" s="24"/>
      <c r="D1945" s="25"/>
      <c r="E1945" s="24"/>
      <c r="F1945" s="25"/>
      <c r="G1945" s="24"/>
      <c r="H1945" s="25"/>
      <c r="I1945" s="24"/>
      <c r="J1945" s="25"/>
      <c r="K1945" s="25"/>
      <c r="L1945" s="24"/>
      <c r="M1945" s="24"/>
      <c r="N1945" s="24"/>
      <c r="O1945" s="24"/>
      <c r="P1945" s="24"/>
      <c r="Q1945" s="24"/>
      <c r="R1945" s="24"/>
      <c r="S1945" s="24"/>
      <c r="T1945" s="24"/>
      <c r="Z1945" s="25"/>
    </row>
    <row r="1946">
      <c r="A1946" s="16"/>
      <c r="B1946" s="17"/>
      <c r="C1946" s="24"/>
      <c r="D1946" s="25"/>
      <c r="E1946" s="24"/>
      <c r="F1946" s="25"/>
      <c r="G1946" s="24"/>
      <c r="H1946" s="25"/>
      <c r="I1946" s="24"/>
      <c r="J1946" s="25"/>
      <c r="K1946" s="25"/>
      <c r="L1946" s="24"/>
      <c r="M1946" s="24"/>
      <c r="N1946" s="24"/>
      <c r="O1946" s="24"/>
      <c r="P1946" s="24"/>
      <c r="Q1946" s="24"/>
      <c r="R1946" s="24"/>
      <c r="S1946" s="24"/>
      <c r="T1946" s="24"/>
      <c r="Z1946" s="25"/>
    </row>
    <row r="1947">
      <c r="A1947" s="16"/>
      <c r="B1947" s="17"/>
      <c r="C1947" s="24"/>
      <c r="D1947" s="25"/>
      <c r="E1947" s="24"/>
      <c r="F1947" s="25"/>
      <c r="G1947" s="24"/>
      <c r="H1947" s="25"/>
      <c r="I1947" s="24"/>
      <c r="J1947" s="25"/>
      <c r="K1947" s="25"/>
      <c r="L1947" s="24"/>
      <c r="M1947" s="24"/>
      <c r="N1947" s="24"/>
      <c r="O1947" s="24"/>
      <c r="P1947" s="24"/>
      <c r="Q1947" s="24"/>
      <c r="R1947" s="24"/>
      <c r="S1947" s="24"/>
      <c r="T1947" s="24"/>
      <c r="Z1947" s="25"/>
    </row>
    <row r="1948">
      <c r="A1948" s="16"/>
      <c r="B1948" s="17"/>
      <c r="C1948" s="24"/>
      <c r="D1948" s="25"/>
      <c r="E1948" s="24"/>
      <c r="F1948" s="25"/>
      <c r="G1948" s="24"/>
      <c r="H1948" s="25"/>
      <c r="I1948" s="24"/>
      <c r="J1948" s="25"/>
      <c r="K1948" s="25"/>
      <c r="L1948" s="24"/>
      <c r="M1948" s="24"/>
      <c r="N1948" s="24"/>
      <c r="O1948" s="24"/>
      <c r="P1948" s="24"/>
      <c r="Q1948" s="24"/>
      <c r="R1948" s="24"/>
      <c r="S1948" s="24"/>
      <c r="T1948" s="24"/>
      <c r="Z1948" s="25"/>
    </row>
    <row r="1949">
      <c r="A1949" s="16"/>
      <c r="B1949" s="17"/>
      <c r="C1949" s="24"/>
      <c r="D1949" s="25"/>
      <c r="E1949" s="24"/>
      <c r="F1949" s="25"/>
      <c r="G1949" s="24"/>
      <c r="H1949" s="25"/>
      <c r="I1949" s="24"/>
      <c r="J1949" s="25"/>
      <c r="K1949" s="25"/>
      <c r="L1949" s="24"/>
      <c r="M1949" s="24"/>
      <c r="N1949" s="24"/>
      <c r="O1949" s="24"/>
      <c r="P1949" s="24"/>
      <c r="Q1949" s="24"/>
      <c r="R1949" s="24"/>
      <c r="S1949" s="24"/>
      <c r="T1949" s="24"/>
      <c r="Z1949" s="25"/>
    </row>
    <row r="1950">
      <c r="A1950" s="16"/>
      <c r="B1950" s="17"/>
      <c r="C1950" s="24"/>
      <c r="D1950" s="25"/>
      <c r="E1950" s="24"/>
      <c r="F1950" s="25"/>
      <c r="G1950" s="24"/>
      <c r="H1950" s="25"/>
      <c r="I1950" s="24"/>
      <c r="J1950" s="25"/>
      <c r="K1950" s="25"/>
      <c r="L1950" s="24"/>
      <c r="M1950" s="24"/>
      <c r="N1950" s="24"/>
      <c r="O1950" s="24"/>
      <c r="P1950" s="24"/>
      <c r="Q1950" s="24"/>
      <c r="R1950" s="24"/>
      <c r="S1950" s="24"/>
      <c r="T1950" s="24"/>
      <c r="Z1950" s="25"/>
    </row>
    <row r="1951">
      <c r="A1951" s="16"/>
      <c r="B1951" s="17"/>
      <c r="C1951" s="24"/>
      <c r="D1951" s="25"/>
      <c r="E1951" s="24"/>
      <c r="F1951" s="25"/>
      <c r="G1951" s="24"/>
      <c r="H1951" s="25"/>
      <c r="I1951" s="24"/>
      <c r="J1951" s="25"/>
      <c r="K1951" s="25"/>
      <c r="L1951" s="24"/>
      <c r="M1951" s="24"/>
      <c r="N1951" s="24"/>
      <c r="O1951" s="24"/>
      <c r="P1951" s="24"/>
      <c r="Q1951" s="24"/>
      <c r="R1951" s="24"/>
      <c r="S1951" s="24"/>
      <c r="T1951" s="24"/>
      <c r="Z1951" s="25"/>
    </row>
    <row r="1952">
      <c r="A1952" s="16"/>
      <c r="B1952" s="17"/>
      <c r="C1952" s="24"/>
      <c r="D1952" s="25"/>
      <c r="E1952" s="24"/>
      <c r="F1952" s="25"/>
      <c r="G1952" s="24"/>
      <c r="H1952" s="25"/>
      <c r="I1952" s="24"/>
      <c r="J1952" s="25"/>
      <c r="K1952" s="25"/>
      <c r="L1952" s="24"/>
      <c r="M1952" s="24"/>
      <c r="N1952" s="24"/>
      <c r="O1952" s="24"/>
      <c r="P1952" s="24"/>
      <c r="Q1952" s="24"/>
      <c r="R1952" s="24"/>
      <c r="S1952" s="24"/>
      <c r="T1952" s="24"/>
      <c r="Z1952" s="25"/>
    </row>
    <row r="1953">
      <c r="A1953" s="16"/>
      <c r="B1953" s="17"/>
      <c r="C1953" s="24"/>
      <c r="D1953" s="25"/>
      <c r="E1953" s="24"/>
      <c r="F1953" s="25"/>
      <c r="G1953" s="24"/>
      <c r="H1953" s="25"/>
      <c r="I1953" s="24"/>
      <c r="J1953" s="25"/>
      <c r="K1953" s="25"/>
      <c r="L1953" s="24"/>
      <c r="M1953" s="24"/>
      <c r="N1953" s="24"/>
      <c r="O1953" s="24"/>
      <c r="P1953" s="24"/>
      <c r="Q1953" s="24"/>
      <c r="R1953" s="24"/>
      <c r="S1953" s="24"/>
      <c r="T1953" s="24"/>
      <c r="Z1953" s="25"/>
    </row>
    <row r="1954">
      <c r="A1954" s="16"/>
      <c r="B1954" s="17"/>
      <c r="C1954" s="24"/>
      <c r="D1954" s="25"/>
      <c r="E1954" s="24"/>
      <c r="F1954" s="25"/>
      <c r="G1954" s="24"/>
      <c r="H1954" s="25"/>
      <c r="I1954" s="24"/>
      <c r="J1954" s="25"/>
      <c r="K1954" s="25"/>
      <c r="L1954" s="24"/>
      <c r="M1954" s="24"/>
      <c r="N1954" s="24"/>
      <c r="O1954" s="24"/>
      <c r="P1954" s="24"/>
      <c r="Q1954" s="24"/>
      <c r="R1954" s="24"/>
      <c r="S1954" s="24"/>
      <c r="T1954" s="24"/>
      <c r="Z1954" s="25"/>
    </row>
    <row r="1955">
      <c r="A1955" s="16"/>
      <c r="B1955" s="17"/>
      <c r="C1955" s="24"/>
      <c r="D1955" s="25"/>
      <c r="E1955" s="24"/>
      <c r="F1955" s="25"/>
      <c r="G1955" s="24"/>
      <c r="H1955" s="25"/>
      <c r="I1955" s="24"/>
      <c r="J1955" s="25"/>
      <c r="K1955" s="25"/>
      <c r="L1955" s="24"/>
      <c r="M1955" s="24"/>
      <c r="N1955" s="24"/>
      <c r="O1955" s="24"/>
      <c r="P1955" s="24"/>
      <c r="Q1955" s="24"/>
      <c r="R1955" s="24"/>
      <c r="S1955" s="24"/>
      <c r="T1955" s="24"/>
      <c r="Z1955" s="25"/>
    </row>
    <row r="1956">
      <c r="A1956" s="16"/>
      <c r="B1956" s="17"/>
      <c r="C1956" s="24"/>
      <c r="D1956" s="25"/>
      <c r="E1956" s="24"/>
      <c r="F1956" s="25"/>
      <c r="G1956" s="24"/>
      <c r="H1956" s="25"/>
      <c r="I1956" s="24"/>
      <c r="J1956" s="25"/>
      <c r="K1956" s="25"/>
      <c r="L1956" s="24"/>
      <c r="M1956" s="24"/>
      <c r="N1956" s="24"/>
      <c r="O1956" s="24"/>
      <c r="P1956" s="24"/>
      <c r="Q1956" s="24"/>
      <c r="R1956" s="24"/>
      <c r="S1956" s="24"/>
      <c r="T1956" s="24"/>
      <c r="Z1956" s="25"/>
    </row>
    <row r="1957">
      <c r="A1957" s="16"/>
      <c r="B1957" s="17"/>
      <c r="C1957" s="24"/>
      <c r="D1957" s="25"/>
      <c r="E1957" s="24"/>
      <c r="F1957" s="25"/>
      <c r="G1957" s="24"/>
      <c r="H1957" s="25"/>
      <c r="I1957" s="24"/>
      <c r="J1957" s="25"/>
      <c r="K1957" s="25"/>
      <c r="L1957" s="24"/>
      <c r="M1957" s="24"/>
      <c r="N1957" s="24"/>
      <c r="O1957" s="24"/>
      <c r="P1957" s="24"/>
      <c r="Q1957" s="24"/>
      <c r="R1957" s="24"/>
      <c r="S1957" s="24"/>
      <c r="T1957" s="24"/>
      <c r="Z1957" s="25"/>
    </row>
    <row r="1958">
      <c r="A1958" s="16"/>
      <c r="B1958" s="17"/>
      <c r="C1958" s="24"/>
      <c r="D1958" s="25"/>
      <c r="E1958" s="24"/>
      <c r="F1958" s="25"/>
      <c r="G1958" s="24"/>
      <c r="H1958" s="25"/>
      <c r="I1958" s="24"/>
      <c r="J1958" s="25"/>
      <c r="K1958" s="25"/>
      <c r="L1958" s="24"/>
      <c r="M1958" s="24"/>
      <c r="N1958" s="24"/>
      <c r="O1958" s="24"/>
      <c r="P1958" s="24"/>
      <c r="Q1958" s="24"/>
      <c r="R1958" s="24"/>
      <c r="S1958" s="24"/>
      <c r="T1958" s="24"/>
      <c r="Z1958" s="25"/>
    </row>
    <row r="1959">
      <c r="A1959" s="16"/>
      <c r="B1959" s="17"/>
      <c r="C1959" s="24"/>
      <c r="D1959" s="25"/>
      <c r="E1959" s="24"/>
      <c r="F1959" s="25"/>
      <c r="G1959" s="24"/>
      <c r="H1959" s="25"/>
      <c r="I1959" s="24"/>
      <c r="J1959" s="25"/>
      <c r="K1959" s="25"/>
      <c r="L1959" s="24"/>
      <c r="M1959" s="24"/>
      <c r="N1959" s="24"/>
      <c r="O1959" s="24"/>
      <c r="P1959" s="24"/>
      <c r="Q1959" s="24"/>
      <c r="R1959" s="24"/>
      <c r="S1959" s="24"/>
      <c r="T1959" s="24"/>
      <c r="Z1959" s="25"/>
    </row>
    <row r="1960">
      <c r="A1960" s="16"/>
      <c r="B1960" s="17"/>
      <c r="C1960" s="24"/>
      <c r="D1960" s="25"/>
      <c r="E1960" s="24"/>
      <c r="F1960" s="25"/>
      <c r="G1960" s="24"/>
      <c r="H1960" s="25"/>
      <c r="I1960" s="24"/>
      <c r="J1960" s="25"/>
      <c r="K1960" s="25"/>
      <c r="L1960" s="24"/>
      <c r="M1960" s="24"/>
      <c r="N1960" s="24"/>
      <c r="O1960" s="24"/>
      <c r="P1960" s="24"/>
      <c r="Q1960" s="24"/>
      <c r="R1960" s="24"/>
      <c r="S1960" s="24"/>
      <c r="T1960" s="24"/>
      <c r="Z1960" s="25"/>
    </row>
    <row r="1961">
      <c r="A1961" s="16"/>
      <c r="B1961" s="17"/>
      <c r="C1961" s="24"/>
      <c r="D1961" s="25"/>
      <c r="E1961" s="24"/>
      <c r="F1961" s="25"/>
      <c r="G1961" s="24"/>
      <c r="H1961" s="25"/>
      <c r="I1961" s="24"/>
      <c r="J1961" s="25"/>
      <c r="K1961" s="25"/>
      <c r="L1961" s="24"/>
      <c r="M1961" s="24"/>
      <c r="N1961" s="24"/>
      <c r="O1961" s="24"/>
      <c r="P1961" s="24"/>
      <c r="Q1961" s="24"/>
      <c r="R1961" s="24"/>
      <c r="S1961" s="24"/>
      <c r="T1961" s="24"/>
      <c r="Z1961" s="25"/>
    </row>
    <row r="1962">
      <c r="A1962" s="16"/>
      <c r="B1962" s="17"/>
      <c r="C1962" s="24"/>
      <c r="D1962" s="25"/>
      <c r="E1962" s="24"/>
      <c r="F1962" s="25"/>
      <c r="G1962" s="24"/>
      <c r="H1962" s="25"/>
      <c r="I1962" s="24"/>
      <c r="J1962" s="25"/>
      <c r="K1962" s="25"/>
      <c r="L1962" s="24"/>
      <c r="M1962" s="24"/>
      <c r="N1962" s="24"/>
      <c r="O1962" s="24"/>
      <c r="P1962" s="24"/>
      <c r="Q1962" s="24"/>
      <c r="R1962" s="24"/>
      <c r="S1962" s="24"/>
      <c r="T1962" s="24"/>
      <c r="Z1962" s="25"/>
    </row>
    <row r="1963">
      <c r="A1963" s="16"/>
      <c r="B1963" s="17"/>
      <c r="C1963" s="24"/>
      <c r="D1963" s="25"/>
      <c r="E1963" s="24"/>
      <c r="F1963" s="25"/>
      <c r="G1963" s="24"/>
      <c r="H1963" s="25"/>
      <c r="I1963" s="24"/>
      <c r="J1963" s="25"/>
      <c r="K1963" s="25"/>
      <c r="L1963" s="24"/>
      <c r="M1963" s="24"/>
      <c r="N1963" s="24"/>
      <c r="O1963" s="24"/>
      <c r="P1963" s="24"/>
      <c r="Q1963" s="24"/>
      <c r="R1963" s="24"/>
      <c r="S1963" s="24"/>
      <c r="T1963" s="24"/>
      <c r="Z1963" s="25"/>
    </row>
    <row r="1964">
      <c r="A1964" s="16"/>
      <c r="B1964" s="17"/>
      <c r="C1964" s="24"/>
      <c r="D1964" s="25"/>
      <c r="E1964" s="24"/>
      <c r="F1964" s="25"/>
      <c r="G1964" s="24"/>
      <c r="H1964" s="25"/>
      <c r="I1964" s="24"/>
      <c r="J1964" s="25"/>
      <c r="K1964" s="25"/>
      <c r="L1964" s="24"/>
      <c r="M1964" s="24"/>
      <c r="N1964" s="24"/>
      <c r="O1964" s="24"/>
      <c r="P1964" s="24"/>
      <c r="Q1964" s="24"/>
      <c r="R1964" s="24"/>
      <c r="S1964" s="24"/>
      <c r="T1964" s="24"/>
      <c r="Z1964" s="25"/>
    </row>
    <row r="1965">
      <c r="A1965" s="16"/>
      <c r="B1965" s="17"/>
      <c r="C1965" s="24"/>
      <c r="D1965" s="25"/>
      <c r="E1965" s="24"/>
      <c r="F1965" s="25"/>
      <c r="G1965" s="24"/>
      <c r="H1965" s="25"/>
      <c r="I1965" s="24"/>
      <c r="J1965" s="25"/>
      <c r="K1965" s="25"/>
      <c r="L1965" s="24"/>
      <c r="M1965" s="24"/>
      <c r="N1965" s="24"/>
      <c r="O1965" s="24"/>
      <c r="P1965" s="24"/>
      <c r="Q1965" s="24"/>
      <c r="R1965" s="24"/>
      <c r="S1965" s="24"/>
      <c r="T1965" s="24"/>
      <c r="Z1965" s="25"/>
    </row>
    <row r="1966">
      <c r="A1966" s="16"/>
      <c r="B1966" s="17"/>
      <c r="C1966" s="24"/>
      <c r="D1966" s="25"/>
      <c r="E1966" s="24"/>
      <c r="F1966" s="25"/>
      <c r="G1966" s="24"/>
      <c r="H1966" s="25"/>
      <c r="I1966" s="24"/>
      <c r="J1966" s="25"/>
      <c r="K1966" s="25"/>
      <c r="L1966" s="24"/>
      <c r="M1966" s="24"/>
      <c r="N1966" s="24"/>
      <c r="O1966" s="24"/>
      <c r="P1966" s="24"/>
      <c r="Q1966" s="24"/>
      <c r="R1966" s="24"/>
      <c r="S1966" s="24"/>
      <c r="T1966" s="24"/>
      <c r="Z1966" s="25"/>
    </row>
    <row r="1967">
      <c r="A1967" s="16"/>
      <c r="B1967" s="17"/>
      <c r="C1967" s="24"/>
      <c r="D1967" s="25"/>
      <c r="E1967" s="24"/>
      <c r="F1967" s="25"/>
      <c r="G1967" s="24"/>
      <c r="H1967" s="25"/>
      <c r="I1967" s="24"/>
      <c r="J1967" s="25"/>
      <c r="K1967" s="25"/>
      <c r="L1967" s="24"/>
      <c r="M1967" s="24"/>
      <c r="N1967" s="24"/>
      <c r="O1967" s="24"/>
      <c r="P1967" s="24"/>
      <c r="Q1967" s="24"/>
      <c r="R1967" s="24"/>
      <c r="S1967" s="24"/>
      <c r="T1967" s="24"/>
      <c r="Z1967" s="25"/>
    </row>
    <row r="1968">
      <c r="A1968" s="16"/>
      <c r="B1968" s="17"/>
      <c r="C1968" s="24"/>
      <c r="D1968" s="25"/>
      <c r="E1968" s="24"/>
      <c r="F1968" s="25"/>
      <c r="G1968" s="24"/>
      <c r="H1968" s="25"/>
      <c r="I1968" s="24"/>
      <c r="J1968" s="25"/>
      <c r="K1968" s="25"/>
      <c r="L1968" s="24"/>
      <c r="M1968" s="24"/>
      <c r="N1968" s="24"/>
      <c r="O1968" s="24"/>
      <c r="P1968" s="24"/>
      <c r="Q1968" s="24"/>
      <c r="R1968" s="24"/>
      <c r="S1968" s="24"/>
      <c r="T1968" s="24"/>
      <c r="Z1968" s="25"/>
    </row>
    <row r="1969">
      <c r="A1969" s="16"/>
      <c r="B1969" s="17"/>
      <c r="C1969" s="24"/>
      <c r="D1969" s="25"/>
      <c r="E1969" s="24"/>
      <c r="F1969" s="25"/>
      <c r="G1969" s="24"/>
      <c r="H1969" s="25"/>
      <c r="I1969" s="24"/>
      <c r="J1969" s="25"/>
      <c r="K1969" s="25"/>
      <c r="L1969" s="24"/>
      <c r="M1969" s="24"/>
      <c r="N1969" s="24"/>
      <c r="O1969" s="24"/>
      <c r="P1969" s="24"/>
      <c r="Q1969" s="24"/>
      <c r="R1969" s="24"/>
      <c r="S1969" s="24"/>
      <c r="T1969" s="24"/>
      <c r="Z1969" s="25"/>
    </row>
    <row r="1970">
      <c r="A1970" s="16"/>
      <c r="B1970" s="17"/>
      <c r="C1970" s="24"/>
      <c r="D1970" s="25"/>
      <c r="E1970" s="24"/>
      <c r="F1970" s="25"/>
      <c r="G1970" s="24"/>
      <c r="H1970" s="25"/>
      <c r="I1970" s="24"/>
      <c r="J1970" s="25"/>
      <c r="K1970" s="25"/>
      <c r="L1970" s="24"/>
      <c r="M1970" s="24"/>
      <c r="N1970" s="24"/>
      <c r="O1970" s="24"/>
      <c r="P1970" s="24"/>
      <c r="Q1970" s="24"/>
      <c r="R1970" s="24"/>
      <c r="S1970" s="24"/>
      <c r="T1970" s="24"/>
      <c r="Z1970" s="25"/>
    </row>
    <row r="1971">
      <c r="A1971" s="16"/>
      <c r="B1971" s="17"/>
      <c r="C1971" s="24"/>
      <c r="D1971" s="25"/>
      <c r="E1971" s="24"/>
      <c r="F1971" s="25"/>
      <c r="G1971" s="24"/>
      <c r="H1971" s="25"/>
      <c r="I1971" s="24"/>
      <c r="J1971" s="25"/>
      <c r="K1971" s="25"/>
      <c r="L1971" s="24"/>
      <c r="M1971" s="24"/>
      <c r="N1971" s="24"/>
      <c r="O1971" s="24"/>
      <c r="P1971" s="24"/>
      <c r="Q1971" s="24"/>
      <c r="R1971" s="24"/>
      <c r="S1971" s="24"/>
      <c r="T1971" s="24"/>
      <c r="Z1971" s="25"/>
    </row>
    <row r="1972">
      <c r="A1972" s="16"/>
      <c r="B1972" s="17"/>
      <c r="C1972" s="24"/>
      <c r="D1972" s="25"/>
      <c r="E1972" s="24"/>
      <c r="F1972" s="25"/>
      <c r="G1972" s="24"/>
      <c r="H1972" s="25"/>
      <c r="I1972" s="24"/>
      <c r="J1972" s="25"/>
      <c r="K1972" s="25"/>
      <c r="L1972" s="24"/>
      <c r="M1972" s="24"/>
      <c r="N1972" s="24"/>
      <c r="O1972" s="24"/>
      <c r="P1972" s="24"/>
      <c r="Q1972" s="24"/>
      <c r="R1972" s="24"/>
      <c r="S1972" s="24"/>
      <c r="T1972" s="24"/>
      <c r="Z1972" s="25"/>
    </row>
    <row r="1973">
      <c r="A1973" s="16"/>
      <c r="B1973" s="17"/>
      <c r="C1973" s="24"/>
      <c r="D1973" s="25"/>
      <c r="E1973" s="24"/>
      <c r="F1973" s="25"/>
      <c r="G1973" s="24"/>
      <c r="H1973" s="25"/>
      <c r="I1973" s="24"/>
      <c r="J1973" s="25"/>
      <c r="K1973" s="25"/>
      <c r="L1973" s="24"/>
      <c r="M1973" s="24"/>
      <c r="N1973" s="24"/>
      <c r="O1973" s="24"/>
      <c r="P1973" s="24"/>
      <c r="Q1973" s="24"/>
      <c r="R1973" s="24"/>
      <c r="S1973" s="24"/>
      <c r="T1973" s="24"/>
      <c r="Z1973" s="25"/>
    </row>
    <row r="1974">
      <c r="A1974" s="16"/>
      <c r="B1974" s="17"/>
      <c r="C1974" s="24"/>
      <c r="D1974" s="25"/>
      <c r="E1974" s="24"/>
      <c r="F1974" s="25"/>
      <c r="G1974" s="24"/>
      <c r="H1974" s="25"/>
      <c r="I1974" s="24"/>
      <c r="J1974" s="25"/>
      <c r="K1974" s="25"/>
      <c r="L1974" s="24"/>
      <c r="M1974" s="24"/>
      <c r="N1974" s="24"/>
      <c r="O1974" s="24"/>
      <c r="P1974" s="24"/>
      <c r="Q1974" s="24"/>
      <c r="R1974" s="24"/>
      <c r="S1974" s="24"/>
      <c r="T1974" s="24"/>
      <c r="Z1974" s="25"/>
    </row>
    <row r="1975">
      <c r="A1975" s="16"/>
      <c r="B1975" s="17"/>
      <c r="C1975" s="24"/>
      <c r="D1975" s="25"/>
      <c r="E1975" s="24"/>
      <c r="F1975" s="25"/>
      <c r="G1975" s="24"/>
      <c r="H1975" s="25"/>
      <c r="I1975" s="24"/>
      <c r="J1975" s="25"/>
      <c r="K1975" s="25"/>
      <c r="L1975" s="24"/>
      <c r="M1975" s="24"/>
      <c r="N1975" s="24"/>
      <c r="O1975" s="24"/>
      <c r="P1975" s="24"/>
      <c r="Q1975" s="24"/>
      <c r="R1975" s="24"/>
      <c r="S1975" s="24"/>
      <c r="T1975" s="24"/>
      <c r="Z1975" s="25"/>
    </row>
    <row r="1976">
      <c r="A1976" s="16"/>
      <c r="B1976" s="17"/>
      <c r="C1976" s="24"/>
      <c r="D1976" s="25"/>
      <c r="E1976" s="24"/>
      <c r="F1976" s="25"/>
      <c r="G1976" s="24"/>
      <c r="H1976" s="25"/>
      <c r="I1976" s="24"/>
      <c r="J1976" s="25"/>
      <c r="K1976" s="25"/>
      <c r="L1976" s="24"/>
      <c r="M1976" s="24"/>
      <c r="N1976" s="24"/>
      <c r="O1976" s="24"/>
      <c r="P1976" s="24"/>
      <c r="Q1976" s="24"/>
      <c r="R1976" s="24"/>
      <c r="S1976" s="24"/>
      <c r="T1976" s="24"/>
      <c r="Z1976" s="25"/>
    </row>
    <row r="1977">
      <c r="A1977" s="16"/>
      <c r="B1977" s="17"/>
      <c r="C1977" s="24"/>
      <c r="D1977" s="25"/>
      <c r="E1977" s="24"/>
      <c r="F1977" s="25"/>
      <c r="G1977" s="24"/>
      <c r="H1977" s="25"/>
      <c r="I1977" s="24"/>
      <c r="J1977" s="25"/>
      <c r="K1977" s="25"/>
      <c r="L1977" s="24"/>
      <c r="M1977" s="24"/>
      <c r="N1977" s="24"/>
      <c r="O1977" s="24"/>
      <c r="P1977" s="24"/>
      <c r="Q1977" s="24"/>
      <c r="R1977" s="24"/>
      <c r="S1977" s="24"/>
      <c r="T1977" s="24"/>
      <c r="Z1977" s="25"/>
    </row>
    <row r="1978">
      <c r="A1978" s="16"/>
      <c r="B1978" s="17"/>
      <c r="C1978" s="24"/>
      <c r="D1978" s="25"/>
      <c r="E1978" s="24"/>
      <c r="F1978" s="25"/>
      <c r="G1978" s="24"/>
      <c r="H1978" s="25"/>
      <c r="I1978" s="24"/>
      <c r="J1978" s="25"/>
      <c r="K1978" s="25"/>
      <c r="L1978" s="24"/>
      <c r="M1978" s="24"/>
      <c r="N1978" s="24"/>
      <c r="O1978" s="24"/>
      <c r="P1978" s="24"/>
      <c r="Q1978" s="24"/>
      <c r="R1978" s="24"/>
      <c r="S1978" s="24"/>
      <c r="T1978" s="24"/>
      <c r="Z1978" s="25"/>
    </row>
    <row r="1979">
      <c r="A1979" s="16"/>
      <c r="B1979" s="17"/>
      <c r="C1979" s="24"/>
      <c r="D1979" s="25"/>
      <c r="E1979" s="24"/>
      <c r="F1979" s="25"/>
      <c r="G1979" s="24"/>
      <c r="H1979" s="25"/>
      <c r="I1979" s="24"/>
      <c r="J1979" s="25"/>
      <c r="K1979" s="25"/>
      <c r="L1979" s="24"/>
      <c r="M1979" s="24"/>
      <c r="N1979" s="24"/>
      <c r="O1979" s="24"/>
      <c r="P1979" s="24"/>
      <c r="Q1979" s="24"/>
      <c r="R1979" s="24"/>
      <c r="S1979" s="24"/>
      <c r="T1979" s="24"/>
      <c r="Z1979" s="25"/>
    </row>
    <row r="1980">
      <c r="A1980" s="16"/>
      <c r="B1980" s="17"/>
      <c r="C1980" s="24"/>
      <c r="D1980" s="25"/>
      <c r="E1980" s="24"/>
      <c r="F1980" s="25"/>
      <c r="G1980" s="24"/>
      <c r="H1980" s="25"/>
      <c r="I1980" s="24"/>
      <c r="J1980" s="25"/>
      <c r="K1980" s="25"/>
      <c r="L1980" s="24"/>
      <c r="M1980" s="24"/>
      <c r="N1980" s="24"/>
      <c r="O1980" s="24"/>
      <c r="P1980" s="24"/>
      <c r="Q1980" s="24"/>
      <c r="R1980" s="24"/>
      <c r="S1980" s="24"/>
      <c r="T1980" s="24"/>
      <c r="Z1980" s="25"/>
    </row>
    <row r="1981">
      <c r="A1981" s="16"/>
      <c r="B1981" s="17"/>
      <c r="C1981" s="24"/>
      <c r="D1981" s="25"/>
      <c r="E1981" s="24"/>
      <c r="F1981" s="25"/>
      <c r="G1981" s="24"/>
      <c r="H1981" s="25"/>
      <c r="I1981" s="24"/>
      <c r="J1981" s="25"/>
      <c r="K1981" s="25"/>
      <c r="L1981" s="24"/>
      <c r="M1981" s="24"/>
      <c r="N1981" s="24"/>
      <c r="O1981" s="24"/>
      <c r="P1981" s="24"/>
      <c r="Q1981" s="24"/>
      <c r="R1981" s="24"/>
      <c r="S1981" s="24"/>
      <c r="T1981" s="24"/>
      <c r="Z1981" s="25"/>
    </row>
    <row r="1982">
      <c r="A1982" s="16"/>
      <c r="B1982" s="17"/>
      <c r="C1982" s="24"/>
      <c r="D1982" s="25"/>
      <c r="E1982" s="24"/>
      <c r="F1982" s="25"/>
      <c r="G1982" s="24"/>
      <c r="H1982" s="25"/>
      <c r="I1982" s="24"/>
      <c r="J1982" s="25"/>
      <c r="K1982" s="25"/>
      <c r="L1982" s="24"/>
      <c r="M1982" s="24"/>
      <c r="N1982" s="24"/>
      <c r="O1982" s="24"/>
      <c r="P1982" s="24"/>
      <c r="Q1982" s="24"/>
      <c r="R1982" s="24"/>
      <c r="S1982" s="24"/>
      <c r="T1982" s="24"/>
      <c r="Z1982" s="25"/>
    </row>
    <row r="1983">
      <c r="A1983" s="16"/>
      <c r="B1983" s="17"/>
      <c r="C1983" s="24"/>
      <c r="D1983" s="25"/>
      <c r="E1983" s="24"/>
      <c r="F1983" s="25"/>
      <c r="G1983" s="24"/>
      <c r="H1983" s="25"/>
      <c r="I1983" s="24"/>
      <c r="J1983" s="25"/>
      <c r="K1983" s="25"/>
      <c r="L1983" s="24"/>
      <c r="M1983" s="24"/>
      <c r="N1983" s="24"/>
      <c r="O1983" s="24"/>
      <c r="P1983" s="24"/>
      <c r="Q1983" s="24"/>
      <c r="R1983" s="24"/>
      <c r="S1983" s="24"/>
      <c r="T1983" s="24"/>
      <c r="Z1983" s="25"/>
    </row>
    <row r="1984">
      <c r="A1984" s="16"/>
      <c r="B1984" s="17"/>
      <c r="C1984" s="24"/>
      <c r="D1984" s="25"/>
      <c r="E1984" s="24"/>
      <c r="F1984" s="25"/>
      <c r="G1984" s="24"/>
      <c r="H1984" s="25"/>
      <c r="I1984" s="24"/>
      <c r="J1984" s="25"/>
      <c r="K1984" s="25"/>
      <c r="L1984" s="24"/>
      <c r="M1984" s="24"/>
      <c r="N1984" s="24"/>
      <c r="O1984" s="24"/>
      <c r="P1984" s="24"/>
      <c r="Q1984" s="24"/>
      <c r="R1984" s="24"/>
      <c r="S1984" s="24"/>
      <c r="T1984" s="24"/>
      <c r="Z1984" s="25"/>
    </row>
    <row r="1985">
      <c r="A1985" s="16"/>
      <c r="B1985" s="17"/>
      <c r="C1985" s="24"/>
      <c r="D1985" s="25"/>
      <c r="E1985" s="24"/>
      <c r="F1985" s="25"/>
      <c r="G1985" s="24"/>
      <c r="H1985" s="25"/>
      <c r="I1985" s="24"/>
      <c r="J1985" s="25"/>
      <c r="K1985" s="25"/>
      <c r="L1985" s="24"/>
      <c r="M1985" s="24"/>
      <c r="N1985" s="24"/>
      <c r="O1985" s="24"/>
      <c r="P1985" s="24"/>
      <c r="Q1985" s="24"/>
      <c r="R1985" s="24"/>
      <c r="S1985" s="24"/>
      <c r="T1985" s="24"/>
      <c r="Z1985" s="25"/>
    </row>
    <row r="1986">
      <c r="A1986" s="16"/>
      <c r="B1986" s="17"/>
      <c r="C1986" s="24"/>
      <c r="D1986" s="25"/>
      <c r="E1986" s="24"/>
      <c r="F1986" s="25"/>
      <c r="G1986" s="24"/>
      <c r="H1986" s="25"/>
      <c r="I1986" s="24"/>
      <c r="J1986" s="25"/>
      <c r="K1986" s="25"/>
      <c r="L1986" s="24"/>
      <c r="M1986" s="24"/>
      <c r="N1986" s="24"/>
      <c r="O1986" s="24"/>
      <c r="P1986" s="24"/>
      <c r="Q1986" s="24"/>
      <c r="R1986" s="24"/>
      <c r="S1986" s="24"/>
      <c r="T1986" s="24"/>
      <c r="Z1986" s="25"/>
    </row>
    <row r="1987">
      <c r="A1987" s="16"/>
      <c r="B1987" s="17"/>
      <c r="C1987" s="24"/>
      <c r="D1987" s="25"/>
      <c r="E1987" s="24"/>
      <c r="F1987" s="25"/>
      <c r="G1987" s="24"/>
      <c r="H1987" s="25"/>
      <c r="I1987" s="24"/>
      <c r="J1987" s="25"/>
      <c r="K1987" s="25"/>
      <c r="L1987" s="24"/>
      <c r="M1987" s="24"/>
      <c r="N1987" s="24"/>
      <c r="O1987" s="24"/>
      <c r="P1987" s="24"/>
      <c r="Q1987" s="24"/>
      <c r="R1987" s="24"/>
      <c r="S1987" s="24"/>
      <c r="T1987" s="24"/>
      <c r="Z1987" s="25"/>
    </row>
    <row r="1988">
      <c r="A1988" s="16"/>
      <c r="B1988" s="17"/>
      <c r="C1988" s="24"/>
      <c r="D1988" s="25"/>
      <c r="E1988" s="24"/>
      <c r="F1988" s="25"/>
      <c r="G1988" s="24"/>
      <c r="H1988" s="25"/>
      <c r="I1988" s="24"/>
      <c r="J1988" s="25"/>
      <c r="K1988" s="25"/>
      <c r="L1988" s="24"/>
      <c r="M1988" s="24"/>
      <c r="N1988" s="24"/>
      <c r="O1988" s="24"/>
      <c r="P1988" s="24"/>
      <c r="Q1988" s="24"/>
      <c r="R1988" s="24"/>
      <c r="S1988" s="24"/>
      <c r="T1988" s="24"/>
      <c r="Z1988" s="25"/>
    </row>
    <row r="1989">
      <c r="A1989" s="16"/>
      <c r="B1989" s="17"/>
      <c r="C1989" s="24"/>
      <c r="D1989" s="25"/>
      <c r="E1989" s="24"/>
      <c r="F1989" s="25"/>
      <c r="G1989" s="24"/>
      <c r="H1989" s="25"/>
      <c r="I1989" s="24"/>
      <c r="J1989" s="25"/>
      <c r="K1989" s="25"/>
      <c r="L1989" s="24"/>
      <c r="M1989" s="24"/>
      <c r="N1989" s="24"/>
      <c r="O1989" s="24"/>
      <c r="P1989" s="24"/>
      <c r="Q1989" s="24"/>
      <c r="R1989" s="24"/>
      <c r="S1989" s="24"/>
      <c r="T1989" s="24"/>
      <c r="Z1989" s="25"/>
    </row>
    <row r="1990">
      <c r="A1990" s="16"/>
      <c r="B1990" s="17"/>
      <c r="C1990" s="24"/>
      <c r="D1990" s="25"/>
      <c r="E1990" s="24"/>
      <c r="F1990" s="25"/>
      <c r="G1990" s="24"/>
      <c r="H1990" s="25"/>
      <c r="I1990" s="24"/>
      <c r="J1990" s="25"/>
      <c r="K1990" s="25"/>
      <c r="L1990" s="24"/>
      <c r="M1990" s="24"/>
      <c r="N1990" s="24"/>
      <c r="O1990" s="24"/>
      <c r="P1990" s="24"/>
      <c r="Q1990" s="24"/>
      <c r="R1990" s="24"/>
      <c r="S1990" s="24"/>
      <c r="T1990" s="24"/>
      <c r="Z1990" s="25"/>
    </row>
    <row r="1991">
      <c r="A1991" s="16"/>
      <c r="B1991" s="17"/>
      <c r="C1991" s="24"/>
      <c r="D1991" s="25"/>
      <c r="E1991" s="24"/>
      <c r="F1991" s="25"/>
      <c r="G1991" s="24"/>
      <c r="H1991" s="25"/>
      <c r="I1991" s="24"/>
      <c r="J1991" s="25"/>
      <c r="K1991" s="25"/>
      <c r="L1991" s="24"/>
      <c r="M1991" s="24"/>
      <c r="N1991" s="24"/>
      <c r="O1991" s="24"/>
      <c r="P1991" s="24"/>
      <c r="Q1991" s="24"/>
      <c r="R1991" s="24"/>
      <c r="S1991" s="24"/>
      <c r="T1991" s="24"/>
      <c r="Z1991" s="25"/>
    </row>
    <row r="1992">
      <c r="A1992" s="16"/>
      <c r="B1992" s="17"/>
      <c r="C1992" s="24"/>
      <c r="D1992" s="25"/>
      <c r="E1992" s="24"/>
      <c r="F1992" s="25"/>
      <c r="G1992" s="24"/>
      <c r="H1992" s="25"/>
      <c r="I1992" s="24"/>
      <c r="J1992" s="25"/>
      <c r="K1992" s="25"/>
      <c r="L1992" s="24"/>
      <c r="M1992" s="24"/>
      <c r="N1992" s="24"/>
      <c r="O1992" s="24"/>
      <c r="P1992" s="24"/>
      <c r="Q1992" s="24"/>
      <c r="R1992" s="24"/>
      <c r="S1992" s="24"/>
      <c r="T1992" s="24"/>
      <c r="Z1992" s="25"/>
    </row>
    <row r="1993">
      <c r="A1993" s="16"/>
      <c r="B1993" s="17"/>
      <c r="C1993" s="24"/>
      <c r="D1993" s="25"/>
      <c r="E1993" s="24"/>
      <c r="F1993" s="25"/>
      <c r="G1993" s="24"/>
      <c r="H1993" s="25"/>
      <c r="I1993" s="24"/>
      <c r="J1993" s="25"/>
      <c r="K1993" s="25"/>
      <c r="L1993" s="24"/>
      <c r="M1993" s="24"/>
      <c r="N1993" s="24"/>
      <c r="O1993" s="24"/>
      <c r="P1993" s="24"/>
      <c r="Q1993" s="24"/>
      <c r="R1993" s="24"/>
      <c r="S1993" s="24"/>
      <c r="T1993" s="24"/>
      <c r="Z1993" s="25"/>
    </row>
    <row r="1994">
      <c r="A1994" s="16"/>
      <c r="B1994" s="17"/>
      <c r="C1994" s="24"/>
      <c r="D1994" s="25"/>
      <c r="E1994" s="24"/>
      <c r="F1994" s="25"/>
      <c r="G1994" s="24"/>
      <c r="H1994" s="25"/>
      <c r="I1994" s="24"/>
      <c r="J1994" s="25"/>
      <c r="K1994" s="25"/>
      <c r="L1994" s="24"/>
      <c r="M1994" s="24"/>
      <c r="N1994" s="24"/>
      <c r="O1994" s="24"/>
      <c r="P1994" s="24"/>
      <c r="Q1994" s="24"/>
      <c r="R1994" s="24"/>
      <c r="S1994" s="24"/>
      <c r="T1994" s="24"/>
      <c r="Z1994" s="25"/>
    </row>
    <row r="1995">
      <c r="A1995" s="16"/>
      <c r="B1995" s="17"/>
      <c r="C1995" s="24"/>
      <c r="D1995" s="25"/>
      <c r="E1995" s="24"/>
      <c r="F1995" s="25"/>
      <c r="G1995" s="24"/>
      <c r="H1995" s="25"/>
      <c r="I1995" s="24"/>
      <c r="J1995" s="25"/>
      <c r="K1995" s="25"/>
      <c r="L1995" s="24"/>
      <c r="M1995" s="24"/>
      <c r="N1995" s="24"/>
      <c r="O1995" s="24"/>
      <c r="P1995" s="24"/>
      <c r="Q1995" s="24"/>
      <c r="R1995" s="24"/>
      <c r="S1995" s="24"/>
      <c r="T1995" s="24"/>
      <c r="Z1995" s="25"/>
    </row>
    <row r="1996">
      <c r="A1996" s="16"/>
      <c r="B1996" s="17"/>
      <c r="C1996" s="24"/>
      <c r="D1996" s="25"/>
      <c r="E1996" s="24"/>
      <c r="F1996" s="25"/>
      <c r="G1996" s="24"/>
      <c r="H1996" s="25"/>
      <c r="I1996" s="24"/>
      <c r="J1996" s="25"/>
      <c r="K1996" s="25"/>
      <c r="L1996" s="24"/>
      <c r="M1996" s="24"/>
      <c r="N1996" s="24"/>
      <c r="O1996" s="24"/>
      <c r="P1996" s="24"/>
      <c r="Q1996" s="24"/>
      <c r="R1996" s="24"/>
      <c r="S1996" s="24"/>
      <c r="T1996" s="24"/>
      <c r="Z1996" s="25"/>
    </row>
    <row r="1997">
      <c r="A1997" s="16"/>
      <c r="B1997" s="17"/>
      <c r="C1997" s="24"/>
      <c r="D1997" s="25"/>
      <c r="E1997" s="24"/>
      <c r="F1997" s="25"/>
      <c r="G1997" s="24"/>
      <c r="H1997" s="25"/>
      <c r="I1997" s="24"/>
      <c r="J1997" s="25"/>
      <c r="K1997" s="25"/>
      <c r="L1997" s="24"/>
      <c r="M1997" s="24"/>
      <c r="N1997" s="24"/>
      <c r="O1997" s="24"/>
      <c r="P1997" s="24"/>
      <c r="Q1997" s="24"/>
      <c r="R1997" s="24"/>
      <c r="S1997" s="24"/>
      <c r="T1997" s="24"/>
      <c r="Z1997" s="25"/>
    </row>
    <row r="1998">
      <c r="A1998" s="16"/>
      <c r="B1998" s="17"/>
      <c r="C1998" s="24"/>
      <c r="D1998" s="25"/>
      <c r="E1998" s="24"/>
      <c r="F1998" s="25"/>
      <c r="G1998" s="24"/>
      <c r="H1998" s="25"/>
      <c r="I1998" s="24"/>
      <c r="J1998" s="25"/>
      <c r="K1998" s="25"/>
      <c r="L1998" s="24"/>
      <c r="M1998" s="24"/>
      <c r="N1998" s="24"/>
      <c r="O1998" s="24"/>
      <c r="P1998" s="24"/>
      <c r="Q1998" s="24"/>
      <c r="R1998" s="24"/>
      <c r="S1998" s="24"/>
      <c r="T1998" s="24"/>
      <c r="Z1998" s="25"/>
    </row>
    <row r="1999">
      <c r="A1999" s="16"/>
      <c r="B1999" s="17"/>
      <c r="C1999" s="24"/>
      <c r="D1999" s="25"/>
      <c r="E1999" s="24"/>
      <c r="F1999" s="25"/>
      <c r="G1999" s="24"/>
      <c r="H1999" s="25"/>
      <c r="I1999" s="24"/>
      <c r="J1999" s="25"/>
      <c r="K1999" s="25"/>
      <c r="L1999" s="24"/>
      <c r="M1999" s="24"/>
      <c r="N1999" s="24"/>
      <c r="O1999" s="24"/>
      <c r="P1999" s="24"/>
      <c r="Q1999" s="24"/>
      <c r="R1999" s="24"/>
      <c r="S1999" s="24"/>
      <c r="T1999" s="24"/>
      <c r="Z1999" s="25"/>
    </row>
    <row r="2000">
      <c r="A2000" s="16"/>
      <c r="B2000" s="17"/>
      <c r="C2000" s="24"/>
      <c r="D2000" s="25"/>
      <c r="E2000" s="24"/>
      <c r="F2000" s="25"/>
      <c r="G2000" s="24"/>
      <c r="H2000" s="25"/>
      <c r="I2000" s="24"/>
      <c r="J2000" s="25"/>
      <c r="K2000" s="25"/>
      <c r="L2000" s="24"/>
      <c r="M2000" s="24"/>
      <c r="N2000" s="24"/>
      <c r="O2000" s="24"/>
      <c r="P2000" s="24"/>
      <c r="Q2000" s="24"/>
      <c r="R2000" s="24"/>
      <c r="S2000" s="24"/>
      <c r="T2000" s="24"/>
      <c r="Z2000" s="25"/>
    </row>
    <row r="2001">
      <c r="A2001" s="16"/>
      <c r="B2001" s="17"/>
      <c r="C2001" s="24"/>
      <c r="D2001" s="25"/>
      <c r="E2001" s="24"/>
      <c r="F2001" s="25"/>
      <c r="G2001" s="24"/>
      <c r="H2001" s="25"/>
      <c r="I2001" s="24"/>
      <c r="J2001" s="25"/>
      <c r="K2001" s="25"/>
      <c r="L2001" s="24"/>
      <c r="M2001" s="24"/>
      <c r="N2001" s="24"/>
      <c r="O2001" s="24"/>
      <c r="P2001" s="24"/>
      <c r="Q2001" s="24"/>
      <c r="R2001" s="24"/>
      <c r="S2001" s="24"/>
      <c r="T2001" s="24"/>
      <c r="Z2001" s="25"/>
    </row>
    <row r="2002">
      <c r="A2002" s="16"/>
      <c r="B2002" s="17"/>
      <c r="C2002" s="24"/>
      <c r="D2002" s="25"/>
      <c r="E2002" s="24"/>
      <c r="F2002" s="25"/>
      <c r="G2002" s="24"/>
      <c r="H2002" s="25"/>
      <c r="I2002" s="24"/>
      <c r="J2002" s="25"/>
      <c r="K2002" s="25"/>
      <c r="L2002" s="24"/>
      <c r="M2002" s="24"/>
      <c r="N2002" s="24"/>
      <c r="O2002" s="24"/>
      <c r="P2002" s="24"/>
      <c r="Q2002" s="24"/>
      <c r="R2002" s="24"/>
      <c r="S2002" s="24"/>
      <c r="T2002" s="24"/>
      <c r="Z2002" s="25"/>
    </row>
    <row r="2003">
      <c r="A2003" s="16"/>
      <c r="B2003" s="17"/>
      <c r="C2003" s="24"/>
      <c r="D2003" s="25"/>
      <c r="E2003" s="24"/>
      <c r="F2003" s="25"/>
      <c r="G2003" s="24"/>
      <c r="H2003" s="25"/>
      <c r="I2003" s="24"/>
      <c r="J2003" s="25"/>
      <c r="K2003" s="25"/>
      <c r="L2003" s="24"/>
      <c r="M2003" s="24"/>
      <c r="N2003" s="24"/>
      <c r="O2003" s="24"/>
      <c r="P2003" s="24"/>
      <c r="Q2003" s="24"/>
      <c r="R2003" s="24"/>
      <c r="S2003" s="24"/>
      <c r="T2003" s="24"/>
      <c r="Z2003" s="25"/>
    </row>
    <row r="2004">
      <c r="A2004" s="16"/>
      <c r="B2004" s="17"/>
      <c r="C2004" s="24"/>
      <c r="D2004" s="25"/>
      <c r="E2004" s="24"/>
      <c r="F2004" s="25"/>
      <c r="G2004" s="24"/>
      <c r="H2004" s="25"/>
      <c r="I2004" s="24"/>
      <c r="J2004" s="25"/>
      <c r="K2004" s="25"/>
      <c r="L2004" s="24"/>
      <c r="M2004" s="24"/>
      <c r="N2004" s="24"/>
      <c r="O2004" s="24"/>
      <c r="P2004" s="24"/>
      <c r="Q2004" s="24"/>
      <c r="R2004" s="24"/>
      <c r="S2004" s="24"/>
      <c r="T2004" s="24"/>
      <c r="Z2004" s="25"/>
    </row>
    <row r="2005">
      <c r="A2005" s="16"/>
      <c r="B2005" s="17"/>
      <c r="C2005" s="24"/>
      <c r="D2005" s="25"/>
      <c r="E2005" s="24"/>
      <c r="F2005" s="25"/>
      <c r="G2005" s="24"/>
      <c r="H2005" s="25"/>
      <c r="I2005" s="24"/>
      <c r="J2005" s="25"/>
      <c r="K2005" s="25"/>
      <c r="L2005" s="24"/>
      <c r="M2005" s="24"/>
      <c r="N2005" s="24"/>
      <c r="O2005" s="24"/>
      <c r="P2005" s="24"/>
      <c r="Q2005" s="24"/>
      <c r="R2005" s="24"/>
      <c r="S2005" s="24"/>
      <c r="T2005" s="24"/>
      <c r="Z2005" s="25"/>
    </row>
    <row r="2006">
      <c r="A2006" s="16"/>
      <c r="B2006" s="17"/>
      <c r="C2006" s="24"/>
      <c r="D2006" s="25"/>
      <c r="E2006" s="24"/>
      <c r="F2006" s="25"/>
      <c r="G2006" s="24"/>
      <c r="H2006" s="25"/>
      <c r="I2006" s="24"/>
      <c r="J2006" s="25"/>
      <c r="K2006" s="25"/>
      <c r="L2006" s="24"/>
      <c r="M2006" s="24"/>
      <c r="N2006" s="24"/>
      <c r="O2006" s="24"/>
      <c r="P2006" s="24"/>
      <c r="Q2006" s="24"/>
      <c r="R2006" s="24"/>
      <c r="S2006" s="24"/>
      <c r="T2006" s="24"/>
      <c r="Z2006" s="25"/>
    </row>
    <row r="2007">
      <c r="A2007" s="16"/>
      <c r="B2007" s="17"/>
      <c r="C2007" s="24"/>
      <c r="D2007" s="25"/>
      <c r="E2007" s="24"/>
      <c r="F2007" s="25"/>
      <c r="G2007" s="24"/>
      <c r="H2007" s="25"/>
      <c r="I2007" s="24"/>
      <c r="J2007" s="25"/>
      <c r="K2007" s="25"/>
      <c r="L2007" s="24"/>
      <c r="M2007" s="24"/>
      <c r="N2007" s="24"/>
      <c r="O2007" s="24"/>
      <c r="P2007" s="24"/>
      <c r="Q2007" s="24"/>
      <c r="R2007" s="24"/>
      <c r="S2007" s="24"/>
      <c r="T2007" s="24"/>
      <c r="Z2007" s="25"/>
    </row>
    <row r="2008">
      <c r="A2008" s="16"/>
      <c r="B2008" s="17"/>
      <c r="C2008" s="24"/>
      <c r="D2008" s="25"/>
      <c r="E2008" s="24"/>
      <c r="F2008" s="25"/>
      <c r="G2008" s="24"/>
      <c r="H2008" s="25"/>
      <c r="I2008" s="24"/>
      <c r="J2008" s="25"/>
      <c r="K2008" s="25"/>
      <c r="L2008" s="24"/>
      <c r="M2008" s="24"/>
      <c r="N2008" s="24"/>
      <c r="O2008" s="24"/>
      <c r="P2008" s="24"/>
      <c r="Q2008" s="24"/>
      <c r="R2008" s="24"/>
      <c r="S2008" s="24"/>
      <c r="T2008" s="24"/>
      <c r="Z2008" s="25"/>
    </row>
    <row r="2009">
      <c r="A2009" s="16"/>
      <c r="B2009" s="17"/>
      <c r="C2009" s="24"/>
      <c r="D2009" s="25"/>
      <c r="E2009" s="24"/>
      <c r="F2009" s="25"/>
      <c r="G2009" s="24"/>
      <c r="H2009" s="25"/>
      <c r="I2009" s="24"/>
      <c r="J2009" s="25"/>
      <c r="K2009" s="25"/>
      <c r="L2009" s="24"/>
      <c r="M2009" s="24"/>
      <c r="N2009" s="24"/>
      <c r="O2009" s="24"/>
      <c r="P2009" s="24"/>
      <c r="Q2009" s="24"/>
      <c r="R2009" s="24"/>
      <c r="S2009" s="24"/>
      <c r="T2009" s="24"/>
      <c r="Z2009" s="25"/>
    </row>
    <row r="2010">
      <c r="A2010" s="16"/>
      <c r="B2010" s="17"/>
      <c r="C2010" s="24"/>
      <c r="D2010" s="25"/>
      <c r="E2010" s="24"/>
      <c r="F2010" s="25"/>
      <c r="G2010" s="24"/>
      <c r="H2010" s="25"/>
      <c r="I2010" s="24"/>
      <c r="J2010" s="25"/>
      <c r="K2010" s="25"/>
      <c r="L2010" s="24"/>
      <c r="M2010" s="24"/>
      <c r="N2010" s="24"/>
      <c r="O2010" s="24"/>
      <c r="P2010" s="24"/>
      <c r="Q2010" s="24"/>
      <c r="R2010" s="24"/>
      <c r="S2010" s="24"/>
      <c r="T2010" s="24"/>
      <c r="Z2010" s="25"/>
    </row>
    <row r="2011">
      <c r="A2011" s="16"/>
      <c r="B2011" s="17"/>
      <c r="C2011" s="24"/>
      <c r="D2011" s="25"/>
      <c r="E2011" s="24"/>
      <c r="F2011" s="25"/>
      <c r="G2011" s="24"/>
      <c r="H2011" s="25"/>
      <c r="I2011" s="24"/>
      <c r="J2011" s="25"/>
      <c r="K2011" s="25"/>
      <c r="L2011" s="24"/>
      <c r="M2011" s="24"/>
      <c r="N2011" s="24"/>
      <c r="O2011" s="24"/>
      <c r="P2011" s="24"/>
      <c r="Q2011" s="24"/>
      <c r="R2011" s="24"/>
      <c r="S2011" s="24"/>
      <c r="T2011" s="24"/>
      <c r="Z2011" s="25"/>
    </row>
    <row r="2012">
      <c r="A2012" s="16"/>
      <c r="B2012" s="17"/>
      <c r="C2012" s="24"/>
      <c r="D2012" s="25"/>
      <c r="E2012" s="24"/>
      <c r="F2012" s="25"/>
      <c r="G2012" s="24"/>
      <c r="H2012" s="25"/>
      <c r="I2012" s="24"/>
      <c r="J2012" s="25"/>
      <c r="K2012" s="25"/>
      <c r="L2012" s="24"/>
      <c r="M2012" s="24"/>
      <c r="N2012" s="24"/>
      <c r="O2012" s="24"/>
      <c r="P2012" s="24"/>
      <c r="Q2012" s="24"/>
      <c r="R2012" s="24"/>
      <c r="S2012" s="24"/>
      <c r="T2012" s="24"/>
      <c r="Z2012" s="25"/>
    </row>
    <row r="2013">
      <c r="A2013" s="16"/>
      <c r="B2013" s="17"/>
      <c r="C2013" s="24"/>
      <c r="D2013" s="25"/>
      <c r="E2013" s="24"/>
      <c r="F2013" s="25"/>
      <c r="G2013" s="24"/>
      <c r="H2013" s="25"/>
      <c r="I2013" s="24"/>
      <c r="J2013" s="25"/>
      <c r="K2013" s="25"/>
      <c r="L2013" s="24"/>
      <c r="M2013" s="24"/>
      <c r="N2013" s="24"/>
      <c r="O2013" s="24"/>
      <c r="P2013" s="24"/>
      <c r="Q2013" s="24"/>
      <c r="R2013" s="24"/>
      <c r="S2013" s="24"/>
      <c r="T2013" s="24"/>
      <c r="Z2013" s="25"/>
    </row>
    <row r="2014">
      <c r="A2014" s="16"/>
      <c r="B2014" s="17"/>
      <c r="C2014" s="24"/>
      <c r="D2014" s="25"/>
      <c r="E2014" s="24"/>
      <c r="F2014" s="25"/>
      <c r="G2014" s="24"/>
      <c r="H2014" s="25"/>
      <c r="I2014" s="24"/>
      <c r="J2014" s="25"/>
      <c r="K2014" s="25"/>
      <c r="L2014" s="24"/>
      <c r="M2014" s="24"/>
      <c r="N2014" s="24"/>
      <c r="O2014" s="24"/>
      <c r="P2014" s="24"/>
      <c r="Q2014" s="24"/>
      <c r="R2014" s="24"/>
      <c r="S2014" s="24"/>
      <c r="T2014" s="24"/>
      <c r="Z2014" s="25"/>
    </row>
    <row r="2015">
      <c r="A2015" s="16"/>
      <c r="B2015" s="17"/>
      <c r="C2015" s="24"/>
      <c r="D2015" s="25"/>
      <c r="E2015" s="24"/>
      <c r="F2015" s="25"/>
      <c r="G2015" s="24"/>
      <c r="H2015" s="25"/>
      <c r="I2015" s="24"/>
      <c r="J2015" s="25"/>
      <c r="K2015" s="25"/>
      <c r="L2015" s="24"/>
      <c r="M2015" s="24"/>
      <c r="N2015" s="24"/>
      <c r="O2015" s="24"/>
      <c r="P2015" s="24"/>
      <c r="Q2015" s="24"/>
      <c r="R2015" s="24"/>
      <c r="S2015" s="24"/>
      <c r="T2015" s="24"/>
      <c r="Z2015" s="25"/>
    </row>
    <row r="2016">
      <c r="A2016" s="16"/>
      <c r="B2016" s="17"/>
      <c r="C2016" s="24"/>
      <c r="D2016" s="25"/>
      <c r="E2016" s="24"/>
      <c r="F2016" s="25"/>
      <c r="G2016" s="24"/>
      <c r="H2016" s="25"/>
      <c r="I2016" s="24"/>
      <c r="J2016" s="25"/>
      <c r="K2016" s="25"/>
      <c r="L2016" s="24"/>
      <c r="M2016" s="24"/>
      <c r="N2016" s="24"/>
      <c r="O2016" s="24"/>
      <c r="P2016" s="24"/>
      <c r="Q2016" s="24"/>
      <c r="R2016" s="24"/>
      <c r="S2016" s="24"/>
      <c r="T2016" s="24"/>
      <c r="Z2016" s="25"/>
    </row>
    <row r="2017">
      <c r="A2017" s="16"/>
      <c r="B2017" s="17"/>
      <c r="C2017" s="24"/>
      <c r="D2017" s="25"/>
      <c r="E2017" s="24"/>
      <c r="F2017" s="25"/>
      <c r="G2017" s="24"/>
      <c r="H2017" s="25"/>
      <c r="I2017" s="24"/>
      <c r="J2017" s="25"/>
      <c r="K2017" s="25"/>
      <c r="L2017" s="24"/>
      <c r="M2017" s="24"/>
      <c r="N2017" s="24"/>
      <c r="O2017" s="24"/>
      <c r="P2017" s="24"/>
      <c r="Q2017" s="24"/>
      <c r="R2017" s="24"/>
      <c r="S2017" s="24"/>
      <c r="T2017" s="24"/>
      <c r="Z2017" s="25"/>
    </row>
    <row r="2018">
      <c r="A2018" s="16"/>
      <c r="B2018" s="17"/>
      <c r="C2018" s="24"/>
      <c r="D2018" s="25"/>
      <c r="E2018" s="24"/>
      <c r="F2018" s="25"/>
      <c r="G2018" s="24"/>
      <c r="H2018" s="25"/>
      <c r="I2018" s="24"/>
      <c r="J2018" s="25"/>
      <c r="K2018" s="25"/>
      <c r="L2018" s="24"/>
      <c r="M2018" s="24"/>
      <c r="N2018" s="24"/>
      <c r="O2018" s="24"/>
      <c r="P2018" s="24"/>
      <c r="Q2018" s="24"/>
      <c r="R2018" s="24"/>
      <c r="S2018" s="24"/>
      <c r="T2018" s="24"/>
      <c r="Z2018" s="25"/>
    </row>
    <row r="2019">
      <c r="A2019" s="16"/>
      <c r="B2019" s="17"/>
      <c r="C2019" s="24"/>
      <c r="D2019" s="25"/>
      <c r="E2019" s="24"/>
      <c r="F2019" s="25"/>
      <c r="G2019" s="24"/>
      <c r="H2019" s="25"/>
      <c r="I2019" s="24"/>
      <c r="J2019" s="25"/>
      <c r="K2019" s="25"/>
      <c r="L2019" s="24"/>
      <c r="M2019" s="24"/>
      <c r="N2019" s="24"/>
      <c r="O2019" s="24"/>
      <c r="P2019" s="24"/>
      <c r="Q2019" s="24"/>
      <c r="R2019" s="24"/>
      <c r="S2019" s="24"/>
      <c r="T2019" s="24"/>
      <c r="Z2019" s="25"/>
    </row>
    <row r="2020">
      <c r="A2020" s="16"/>
      <c r="B2020" s="17"/>
      <c r="C2020" s="24"/>
      <c r="D2020" s="25"/>
      <c r="E2020" s="24"/>
      <c r="F2020" s="25"/>
      <c r="G2020" s="24"/>
      <c r="H2020" s="25"/>
      <c r="I2020" s="24"/>
      <c r="J2020" s="25"/>
      <c r="K2020" s="25"/>
      <c r="L2020" s="24"/>
      <c r="M2020" s="24"/>
      <c r="N2020" s="24"/>
      <c r="O2020" s="24"/>
      <c r="P2020" s="24"/>
      <c r="Q2020" s="24"/>
      <c r="R2020" s="24"/>
      <c r="S2020" s="24"/>
      <c r="T2020" s="24"/>
      <c r="Z2020" s="25"/>
    </row>
    <row r="2021">
      <c r="A2021" s="16"/>
      <c r="B2021" s="17"/>
      <c r="C2021" s="24"/>
      <c r="D2021" s="25"/>
      <c r="E2021" s="24"/>
      <c r="F2021" s="25"/>
      <c r="G2021" s="24"/>
      <c r="H2021" s="25"/>
      <c r="I2021" s="24"/>
      <c r="J2021" s="25"/>
      <c r="K2021" s="25"/>
      <c r="L2021" s="24"/>
      <c r="M2021" s="24"/>
      <c r="N2021" s="24"/>
      <c r="O2021" s="24"/>
      <c r="P2021" s="24"/>
      <c r="Q2021" s="24"/>
      <c r="R2021" s="24"/>
      <c r="S2021" s="24"/>
      <c r="T2021" s="24"/>
      <c r="Z2021" s="25"/>
    </row>
    <row r="2022">
      <c r="A2022" s="16"/>
      <c r="B2022" s="17"/>
      <c r="C2022" s="24"/>
      <c r="D2022" s="25"/>
      <c r="E2022" s="24"/>
      <c r="F2022" s="25"/>
      <c r="G2022" s="24"/>
      <c r="H2022" s="25"/>
      <c r="I2022" s="24"/>
      <c r="J2022" s="25"/>
      <c r="K2022" s="25"/>
      <c r="L2022" s="24"/>
      <c r="M2022" s="24"/>
      <c r="N2022" s="24"/>
      <c r="O2022" s="24"/>
      <c r="P2022" s="24"/>
      <c r="Q2022" s="24"/>
      <c r="R2022" s="24"/>
      <c r="S2022" s="24"/>
      <c r="T2022" s="24"/>
      <c r="Z2022" s="25"/>
    </row>
    <row r="2023">
      <c r="A2023" s="16"/>
      <c r="B2023" s="17"/>
      <c r="C2023" s="24"/>
      <c r="D2023" s="25"/>
      <c r="E2023" s="24"/>
      <c r="F2023" s="25"/>
      <c r="G2023" s="24"/>
      <c r="H2023" s="25"/>
      <c r="I2023" s="24"/>
      <c r="J2023" s="25"/>
      <c r="K2023" s="25"/>
      <c r="L2023" s="24"/>
      <c r="M2023" s="24"/>
      <c r="N2023" s="24"/>
      <c r="O2023" s="24"/>
      <c r="P2023" s="24"/>
      <c r="Q2023" s="24"/>
      <c r="R2023" s="24"/>
      <c r="S2023" s="24"/>
      <c r="T2023" s="24"/>
      <c r="Z2023" s="25"/>
    </row>
    <row r="2024">
      <c r="A2024" s="16"/>
      <c r="B2024" s="17"/>
      <c r="C2024" s="24"/>
      <c r="D2024" s="25"/>
      <c r="E2024" s="24"/>
      <c r="F2024" s="25"/>
      <c r="G2024" s="24"/>
      <c r="H2024" s="25"/>
      <c r="I2024" s="24"/>
      <c r="J2024" s="25"/>
      <c r="K2024" s="25"/>
      <c r="L2024" s="24"/>
      <c r="M2024" s="24"/>
      <c r="N2024" s="24"/>
      <c r="O2024" s="24"/>
      <c r="P2024" s="24"/>
      <c r="Q2024" s="24"/>
      <c r="R2024" s="24"/>
      <c r="S2024" s="24"/>
      <c r="T2024" s="24"/>
      <c r="Z2024" s="25"/>
    </row>
    <row r="2025">
      <c r="A2025" s="16"/>
      <c r="B2025" s="17"/>
      <c r="C2025" s="24"/>
      <c r="D2025" s="25"/>
      <c r="E2025" s="24"/>
      <c r="F2025" s="25"/>
      <c r="G2025" s="24"/>
      <c r="H2025" s="25"/>
      <c r="I2025" s="24"/>
      <c r="J2025" s="25"/>
      <c r="K2025" s="25"/>
      <c r="L2025" s="24"/>
      <c r="M2025" s="24"/>
      <c r="N2025" s="24"/>
      <c r="O2025" s="24"/>
      <c r="P2025" s="24"/>
      <c r="Q2025" s="24"/>
      <c r="R2025" s="24"/>
      <c r="S2025" s="24"/>
      <c r="T2025" s="24"/>
      <c r="Z2025" s="25"/>
    </row>
    <row r="2026">
      <c r="A2026" s="16"/>
      <c r="B2026" s="17"/>
      <c r="C2026" s="24"/>
      <c r="D2026" s="25"/>
      <c r="E2026" s="24"/>
      <c r="F2026" s="25"/>
      <c r="G2026" s="24"/>
      <c r="H2026" s="25"/>
      <c r="I2026" s="24"/>
      <c r="J2026" s="25"/>
      <c r="K2026" s="25"/>
      <c r="L2026" s="24"/>
      <c r="M2026" s="24"/>
      <c r="N2026" s="24"/>
      <c r="O2026" s="24"/>
      <c r="P2026" s="24"/>
      <c r="Q2026" s="24"/>
      <c r="R2026" s="24"/>
      <c r="S2026" s="24"/>
      <c r="T2026" s="24"/>
      <c r="Z2026" s="25"/>
    </row>
    <row r="2027">
      <c r="A2027" s="16"/>
      <c r="B2027" s="17"/>
      <c r="C2027" s="24"/>
      <c r="D2027" s="25"/>
      <c r="E2027" s="24"/>
      <c r="F2027" s="25"/>
      <c r="G2027" s="24"/>
      <c r="H2027" s="25"/>
      <c r="I2027" s="24"/>
      <c r="J2027" s="25"/>
      <c r="K2027" s="25"/>
      <c r="L2027" s="24"/>
      <c r="M2027" s="24"/>
      <c r="N2027" s="24"/>
      <c r="O2027" s="24"/>
      <c r="P2027" s="24"/>
      <c r="Q2027" s="24"/>
      <c r="R2027" s="24"/>
      <c r="S2027" s="24"/>
      <c r="T2027" s="24"/>
      <c r="Z2027" s="25"/>
    </row>
    <row r="2028">
      <c r="A2028" s="16"/>
      <c r="B2028" s="17"/>
      <c r="C2028" s="24"/>
      <c r="D2028" s="25"/>
      <c r="E2028" s="24"/>
      <c r="F2028" s="25"/>
      <c r="G2028" s="24"/>
      <c r="H2028" s="25"/>
      <c r="I2028" s="24"/>
      <c r="J2028" s="25"/>
      <c r="K2028" s="25"/>
      <c r="L2028" s="24"/>
      <c r="M2028" s="24"/>
      <c r="N2028" s="24"/>
      <c r="O2028" s="24"/>
      <c r="P2028" s="24"/>
      <c r="Q2028" s="24"/>
      <c r="R2028" s="24"/>
      <c r="S2028" s="24"/>
      <c r="T2028" s="24"/>
      <c r="Z2028" s="25"/>
    </row>
    <row r="2029">
      <c r="A2029" s="16"/>
      <c r="B2029" s="17"/>
      <c r="C2029" s="24"/>
      <c r="D2029" s="25"/>
      <c r="E2029" s="24"/>
      <c r="F2029" s="25"/>
      <c r="G2029" s="24"/>
      <c r="H2029" s="25"/>
      <c r="I2029" s="24"/>
      <c r="J2029" s="25"/>
      <c r="K2029" s="25"/>
      <c r="L2029" s="24"/>
      <c r="M2029" s="24"/>
      <c r="N2029" s="24"/>
      <c r="O2029" s="24"/>
      <c r="P2029" s="24"/>
      <c r="Q2029" s="24"/>
      <c r="R2029" s="24"/>
      <c r="S2029" s="24"/>
      <c r="T2029" s="24"/>
      <c r="Z2029" s="25"/>
    </row>
    <row r="2030">
      <c r="A2030" s="16"/>
      <c r="B2030" s="17"/>
      <c r="C2030" s="24"/>
      <c r="D2030" s="25"/>
      <c r="E2030" s="24"/>
      <c r="F2030" s="25"/>
      <c r="G2030" s="24"/>
      <c r="H2030" s="25"/>
      <c r="I2030" s="24"/>
      <c r="J2030" s="25"/>
      <c r="K2030" s="25"/>
      <c r="L2030" s="24"/>
      <c r="M2030" s="24"/>
      <c r="N2030" s="24"/>
      <c r="O2030" s="24"/>
      <c r="P2030" s="24"/>
      <c r="Q2030" s="24"/>
      <c r="R2030" s="24"/>
      <c r="S2030" s="24"/>
      <c r="T2030" s="24"/>
      <c r="Z2030" s="25"/>
    </row>
    <row r="2031">
      <c r="A2031" s="16"/>
      <c r="B2031" s="17"/>
      <c r="C2031" s="24"/>
      <c r="D2031" s="25"/>
      <c r="E2031" s="24"/>
      <c r="F2031" s="25"/>
      <c r="G2031" s="24"/>
      <c r="H2031" s="25"/>
      <c r="I2031" s="24"/>
      <c r="J2031" s="25"/>
      <c r="K2031" s="25"/>
      <c r="L2031" s="24"/>
      <c r="M2031" s="24"/>
      <c r="N2031" s="24"/>
      <c r="O2031" s="24"/>
      <c r="P2031" s="24"/>
      <c r="Q2031" s="24"/>
      <c r="R2031" s="24"/>
      <c r="S2031" s="24"/>
      <c r="T2031" s="24"/>
      <c r="Z2031" s="25"/>
    </row>
    <row r="2032">
      <c r="A2032" s="16"/>
      <c r="B2032" s="17"/>
      <c r="C2032" s="24"/>
      <c r="D2032" s="25"/>
      <c r="E2032" s="24"/>
      <c r="F2032" s="25"/>
      <c r="G2032" s="24"/>
      <c r="H2032" s="25"/>
      <c r="I2032" s="24"/>
      <c r="J2032" s="25"/>
      <c r="K2032" s="25"/>
      <c r="L2032" s="24"/>
      <c r="M2032" s="24"/>
      <c r="N2032" s="24"/>
      <c r="O2032" s="24"/>
      <c r="P2032" s="24"/>
      <c r="Q2032" s="24"/>
      <c r="R2032" s="24"/>
      <c r="S2032" s="24"/>
      <c r="T2032" s="24"/>
      <c r="Z2032" s="25"/>
    </row>
    <row r="2033">
      <c r="A2033" s="16"/>
      <c r="B2033" s="17"/>
      <c r="C2033" s="24"/>
      <c r="D2033" s="25"/>
      <c r="E2033" s="24"/>
      <c r="F2033" s="25"/>
      <c r="G2033" s="24"/>
      <c r="H2033" s="25"/>
      <c r="I2033" s="24"/>
      <c r="J2033" s="25"/>
      <c r="K2033" s="25"/>
      <c r="L2033" s="24"/>
      <c r="M2033" s="24"/>
      <c r="N2033" s="24"/>
      <c r="O2033" s="24"/>
      <c r="P2033" s="24"/>
      <c r="Q2033" s="24"/>
      <c r="R2033" s="24"/>
      <c r="S2033" s="24"/>
      <c r="T2033" s="24"/>
      <c r="Z2033" s="25"/>
    </row>
    <row r="2034">
      <c r="A2034" s="16"/>
      <c r="B2034" s="17"/>
      <c r="C2034" s="24"/>
      <c r="D2034" s="25"/>
      <c r="E2034" s="24"/>
      <c r="F2034" s="25"/>
      <c r="G2034" s="24"/>
      <c r="H2034" s="25"/>
      <c r="I2034" s="24"/>
      <c r="J2034" s="25"/>
      <c r="K2034" s="25"/>
      <c r="L2034" s="24"/>
      <c r="M2034" s="24"/>
      <c r="N2034" s="24"/>
      <c r="O2034" s="24"/>
      <c r="P2034" s="24"/>
      <c r="Q2034" s="24"/>
      <c r="R2034" s="24"/>
      <c r="S2034" s="24"/>
      <c r="T2034" s="24"/>
      <c r="Z2034" s="25"/>
    </row>
    <row r="2035">
      <c r="A2035" s="16"/>
      <c r="B2035" s="17"/>
      <c r="C2035" s="24"/>
      <c r="D2035" s="25"/>
      <c r="E2035" s="24"/>
      <c r="F2035" s="25"/>
      <c r="G2035" s="24"/>
      <c r="H2035" s="25"/>
      <c r="I2035" s="24"/>
      <c r="J2035" s="25"/>
      <c r="K2035" s="25"/>
      <c r="L2035" s="24"/>
      <c r="M2035" s="24"/>
      <c r="N2035" s="24"/>
      <c r="O2035" s="24"/>
      <c r="P2035" s="24"/>
      <c r="Q2035" s="24"/>
      <c r="R2035" s="24"/>
      <c r="S2035" s="24"/>
      <c r="T2035" s="24"/>
      <c r="Z2035" s="25"/>
    </row>
    <row r="2036">
      <c r="A2036" s="16"/>
      <c r="B2036" s="17"/>
      <c r="C2036" s="24"/>
      <c r="D2036" s="25"/>
      <c r="E2036" s="24"/>
      <c r="F2036" s="25"/>
      <c r="G2036" s="24"/>
      <c r="H2036" s="25"/>
      <c r="I2036" s="24"/>
      <c r="J2036" s="25"/>
      <c r="K2036" s="25"/>
      <c r="L2036" s="24"/>
      <c r="M2036" s="24"/>
      <c r="N2036" s="24"/>
      <c r="O2036" s="24"/>
      <c r="P2036" s="24"/>
      <c r="Q2036" s="24"/>
      <c r="R2036" s="24"/>
      <c r="S2036" s="24"/>
      <c r="T2036" s="24"/>
      <c r="Z2036" s="25"/>
    </row>
    <row r="2037">
      <c r="A2037" s="16"/>
      <c r="B2037" s="17"/>
      <c r="C2037" s="24"/>
      <c r="D2037" s="25"/>
      <c r="E2037" s="24"/>
      <c r="F2037" s="25"/>
      <c r="G2037" s="24"/>
      <c r="H2037" s="25"/>
      <c r="I2037" s="24"/>
      <c r="J2037" s="25"/>
      <c r="K2037" s="25"/>
      <c r="L2037" s="24"/>
      <c r="M2037" s="24"/>
      <c r="N2037" s="24"/>
      <c r="O2037" s="24"/>
      <c r="P2037" s="24"/>
      <c r="Q2037" s="24"/>
      <c r="R2037" s="24"/>
      <c r="S2037" s="24"/>
      <c r="T2037" s="24"/>
      <c r="Z2037" s="25"/>
    </row>
    <row r="2038">
      <c r="A2038" s="16"/>
      <c r="B2038" s="17"/>
      <c r="C2038" s="24"/>
      <c r="D2038" s="25"/>
      <c r="E2038" s="24"/>
      <c r="F2038" s="25"/>
      <c r="G2038" s="24"/>
      <c r="H2038" s="25"/>
      <c r="I2038" s="24"/>
      <c r="J2038" s="25"/>
      <c r="K2038" s="25"/>
      <c r="L2038" s="24"/>
      <c r="M2038" s="24"/>
      <c r="N2038" s="24"/>
      <c r="O2038" s="24"/>
      <c r="P2038" s="24"/>
      <c r="Q2038" s="24"/>
      <c r="R2038" s="24"/>
      <c r="S2038" s="24"/>
      <c r="T2038" s="24"/>
      <c r="Z2038" s="25"/>
    </row>
    <row r="2039">
      <c r="A2039" s="16"/>
      <c r="B2039" s="17"/>
      <c r="C2039" s="24"/>
      <c r="D2039" s="25"/>
      <c r="E2039" s="24"/>
      <c r="F2039" s="25"/>
      <c r="G2039" s="24"/>
      <c r="H2039" s="25"/>
      <c r="I2039" s="24"/>
      <c r="J2039" s="25"/>
      <c r="K2039" s="25"/>
      <c r="L2039" s="24"/>
      <c r="M2039" s="24"/>
      <c r="N2039" s="24"/>
      <c r="O2039" s="24"/>
      <c r="P2039" s="24"/>
      <c r="Q2039" s="24"/>
      <c r="R2039" s="24"/>
      <c r="S2039" s="24"/>
      <c r="T2039" s="24"/>
      <c r="Z2039" s="25"/>
    </row>
    <row r="2040">
      <c r="A2040" s="16"/>
      <c r="B2040" s="17"/>
      <c r="C2040" s="24"/>
      <c r="D2040" s="25"/>
      <c r="E2040" s="24"/>
      <c r="F2040" s="25"/>
      <c r="G2040" s="24"/>
      <c r="H2040" s="25"/>
      <c r="I2040" s="24"/>
      <c r="J2040" s="25"/>
      <c r="K2040" s="25"/>
      <c r="L2040" s="24"/>
      <c r="M2040" s="24"/>
      <c r="N2040" s="24"/>
      <c r="O2040" s="24"/>
      <c r="P2040" s="24"/>
      <c r="Q2040" s="24"/>
      <c r="R2040" s="24"/>
      <c r="S2040" s="24"/>
      <c r="T2040" s="24"/>
      <c r="Z2040" s="25"/>
    </row>
    <row r="2041">
      <c r="A2041" s="16"/>
      <c r="B2041" s="17"/>
      <c r="C2041" s="24"/>
      <c r="D2041" s="25"/>
      <c r="E2041" s="24"/>
      <c r="F2041" s="25"/>
      <c r="G2041" s="24"/>
      <c r="H2041" s="25"/>
      <c r="I2041" s="24"/>
      <c r="J2041" s="25"/>
      <c r="K2041" s="25"/>
      <c r="L2041" s="24"/>
      <c r="M2041" s="24"/>
      <c r="N2041" s="24"/>
      <c r="O2041" s="24"/>
      <c r="P2041" s="24"/>
      <c r="Q2041" s="24"/>
      <c r="R2041" s="24"/>
      <c r="S2041" s="24"/>
      <c r="T2041" s="24"/>
      <c r="Z2041" s="25"/>
    </row>
    <row r="2042">
      <c r="A2042" s="16"/>
      <c r="B2042" s="17"/>
      <c r="C2042" s="24"/>
      <c r="D2042" s="25"/>
      <c r="E2042" s="24"/>
      <c r="F2042" s="25"/>
      <c r="G2042" s="24"/>
      <c r="H2042" s="25"/>
      <c r="I2042" s="24"/>
      <c r="J2042" s="25"/>
      <c r="K2042" s="25"/>
      <c r="L2042" s="24"/>
      <c r="M2042" s="24"/>
      <c r="N2042" s="24"/>
      <c r="O2042" s="24"/>
      <c r="P2042" s="24"/>
      <c r="Q2042" s="24"/>
      <c r="R2042" s="24"/>
      <c r="S2042" s="24"/>
      <c r="T2042" s="24"/>
      <c r="Z2042" s="25"/>
    </row>
    <row r="2043">
      <c r="A2043" s="16"/>
      <c r="B2043" s="17"/>
      <c r="C2043" s="24"/>
      <c r="D2043" s="25"/>
      <c r="E2043" s="24"/>
      <c r="F2043" s="25"/>
      <c r="G2043" s="24"/>
      <c r="H2043" s="25"/>
      <c r="I2043" s="24"/>
      <c r="J2043" s="25"/>
      <c r="K2043" s="25"/>
      <c r="L2043" s="24"/>
      <c r="M2043" s="24"/>
      <c r="N2043" s="24"/>
      <c r="O2043" s="24"/>
      <c r="P2043" s="24"/>
      <c r="Q2043" s="24"/>
      <c r="R2043" s="24"/>
      <c r="S2043" s="24"/>
      <c r="T2043" s="24"/>
      <c r="Z2043" s="25"/>
    </row>
    <row r="2044">
      <c r="A2044" s="16"/>
      <c r="B2044" s="17"/>
      <c r="C2044" s="24"/>
      <c r="D2044" s="25"/>
      <c r="E2044" s="24"/>
      <c r="F2044" s="25"/>
      <c r="G2044" s="24"/>
      <c r="H2044" s="25"/>
      <c r="I2044" s="24"/>
      <c r="J2044" s="25"/>
      <c r="K2044" s="25"/>
      <c r="L2044" s="24"/>
      <c r="M2044" s="24"/>
      <c r="N2044" s="24"/>
      <c r="O2044" s="24"/>
      <c r="P2044" s="24"/>
      <c r="Q2044" s="24"/>
      <c r="R2044" s="24"/>
      <c r="S2044" s="24"/>
      <c r="T2044" s="24"/>
      <c r="Z2044" s="25"/>
    </row>
    <row r="2045">
      <c r="A2045" s="16"/>
      <c r="B2045" s="17"/>
      <c r="C2045" s="24"/>
      <c r="D2045" s="25"/>
      <c r="E2045" s="24"/>
      <c r="F2045" s="25"/>
      <c r="G2045" s="24"/>
      <c r="H2045" s="25"/>
      <c r="I2045" s="24"/>
      <c r="J2045" s="25"/>
      <c r="K2045" s="25"/>
      <c r="L2045" s="24"/>
      <c r="M2045" s="24"/>
      <c r="N2045" s="24"/>
      <c r="O2045" s="24"/>
      <c r="P2045" s="24"/>
      <c r="Q2045" s="24"/>
      <c r="R2045" s="24"/>
      <c r="S2045" s="24"/>
      <c r="T2045" s="24"/>
      <c r="Z2045" s="25"/>
    </row>
    <row r="2046">
      <c r="A2046" s="16"/>
      <c r="B2046" s="17"/>
      <c r="C2046" s="24"/>
      <c r="D2046" s="25"/>
      <c r="E2046" s="24"/>
      <c r="F2046" s="25"/>
      <c r="G2046" s="24"/>
      <c r="H2046" s="25"/>
      <c r="I2046" s="24"/>
      <c r="J2046" s="25"/>
      <c r="K2046" s="25"/>
      <c r="L2046" s="24"/>
      <c r="M2046" s="24"/>
      <c r="N2046" s="24"/>
      <c r="O2046" s="24"/>
      <c r="P2046" s="24"/>
      <c r="Q2046" s="24"/>
      <c r="R2046" s="24"/>
      <c r="S2046" s="24"/>
      <c r="T2046" s="24"/>
      <c r="Z2046" s="25"/>
    </row>
    <row r="2047">
      <c r="A2047" s="16"/>
      <c r="B2047" s="17"/>
      <c r="C2047" s="24"/>
      <c r="D2047" s="25"/>
      <c r="E2047" s="24"/>
      <c r="F2047" s="25"/>
      <c r="G2047" s="24"/>
      <c r="H2047" s="25"/>
      <c r="I2047" s="24"/>
      <c r="J2047" s="25"/>
      <c r="K2047" s="25"/>
      <c r="L2047" s="24"/>
      <c r="M2047" s="24"/>
      <c r="N2047" s="24"/>
      <c r="O2047" s="24"/>
      <c r="P2047" s="24"/>
      <c r="Q2047" s="24"/>
      <c r="R2047" s="24"/>
      <c r="S2047" s="24"/>
      <c r="T2047" s="24"/>
      <c r="Z2047" s="25"/>
    </row>
    <row r="2048">
      <c r="A2048" s="16"/>
      <c r="B2048" s="17"/>
      <c r="C2048" s="24"/>
      <c r="D2048" s="25"/>
      <c r="E2048" s="24"/>
      <c r="F2048" s="25"/>
      <c r="G2048" s="24"/>
      <c r="H2048" s="25"/>
      <c r="I2048" s="24"/>
      <c r="J2048" s="25"/>
      <c r="K2048" s="25"/>
      <c r="L2048" s="24"/>
      <c r="M2048" s="24"/>
      <c r="N2048" s="24"/>
      <c r="O2048" s="24"/>
      <c r="P2048" s="24"/>
      <c r="Q2048" s="24"/>
      <c r="R2048" s="24"/>
      <c r="S2048" s="24"/>
      <c r="T2048" s="24"/>
      <c r="Z2048" s="25"/>
    </row>
    <row r="2049">
      <c r="A2049" s="16"/>
      <c r="B2049" s="17"/>
      <c r="C2049" s="24"/>
      <c r="D2049" s="25"/>
      <c r="E2049" s="24"/>
      <c r="F2049" s="25"/>
      <c r="G2049" s="24"/>
      <c r="H2049" s="25"/>
      <c r="I2049" s="24"/>
      <c r="J2049" s="25"/>
      <c r="K2049" s="25"/>
      <c r="L2049" s="24"/>
      <c r="M2049" s="24"/>
      <c r="N2049" s="24"/>
      <c r="O2049" s="24"/>
      <c r="P2049" s="24"/>
      <c r="Q2049" s="24"/>
      <c r="R2049" s="24"/>
      <c r="S2049" s="24"/>
      <c r="T2049" s="24"/>
      <c r="Z2049" s="25"/>
    </row>
    <row r="2050">
      <c r="A2050" s="16"/>
      <c r="B2050" s="17"/>
      <c r="C2050" s="24"/>
      <c r="D2050" s="25"/>
      <c r="E2050" s="24"/>
      <c r="F2050" s="25"/>
      <c r="G2050" s="24"/>
      <c r="H2050" s="25"/>
      <c r="I2050" s="24"/>
      <c r="J2050" s="25"/>
      <c r="K2050" s="25"/>
      <c r="L2050" s="24"/>
      <c r="M2050" s="24"/>
      <c r="N2050" s="24"/>
      <c r="O2050" s="24"/>
      <c r="P2050" s="24"/>
      <c r="Q2050" s="24"/>
      <c r="R2050" s="24"/>
      <c r="S2050" s="24"/>
      <c r="T2050" s="24"/>
      <c r="Z2050" s="25"/>
    </row>
    <row r="2051">
      <c r="A2051" s="16"/>
      <c r="B2051" s="17"/>
      <c r="C2051" s="24"/>
      <c r="D2051" s="25"/>
      <c r="E2051" s="24"/>
      <c r="F2051" s="25"/>
      <c r="G2051" s="24"/>
      <c r="H2051" s="25"/>
      <c r="I2051" s="24"/>
      <c r="J2051" s="25"/>
      <c r="K2051" s="25"/>
      <c r="L2051" s="24"/>
      <c r="M2051" s="24"/>
      <c r="N2051" s="24"/>
      <c r="O2051" s="24"/>
      <c r="P2051" s="24"/>
      <c r="Q2051" s="24"/>
      <c r="R2051" s="24"/>
      <c r="S2051" s="24"/>
      <c r="T2051" s="24"/>
      <c r="Z2051" s="25"/>
    </row>
    <row r="2052">
      <c r="A2052" s="16"/>
      <c r="B2052" s="17"/>
      <c r="C2052" s="24"/>
      <c r="D2052" s="25"/>
      <c r="E2052" s="24"/>
      <c r="F2052" s="25"/>
      <c r="G2052" s="24"/>
      <c r="H2052" s="25"/>
      <c r="I2052" s="24"/>
      <c r="J2052" s="25"/>
      <c r="K2052" s="25"/>
      <c r="L2052" s="24"/>
      <c r="M2052" s="24"/>
      <c r="N2052" s="24"/>
      <c r="O2052" s="24"/>
      <c r="P2052" s="24"/>
      <c r="Q2052" s="24"/>
      <c r="R2052" s="24"/>
      <c r="S2052" s="24"/>
      <c r="T2052" s="24"/>
      <c r="Z2052" s="25"/>
    </row>
    <row r="2053">
      <c r="A2053" s="16"/>
      <c r="B2053" s="17"/>
      <c r="C2053" s="24"/>
      <c r="D2053" s="25"/>
      <c r="E2053" s="24"/>
      <c r="F2053" s="25"/>
      <c r="G2053" s="24"/>
      <c r="H2053" s="25"/>
      <c r="I2053" s="24"/>
      <c r="J2053" s="25"/>
      <c r="K2053" s="25"/>
      <c r="L2053" s="24"/>
      <c r="M2053" s="24"/>
      <c r="N2053" s="24"/>
      <c r="O2053" s="24"/>
      <c r="P2053" s="24"/>
      <c r="Q2053" s="24"/>
      <c r="R2053" s="24"/>
      <c r="S2053" s="24"/>
      <c r="T2053" s="24"/>
      <c r="Z2053" s="25"/>
    </row>
    <row r="2054">
      <c r="A2054" s="16"/>
      <c r="B2054" s="17"/>
      <c r="C2054" s="24"/>
      <c r="D2054" s="25"/>
      <c r="E2054" s="24"/>
      <c r="F2054" s="25"/>
      <c r="G2054" s="24"/>
      <c r="H2054" s="25"/>
      <c r="I2054" s="24"/>
      <c r="J2054" s="25"/>
      <c r="K2054" s="25"/>
      <c r="L2054" s="24"/>
      <c r="M2054" s="24"/>
      <c r="N2054" s="24"/>
      <c r="O2054" s="24"/>
      <c r="P2054" s="24"/>
      <c r="Q2054" s="24"/>
      <c r="R2054" s="24"/>
      <c r="S2054" s="24"/>
      <c r="T2054" s="24"/>
      <c r="Z2054" s="25"/>
    </row>
    <row r="2055">
      <c r="A2055" s="16"/>
      <c r="B2055" s="17"/>
      <c r="C2055" s="24"/>
      <c r="D2055" s="25"/>
      <c r="E2055" s="24"/>
      <c r="F2055" s="25"/>
      <c r="G2055" s="24"/>
      <c r="H2055" s="25"/>
      <c r="I2055" s="24"/>
      <c r="J2055" s="25"/>
      <c r="K2055" s="25"/>
      <c r="L2055" s="24"/>
      <c r="M2055" s="24"/>
      <c r="N2055" s="24"/>
      <c r="O2055" s="24"/>
      <c r="P2055" s="24"/>
      <c r="Q2055" s="24"/>
      <c r="R2055" s="24"/>
      <c r="S2055" s="24"/>
      <c r="T2055" s="24"/>
      <c r="Z2055" s="25"/>
    </row>
    <row r="2056">
      <c r="A2056" s="16"/>
      <c r="B2056" s="17"/>
      <c r="C2056" s="24"/>
      <c r="D2056" s="25"/>
      <c r="E2056" s="24"/>
      <c r="F2056" s="25"/>
      <c r="G2056" s="24"/>
      <c r="H2056" s="25"/>
      <c r="I2056" s="24"/>
      <c r="J2056" s="25"/>
      <c r="K2056" s="25"/>
      <c r="L2056" s="24"/>
      <c r="M2056" s="24"/>
      <c r="N2056" s="24"/>
      <c r="O2056" s="24"/>
      <c r="P2056" s="24"/>
      <c r="Q2056" s="24"/>
      <c r="R2056" s="24"/>
      <c r="S2056" s="24"/>
      <c r="T2056" s="24"/>
      <c r="Z2056" s="25"/>
    </row>
    <row r="2057">
      <c r="A2057" s="16"/>
      <c r="B2057" s="17"/>
      <c r="C2057" s="24"/>
      <c r="D2057" s="25"/>
      <c r="E2057" s="24"/>
      <c r="F2057" s="25"/>
      <c r="G2057" s="24"/>
      <c r="H2057" s="25"/>
      <c r="I2057" s="24"/>
      <c r="J2057" s="25"/>
      <c r="K2057" s="25"/>
      <c r="L2057" s="24"/>
      <c r="M2057" s="24"/>
      <c r="N2057" s="24"/>
      <c r="O2057" s="24"/>
      <c r="P2057" s="24"/>
      <c r="Q2057" s="24"/>
      <c r="R2057" s="24"/>
      <c r="S2057" s="24"/>
      <c r="T2057" s="24"/>
      <c r="Z2057" s="25"/>
    </row>
    <row r="2058">
      <c r="A2058" s="16"/>
      <c r="B2058" s="17"/>
      <c r="C2058" s="24"/>
      <c r="D2058" s="25"/>
      <c r="E2058" s="24"/>
      <c r="F2058" s="25"/>
      <c r="G2058" s="24"/>
      <c r="H2058" s="25"/>
      <c r="I2058" s="24"/>
      <c r="J2058" s="25"/>
      <c r="K2058" s="25"/>
      <c r="L2058" s="24"/>
      <c r="M2058" s="24"/>
      <c r="N2058" s="24"/>
      <c r="O2058" s="24"/>
      <c r="P2058" s="24"/>
      <c r="Q2058" s="24"/>
      <c r="R2058" s="24"/>
      <c r="S2058" s="24"/>
      <c r="T2058" s="24"/>
      <c r="Z2058" s="25"/>
    </row>
    <row r="2059">
      <c r="A2059" s="16"/>
      <c r="B2059" s="17"/>
      <c r="C2059" s="24"/>
      <c r="D2059" s="25"/>
      <c r="E2059" s="24"/>
      <c r="F2059" s="25"/>
      <c r="G2059" s="24"/>
      <c r="H2059" s="25"/>
      <c r="I2059" s="24"/>
      <c r="J2059" s="25"/>
      <c r="K2059" s="25"/>
      <c r="L2059" s="24"/>
      <c r="M2059" s="24"/>
      <c r="N2059" s="24"/>
      <c r="O2059" s="24"/>
      <c r="P2059" s="24"/>
      <c r="Q2059" s="24"/>
      <c r="R2059" s="24"/>
      <c r="S2059" s="24"/>
      <c r="T2059" s="24"/>
      <c r="Z2059" s="25"/>
    </row>
    <row r="2060">
      <c r="A2060" s="16"/>
      <c r="B2060" s="17"/>
      <c r="C2060" s="24"/>
      <c r="D2060" s="25"/>
      <c r="E2060" s="24"/>
      <c r="F2060" s="25"/>
      <c r="G2060" s="24"/>
      <c r="H2060" s="25"/>
      <c r="I2060" s="24"/>
      <c r="J2060" s="25"/>
      <c r="K2060" s="25"/>
      <c r="L2060" s="24"/>
      <c r="M2060" s="24"/>
      <c r="N2060" s="24"/>
      <c r="O2060" s="24"/>
      <c r="P2060" s="24"/>
      <c r="Q2060" s="24"/>
      <c r="R2060" s="24"/>
      <c r="S2060" s="24"/>
      <c r="T2060" s="24"/>
      <c r="Z2060" s="25"/>
    </row>
    <row r="2061">
      <c r="A2061" s="16"/>
      <c r="B2061" s="17"/>
      <c r="C2061" s="24"/>
      <c r="D2061" s="25"/>
      <c r="E2061" s="24"/>
      <c r="F2061" s="25"/>
      <c r="G2061" s="24"/>
      <c r="H2061" s="25"/>
      <c r="I2061" s="24"/>
      <c r="J2061" s="25"/>
      <c r="K2061" s="25"/>
      <c r="L2061" s="24"/>
      <c r="M2061" s="24"/>
      <c r="N2061" s="24"/>
      <c r="O2061" s="24"/>
      <c r="P2061" s="24"/>
      <c r="Q2061" s="24"/>
      <c r="R2061" s="24"/>
      <c r="S2061" s="24"/>
      <c r="T2061" s="24"/>
      <c r="Z2061" s="25"/>
    </row>
    <row r="2062">
      <c r="A2062" s="16"/>
      <c r="B2062" s="17"/>
      <c r="C2062" s="24"/>
      <c r="D2062" s="25"/>
      <c r="E2062" s="24"/>
      <c r="F2062" s="25"/>
      <c r="G2062" s="24"/>
      <c r="H2062" s="25"/>
      <c r="I2062" s="24"/>
      <c r="J2062" s="25"/>
      <c r="K2062" s="25"/>
      <c r="L2062" s="24"/>
      <c r="M2062" s="24"/>
      <c r="N2062" s="24"/>
      <c r="O2062" s="24"/>
      <c r="P2062" s="24"/>
      <c r="Q2062" s="24"/>
      <c r="R2062" s="24"/>
      <c r="S2062" s="24"/>
      <c r="T2062" s="24"/>
      <c r="Z2062" s="25"/>
    </row>
    <row r="2063">
      <c r="A2063" s="16"/>
      <c r="B2063" s="17"/>
      <c r="C2063" s="24"/>
      <c r="D2063" s="25"/>
      <c r="E2063" s="24"/>
      <c r="F2063" s="25"/>
      <c r="G2063" s="24"/>
      <c r="H2063" s="25"/>
      <c r="I2063" s="24"/>
      <c r="J2063" s="25"/>
      <c r="K2063" s="25"/>
      <c r="L2063" s="24"/>
      <c r="M2063" s="24"/>
      <c r="N2063" s="24"/>
      <c r="O2063" s="24"/>
      <c r="P2063" s="24"/>
      <c r="Q2063" s="24"/>
      <c r="R2063" s="24"/>
      <c r="S2063" s="24"/>
      <c r="T2063" s="24"/>
      <c r="Z2063" s="25"/>
    </row>
    <row r="2064">
      <c r="A2064" s="16"/>
      <c r="B2064" s="17"/>
      <c r="C2064" s="24"/>
      <c r="D2064" s="25"/>
      <c r="E2064" s="24"/>
      <c r="F2064" s="25"/>
      <c r="G2064" s="24"/>
      <c r="H2064" s="25"/>
      <c r="I2064" s="24"/>
      <c r="J2064" s="25"/>
      <c r="K2064" s="25"/>
      <c r="L2064" s="24"/>
      <c r="M2064" s="24"/>
      <c r="N2064" s="24"/>
      <c r="O2064" s="24"/>
      <c r="P2064" s="24"/>
      <c r="Q2064" s="24"/>
      <c r="R2064" s="24"/>
      <c r="S2064" s="24"/>
      <c r="T2064" s="24"/>
      <c r="Z2064" s="25"/>
    </row>
    <row r="2065">
      <c r="A2065" s="16"/>
      <c r="B2065" s="17"/>
      <c r="C2065" s="24"/>
      <c r="D2065" s="25"/>
      <c r="E2065" s="24"/>
      <c r="F2065" s="25"/>
      <c r="G2065" s="24"/>
      <c r="H2065" s="25"/>
      <c r="I2065" s="24"/>
      <c r="J2065" s="25"/>
      <c r="K2065" s="25"/>
      <c r="L2065" s="24"/>
      <c r="M2065" s="24"/>
      <c r="N2065" s="24"/>
      <c r="O2065" s="24"/>
      <c r="P2065" s="24"/>
      <c r="Q2065" s="24"/>
      <c r="R2065" s="24"/>
      <c r="S2065" s="24"/>
      <c r="T2065" s="24"/>
      <c r="Z2065" s="25"/>
    </row>
    <row r="2066">
      <c r="A2066" s="16"/>
      <c r="B2066" s="17"/>
      <c r="C2066" s="24"/>
      <c r="D2066" s="25"/>
      <c r="E2066" s="24"/>
      <c r="F2066" s="25"/>
      <c r="G2066" s="24"/>
      <c r="H2066" s="25"/>
      <c r="I2066" s="24"/>
      <c r="J2066" s="25"/>
      <c r="K2066" s="25"/>
      <c r="L2066" s="24"/>
      <c r="M2066" s="24"/>
      <c r="N2066" s="24"/>
      <c r="O2066" s="24"/>
      <c r="P2066" s="24"/>
      <c r="Q2066" s="24"/>
      <c r="R2066" s="24"/>
      <c r="S2066" s="24"/>
      <c r="T2066" s="24"/>
      <c r="Z2066" s="25"/>
    </row>
    <row r="2067">
      <c r="A2067" s="16"/>
      <c r="B2067" s="17"/>
      <c r="C2067" s="24"/>
      <c r="D2067" s="25"/>
      <c r="E2067" s="24"/>
      <c r="F2067" s="25"/>
      <c r="G2067" s="24"/>
      <c r="H2067" s="25"/>
      <c r="I2067" s="24"/>
      <c r="J2067" s="25"/>
      <c r="K2067" s="25"/>
      <c r="L2067" s="24"/>
      <c r="M2067" s="24"/>
      <c r="N2067" s="24"/>
      <c r="O2067" s="24"/>
      <c r="P2067" s="24"/>
      <c r="Q2067" s="24"/>
      <c r="R2067" s="24"/>
      <c r="S2067" s="24"/>
      <c r="T2067" s="24"/>
      <c r="Z2067" s="25"/>
    </row>
    <row r="2068">
      <c r="A2068" s="16"/>
      <c r="B2068" s="17"/>
      <c r="C2068" s="24"/>
      <c r="D2068" s="25"/>
      <c r="E2068" s="24"/>
      <c r="F2068" s="25"/>
      <c r="G2068" s="24"/>
      <c r="H2068" s="25"/>
      <c r="I2068" s="24"/>
      <c r="J2068" s="25"/>
      <c r="K2068" s="25"/>
      <c r="L2068" s="24"/>
      <c r="M2068" s="24"/>
      <c r="N2068" s="24"/>
      <c r="O2068" s="24"/>
      <c r="P2068" s="24"/>
      <c r="Q2068" s="24"/>
      <c r="R2068" s="24"/>
      <c r="S2068" s="24"/>
      <c r="T2068" s="24"/>
      <c r="Z2068" s="25"/>
    </row>
    <row r="2069">
      <c r="A2069" s="16"/>
      <c r="B2069" s="17"/>
      <c r="C2069" s="24"/>
      <c r="D2069" s="25"/>
      <c r="E2069" s="24"/>
      <c r="F2069" s="25"/>
      <c r="G2069" s="24"/>
      <c r="H2069" s="25"/>
      <c r="I2069" s="24"/>
      <c r="J2069" s="25"/>
      <c r="K2069" s="25"/>
      <c r="L2069" s="24"/>
      <c r="M2069" s="24"/>
      <c r="N2069" s="24"/>
      <c r="O2069" s="24"/>
      <c r="P2069" s="24"/>
      <c r="Q2069" s="24"/>
      <c r="R2069" s="24"/>
      <c r="S2069" s="24"/>
      <c r="T2069" s="24"/>
      <c r="Z2069" s="25"/>
    </row>
    <row r="2070">
      <c r="A2070" s="16"/>
      <c r="B2070" s="17"/>
      <c r="C2070" s="24"/>
      <c r="D2070" s="25"/>
      <c r="E2070" s="24"/>
      <c r="F2070" s="25"/>
      <c r="G2070" s="24"/>
      <c r="H2070" s="25"/>
      <c r="I2070" s="24"/>
      <c r="J2070" s="25"/>
      <c r="K2070" s="25"/>
      <c r="L2070" s="24"/>
      <c r="M2070" s="24"/>
      <c r="N2070" s="24"/>
      <c r="O2070" s="24"/>
      <c r="P2070" s="24"/>
      <c r="Q2070" s="24"/>
      <c r="R2070" s="24"/>
      <c r="S2070" s="24"/>
      <c r="T2070" s="24"/>
      <c r="Z2070" s="25"/>
    </row>
    <row r="2071">
      <c r="A2071" s="16"/>
      <c r="B2071" s="17"/>
      <c r="C2071" s="24"/>
      <c r="D2071" s="25"/>
      <c r="E2071" s="24"/>
      <c r="F2071" s="25"/>
      <c r="G2071" s="24"/>
      <c r="H2071" s="25"/>
      <c r="I2071" s="24"/>
      <c r="J2071" s="25"/>
      <c r="K2071" s="25"/>
      <c r="L2071" s="24"/>
      <c r="M2071" s="24"/>
      <c r="N2071" s="24"/>
      <c r="O2071" s="24"/>
      <c r="P2071" s="24"/>
      <c r="Q2071" s="24"/>
      <c r="R2071" s="24"/>
      <c r="S2071" s="24"/>
      <c r="T2071" s="24"/>
      <c r="Z2071" s="25"/>
    </row>
    <row r="2072">
      <c r="A2072" s="16"/>
      <c r="B2072" s="17"/>
      <c r="C2072" s="24"/>
      <c r="D2072" s="25"/>
      <c r="E2072" s="24"/>
      <c r="F2072" s="25"/>
      <c r="G2072" s="24"/>
      <c r="H2072" s="25"/>
      <c r="I2072" s="24"/>
      <c r="J2072" s="25"/>
      <c r="K2072" s="25"/>
      <c r="L2072" s="24"/>
      <c r="M2072" s="24"/>
      <c r="N2072" s="24"/>
      <c r="O2072" s="24"/>
      <c r="P2072" s="24"/>
      <c r="Q2072" s="24"/>
      <c r="R2072" s="24"/>
      <c r="S2072" s="24"/>
      <c r="T2072" s="24"/>
      <c r="Z2072" s="25"/>
    </row>
    <row r="2073">
      <c r="A2073" s="16"/>
      <c r="B2073" s="17"/>
      <c r="C2073" s="24"/>
      <c r="D2073" s="25"/>
      <c r="E2073" s="24"/>
      <c r="F2073" s="25"/>
      <c r="G2073" s="24"/>
      <c r="H2073" s="25"/>
      <c r="I2073" s="24"/>
      <c r="J2073" s="25"/>
      <c r="K2073" s="25"/>
      <c r="L2073" s="24"/>
      <c r="M2073" s="24"/>
      <c r="N2073" s="24"/>
      <c r="O2073" s="24"/>
      <c r="P2073" s="24"/>
      <c r="Q2073" s="24"/>
      <c r="R2073" s="24"/>
      <c r="S2073" s="24"/>
      <c r="T2073" s="24"/>
      <c r="Z2073" s="25"/>
    </row>
    <row r="2074">
      <c r="A2074" s="16"/>
      <c r="B2074" s="17"/>
      <c r="C2074" s="24"/>
      <c r="D2074" s="25"/>
      <c r="E2074" s="24"/>
      <c r="F2074" s="25"/>
      <c r="G2074" s="24"/>
      <c r="H2074" s="25"/>
      <c r="I2074" s="24"/>
      <c r="J2074" s="25"/>
      <c r="K2074" s="25"/>
      <c r="L2074" s="24"/>
      <c r="M2074" s="24"/>
      <c r="N2074" s="24"/>
      <c r="O2074" s="24"/>
      <c r="P2074" s="24"/>
      <c r="Q2074" s="24"/>
      <c r="R2074" s="24"/>
      <c r="S2074" s="24"/>
      <c r="T2074" s="24"/>
      <c r="Z2074" s="25"/>
    </row>
    <row r="2075">
      <c r="A2075" s="16"/>
      <c r="B2075" s="17"/>
      <c r="C2075" s="24"/>
      <c r="D2075" s="25"/>
      <c r="E2075" s="24"/>
      <c r="F2075" s="25"/>
      <c r="G2075" s="24"/>
      <c r="H2075" s="25"/>
      <c r="I2075" s="24"/>
      <c r="J2075" s="25"/>
      <c r="K2075" s="25"/>
      <c r="L2075" s="24"/>
      <c r="M2075" s="24"/>
      <c r="N2075" s="24"/>
      <c r="O2075" s="24"/>
      <c r="P2075" s="24"/>
      <c r="Q2075" s="24"/>
      <c r="R2075" s="24"/>
      <c r="S2075" s="24"/>
      <c r="T2075" s="24"/>
      <c r="Z2075" s="25"/>
    </row>
    <row r="2076">
      <c r="A2076" s="16"/>
      <c r="B2076" s="17"/>
      <c r="C2076" s="24"/>
      <c r="D2076" s="25"/>
      <c r="E2076" s="24"/>
      <c r="F2076" s="25"/>
      <c r="G2076" s="24"/>
      <c r="H2076" s="25"/>
      <c r="I2076" s="24"/>
      <c r="J2076" s="25"/>
      <c r="K2076" s="25"/>
      <c r="L2076" s="24"/>
      <c r="M2076" s="24"/>
      <c r="N2076" s="24"/>
      <c r="O2076" s="24"/>
      <c r="P2076" s="24"/>
      <c r="Q2076" s="24"/>
      <c r="R2076" s="24"/>
      <c r="S2076" s="24"/>
      <c r="T2076" s="24"/>
      <c r="Z2076" s="25"/>
    </row>
    <row r="2077">
      <c r="A2077" s="16"/>
      <c r="B2077" s="17"/>
      <c r="C2077" s="24"/>
      <c r="D2077" s="25"/>
      <c r="E2077" s="24"/>
      <c r="F2077" s="25"/>
      <c r="G2077" s="24"/>
      <c r="H2077" s="25"/>
      <c r="I2077" s="24"/>
      <c r="J2077" s="25"/>
      <c r="K2077" s="25"/>
      <c r="L2077" s="24"/>
      <c r="M2077" s="24"/>
      <c r="N2077" s="24"/>
      <c r="O2077" s="24"/>
      <c r="P2077" s="24"/>
      <c r="Q2077" s="24"/>
      <c r="R2077" s="24"/>
      <c r="S2077" s="24"/>
      <c r="T2077" s="24"/>
      <c r="Z2077" s="25"/>
    </row>
    <row r="2078">
      <c r="A2078" s="16"/>
      <c r="B2078" s="17"/>
      <c r="C2078" s="24"/>
      <c r="D2078" s="25"/>
      <c r="E2078" s="24"/>
      <c r="F2078" s="25"/>
      <c r="G2078" s="24"/>
      <c r="H2078" s="25"/>
      <c r="I2078" s="24"/>
      <c r="J2078" s="25"/>
      <c r="K2078" s="25"/>
      <c r="L2078" s="24"/>
      <c r="M2078" s="24"/>
      <c r="N2078" s="24"/>
      <c r="O2078" s="24"/>
      <c r="P2078" s="24"/>
      <c r="Q2078" s="24"/>
      <c r="R2078" s="24"/>
      <c r="S2078" s="24"/>
      <c r="T2078" s="24"/>
      <c r="Z2078" s="25"/>
    </row>
    <row r="2079">
      <c r="A2079" s="16"/>
      <c r="B2079" s="17"/>
      <c r="C2079" s="24"/>
      <c r="D2079" s="25"/>
      <c r="E2079" s="24"/>
      <c r="F2079" s="25"/>
      <c r="G2079" s="24"/>
      <c r="H2079" s="25"/>
      <c r="I2079" s="24"/>
      <c r="J2079" s="25"/>
      <c r="K2079" s="25"/>
      <c r="L2079" s="24"/>
      <c r="M2079" s="24"/>
      <c r="N2079" s="24"/>
      <c r="O2079" s="24"/>
      <c r="P2079" s="24"/>
      <c r="Q2079" s="24"/>
      <c r="R2079" s="24"/>
      <c r="S2079" s="24"/>
      <c r="T2079" s="24"/>
      <c r="Z2079" s="25"/>
    </row>
    <row r="2080">
      <c r="A2080" s="16"/>
      <c r="B2080" s="17"/>
      <c r="C2080" s="24"/>
      <c r="D2080" s="25"/>
      <c r="E2080" s="24"/>
      <c r="F2080" s="25"/>
      <c r="G2080" s="24"/>
      <c r="H2080" s="25"/>
      <c r="I2080" s="24"/>
      <c r="J2080" s="25"/>
      <c r="K2080" s="25"/>
      <c r="L2080" s="24"/>
      <c r="M2080" s="24"/>
      <c r="N2080" s="24"/>
      <c r="O2080" s="24"/>
      <c r="P2080" s="24"/>
      <c r="Q2080" s="24"/>
      <c r="R2080" s="24"/>
      <c r="S2080" s="24"/>
      <c r="T2080" s="24"/>
      <c r="Z2080" s="25"/>
    </row>
    <row r="2081">
      <c r="A2081" s="16"/>
      <c r="B2081" s="17"/>
      <c r="C2081" s="24"/>
      <c r="D2081" s="25"/>
      <c r="E2081" s="24"/>
      <c r="F2081" s="25"/>
      <c r="G2081" s="24"/>
      <c r="H2081" s="25"/>
      <c r="I2081" s="24"/>
      <c r="J2081" s="25"/>
      <c r="K2081" s="25"/>
      <c r="L2081" s="24"/>
      <c r="M2081" s="24"/>
      <c r="N2081" s="24"/>
      <c r="O2081" s="24"/>
      <c r="P2081" s="24"/>
      <c r="Q2081" s="24"/>
      <c r="R2081" s="24"/>
      <c r="S2081" s="24"/>
      <c r="T2081" s="24"/>
      <c r="Z2081" s="25"/>
    </row>
    <row r="2082">
      <c r="A2082" s="16"/>
      <c r="B2082" s="17"/>
      <c r="C2082" s="24"/>
      <c r="D2082" s="25"/>
      <c r="E2082" s="24"/>
      <c r="F2082" s="25"/>
      <c r="G2082" s="24"/>
      <c r="H2082" s="25"/>
      <c r="I2082" s="24"/>
      <c r="J2082" s="25"/>
      <c r="K2082" s="25"/>
      <c r="L2082" s="24"/>
      <c r="M2082" s="24"/>
      <c r="N2082" s="24"/>
      <c r="O2082" s="24"/>
      <c r="P2082" s="24"/>
      <c r="Q2082" s="24"/>
      <c r="R2082" s="24"/>
      <c r="S2082" s="24"/>
      <c r="T2082" s="24"/>
      <c r="Z2082" s="25"/>
    </row>
    <row r="2083">
      <c r="A2083" s="16"/>
      <c r="B2083" s="17"/>
      <c r="C2083" s="24"/>
      <c r="D2083" s="25"/>
      <c r="E2083" s="24"/>
      <c r="F2083" s="25"/>
      <c r="G2083" s="24"/>
      <c r="H2083" s="25"/>
      <c r="I2083" s="24"/>
      <c r="J2083" s="25"/>
      <c r="K2083" s="25"/>
      <c r="L2083" s="24"/>
      <c r="M2083" s="24"/>
      <c r="N2083" s="24"/>
      <c r="O2083" s="24"/>
      <c r="P2083" s="24"/>
      <c r="Q2083" s="24"/>
      <c r="R2083" s="24"/>
      <c r="S2083" s="24"/>
      <c r="T2083" s="24"/>
      <c r="Z2083" s="25"/>
    </row>
    <row r="2084">
      <c r="A2084" s="16"/>
      <c r="B2084" s="17"/>
      <c r="C2084" s="24"/>
      <c r="D2084" s="25"/>
      <c r="E2084" s="24"/>
      <c r="F2084" s="25"/>
      <c r="G2084" s="24"/>
      <c r="H2084" s="25"/>
      <c r="I2084" s="24"/>
      <c r="J2084" s="25"/>
      <c r="K2084" s="25"/>
      <c r="L2084" s="24"/>
      <c r="M2084" s="24"/>
      <c r="N2084" s="24"/>
      <c r="O2084" s="24"/>
      <c r="P2084" s="24"/>
      <c r="Q2084" s="24"/>
      <c r="R2084" s="24"/>
      <c r="S2084" s="24"/>
      <c r="T2084" s="24"/>
      <c r="Z2084" s="25"/>
    </row>
    <row r="2085">
      <c r="A2085" s="16"/>
      <c r="B2085" s="17"/>
      <c r="C2085" s="24"/>
      <c r="D2085" s="25"/>
      <c r="E2085" s="24"/>
      <c r="F2085" s="25"/>
      <c r="G2085" s="24"/>
      <c r="H2085" s="25"/>
      <c r="I2085" s="24"/>
      <c r="J2085" s="25"/>
      <c r="K2085" s="25"/>
      <c r="L2085" s="24"/>
      <c r="M2085" s="24"/>
      <c r="N2085" s="24"/>
      <c r="O2085" s="24"/>
      <c r="P2085" s="24"/>
      <c r="Q2085" s="24"/>
      <c r="R2085" s="24"/>
      <c r="S2085" s="24"/>
      <c r="T2085" s="24"/>
      <c r="Z2085" s="25"/>
    </row>
    <row r="2086">
      <c r="A2086" s="16"/>
      <c r="B2086" s="17"/>
      <c r="C2086" s="24"/>
      <c r="D2086" s="25"/>
      <c r="E2086" s="24"/>
      <c r="F2086" s="25"/>
      <c r="G2086" s="24"/>
      <c r="H2086" s="25"/>
      <c r="I2086" s="24"/>
      <c r="J2086" s="25"/>
      <c r="K2086" s="25"/>
      <c r="L2086" s="24"/>
      <c r="M2086" s="24"/>
      <c r="N2086" s="24"/>
      <c r="O2086" s="24"/>
      <c r="P2086" s="24"/>
      <c r="Q2086" s="24"/>
      <c r="R2086" s="24"/>
      <c r="S2086" s="24"/>
      <c r="T2086" s="24"/>
      <c r="Z2086" s="25"/>
    </row>
    <row r="2087">
      <c r="A2087" s="16"/>
      <c r="B2087" s="17"/>
      <c r="C2087" s="24"/>
      <c r="D2087" s="25"/>
      <c r="E2087" s="24"/>
      <c r="F2087" s="25"/>
      <c r="G2087" s="24"/>
      <c r="H2087" s="25"/>
      <c r="I2087" s="24"/>
      <c r="J2087" s="25"/>
      <c r="K2087" s="25"/>
      <c r="L2087" s="24"/>
      <c r="M2087" s="24"/>
      <c r="N2087" s="24"/>
      <c r="O2087" s="24"/>
      <c r="P2087" s="24"/>
      <c r="Q2087" s="24"/>
      <c r="R2087" s="24"/>
      <c r="S2087" s="24"/>
      <c r="T2087" s="24"/>
      <c r="Z2087" s="25"/>
    </row>
    <row r="2088">
      <c r="A2088" s="16"/>
      <c r="B2088" s="17"/>
      <c r="C2088" s="24"/>
      <c r="D2088" s="25"/>
      <c r="E2088" s="24"/>
      <c r="F2088" s="25"/>
      <c r="G2088" s="24"/>
      <c r="H2088" s="25"/>
      <c r="I2088" s="24"/>
      <c r="J2088" s="25"/>
      <c r="K2088" s="25"/>
      <c r="L2088" s="24"/>
      <c r="M2088" s="24"/>
      <c r="N2088" s="24"/>
      <c r="O2088" s="24"/>
      <c r="P2088" s="24"/>
      <c r="Q2088" s="24"/>
      <c r="R2088" s="24"/>
      <c r="S2088" s="24"/>
      <c r="T2088" s="24"/>
      <c r="Z2088" s="25"/>
    </row>
    <row r="2089">
      <c r="A2089" s="16"/>
      <c r="B2089" s="17"/>
      <c r="C2089" s="24"/>
      <c r="D2089" s="25"/>
      <c r="E2089" s="24"/>
      <c r="F2089" s="25"/>
      <c r="G2089" s="24"/>
      <c r="H2089" s="25"/>
      <c r="I2089" s="24"/>
      <c r="J2089" s="25"/>
      <c r="K2089" s="25"/>
      <c r="L2089" s="24"/>
      <c r="M2089" s="24"/>
      <c r="N2089" s="24"/>
      <c r="O2089" s="24"/>
      <c r="P2089" s="24"/>
      <c r="Q2089" s="24"/>
      <c r="R2089" s="24"/>
      <c r="S2089" s="24"/>
      <c r="T2089" s="24"/>
      <c r="Z2089" s="25"/>
    </row>
    <row r="2090">
      <c r="A2090" s="16"/>
      <c r="B2090" s="17"/>
      <c r="C2090" s="24"/>
      <c r="D2090" s="25"/>
      <c r="E2090" s="24"/>
      <c r="F2090" s="25"/>
      <c r="G2090" s="24"/>
      <c r="H2090" s="25"/>
      <c r="I2090" s="24"/>
      <c r="J2090" s="25"/>
      <c r="K2090" s="25"/>
      <c r="L2090" s="24"/>
      <c r="M2090" s="24"/>
      <c r="N2090" s="24"/>
      <c r="O2090" s="24"/>
      <c r="P2090" s="24"/>
      <c r="Q2090" s="24"/>
      <c r="R2090" s="24"/>
      <c r="S2090" s="24"/>
      <c r="T2090" s="24"/>
      <c r="Z2090" s="25"/>
    </row>
    <row r="2091">
      <c r="A2091" s="16"/>
      <c r="B2091" s="17"/>
      <c r="C2091" s="24"/>
      <c r="D2091" s="25"/>
      <c r="E2091" s="24"/>
      <c r="F2091" s="25"/>
      <c r="G2091" s="24"/>
      <c r="H2091" s="25"/>
      <c r="I2091" s="24"/>
      <c r="J2091" s="25"/>
      <c r="K2091" s="25"/>
      <c r="L2091" s="24"/>
      <c r="M2091" s="24"/>
      <c r="N2091" s="24"/>
      <c r="O2091" s="24"/>
      <c r="P2091" s="24"/>
      <c r="Q2091" s="24"/>
      <c r="R2091" s="24"/>
      <c r="S2091" s="24"/>
      <c r="T2091" s="24"/>
      <c r="Z2091" s="25"/>
    </row>
    <row r="2092">
      <c r="A2092" s="16"/>
      <c r="B2092" s="17"/>
      <c r="C2092" s="24"/>
      <c r="D2092" s="25"/>
      <c r="E2092" s="24"/>
      <c r="F2092" s="25"/>
      <c r="G2092" s="24"/>
      <c r="H2092" s="25"/>
      <c r="I2092" s="24"/>
      <c r="J2092" s="25"/>
      <c r="K2092" s="25"/>
      <c r="L2092" s="24"/>
      <c r="M2092" s="24"/>
      <c r="N2092" s="24"/>
      <c r="O2092" s="24"/>
      <c r="P2092" s="24"/>
      <c r="Q2092" s="24"/>
      <c r="R2092" s="24"/>
      <c r="S2092" s="24"/>
      <c r="T2092" s="24"/>
      <c r="Z2092" s="25"/>
    </row>
    <row r="2093">
      <c r="A2093" s="16"/>
      <c r="B2093" s="17"/>
      <c r="C2093" s="24"/>
      <c r="D2093" s="25"/>
      <c r="E2093" s="24"/>
      <c r="F2093" s="25"/>
      <c r="G2093" s="24"/>
      <c r="H2093" s="25"/>
      <c r="I2093" s="24"/>
      <c r="J2093" s="25"/>
      <c r="K2093" s="25"/>
      <c r="L2093" s="24"/>
      <c r="M2093" s="24"/>
      <c r="N2093" s="24"/>
      <c r="O2093" s="24"/>
      <c r="P2093" s="24"/>
      <c r="Q2093" s="24"/>
      <c r="R2093" s="24"/>
      <c r="S2093" s="24"/>
      <c r="T2093" s="24"/>
      <c r="Z2093" s="25"/>
    </row>
    <row r="2094">
      <c r="A2094" s="16"/>
      <c r="B2094" s="17"/>
      <c r="C2094" s="24"/>
      <c r="D2094" s="25"/>
      <c r="E2094" s="24"/>
      <c r="F2094" s="25"/>
      <c r="G2094" s="24"/>
      <c r="H2094" s="25"/>
      <c r="I2094" s="24"/>
      <c r="J2094" s="25"/>
      <c r="K2094" s="25"/>
      <c r="L2094" s="24"/>
      <c r="M2094" s="24"/>
      <c r="N2094" s="24"/>
      <c r="O2094" s="24"/>
      <c r="P2094" s="24"/>
      <c r="Q2094" s="24"/>
      <c r="R2094" s="24"/>
      <c r="S2094" s="24"/>
      <c r="T2094" s="24"/>
      <c r="Z2094" s="25"/>
    </row>
    <row r="2095">
      <c r="A2095" s="16"/>
      <c r="B2095" s="17"/>
      <c r="C2095" s="24"/>
      <c r="D2095" s="25"/>
      <c r="E2095" s="24"/>
      <c r="F2095" s="25"/>
      <c r="G2095" s="24"/>
      <c r="H2095" s="25"/>
      <c r="I2095" s="24"/>
      <c r="J2095" s="25"/>
      <c r="K2095" s="25"/>
      <c r="L2095" s="24"/>
      <c r="M2095" s="24"/>
      <c r="N2095" s="24"/>
      <c r="O2095" s="24"/>
      <c r="P2095" s="24"/>
      <c r="Q2095" s="24"/>
      <c r="R2095" s="24"/>
      <c r="S2095" s="24"/>
      <c r="T2095" s="24"/>
      <c r="Z2095" s="25"/>
    </row>
    <row r="2096">
      <c r="A2096" s="16"/>
      <c r="B2096" s="17"/>
      <c r="C2096" s="24"/>
      <c r="D2096" s="25"/>
      <c r="E2096" s="24"/>
      <c r="F2096" s="25"/>
      <c r="G2096" s="24"/>
      <c r="H2096" s="25"/>
      <c r="I2096" s="24"/>
      <c r="J2096" s="25"/>
      <c r="K2096" s="25"/>
      <c r="L2096" s="24"/>
      <c r="M2096" s="24"/>
      <c r="N2096" s="24"/>
      <c r="O2096" s="24"/>
      <c r="P2096" s="24"/>
      <c r="Q2096" s="24"/>
      <c r="R2096" s="24"/>
      <c r="S2096" s="24"/>
      <c r="T2096" s="24"/>
      <c r="Z2096" s="25"/>
    </row>
    <row r="2097">
      <c r="A2097" s="16"/>
      <c r="B2097" s="17"/>
      <c r="C2097" s="24"/>
      <c r="D2097" s="25"/>
      <c r="E2097" s="24"/>
      <c r="F2097" s="25"/>
      <c r="G2097" s="24"/>
      <c r="H2097" s="25"/>
      <c r="I2097" s="24"/>
      <c r="J2097" s="25"/>
      <c r="K2097" s="25"/>
      <c r="L2097" s="24"/>
      <c r="M2097" s="24"/>
      <c r="N2097" s="24"/>
      <c r="O2097" s="24"/>
      <c r="P2097" s="24"/>
      <c r="Q2097" s="24"/>
      <c r="R2097" s="24"/>
      <c r="S2097" s="24"/>
      <c r="T2097" s="24"/>
      <c r="Z2097" s="25"/>
    </row>
    <row r="2098">
      <c r="A2098" s="16"/>
      <c r="B2098" s="17"/>
      <c r="C2098" s="24"/>
      <c r="D2098" s="25"/>
      <c r="E2098" s="24"/>
      <c r="F2098" s="25"/>
      <c r="G2098" s="24"/>
      <c r="H2098" s="25"/>
      <c r="I2098" s="24"/>
      <c r="J2098" s="25"/>
      <c r="K2098" s="25"/>
      <c r="L2098" s="24"/>
      <c r="M2098" s="24"/>
      <c r="N2098" s="24"/>
      <c r="O2098" s="24"/>
      <c r="P2098" s="24"/>
      <c r="Q2098" s="24"/>
      <c r="R2098" s="24"/>
      <c r="S2098" s="24"/>
      <c r="T2098" s="24"/>
      <c r="Z2098" s="25"/>
    </row>
    <row r="2099">
      <c r="A2099" s="16"/>
      <c r="B2099" s="17"/>
      <c r="C2099" s="24"/>
      <c r="D2099" s="25"/>
      <c r="E2099" s="24"/>
      <c r="F2099" s="25"/>
      <c r="G2099" s="24"/>
      <c r="H2099" s="25"/>
      <c r="I2099" s="24"/>
      <c r="J2099" s="25"/>
      <c r="K2099" s="25"/>
      <c r="L2099" s="24"/>
      <c r="M2099" s="24"/>
      <c r="N2099" s="24"/>
      <c r="O2099" s="24"/>
      <c r="P2099" s="24"/>
      <c r="Q2099" s="24"/>
      <c r="R2099" s="24"/>
      <c r="S2099" s="24"/>
      <c r="T2099" s="24"/>
      <c r="Z2099" s="25"/>
    </row>
    <row r="2100">
      <c r="A2100" s="16"/>
      <c r="B2100" s="17"/>
      <c r="C2100" s="24"/>
      <c r="D2100" s="25"/>
      <c r="E2100" s="24"/>
      <c r="F2100" s="25"/>
      <c r="G2100" s="24"/>
      <c r="H2100" s="25"/>
      <c r="I2100" s="24"/>
      <c r="J2100" s="25"/>
      <c r="K2100" s="25"/>
      <c r="L2100" s="24"/>
      <c r="M2100" s="24"/>
      <c r="N2100" s="24"/>
      <c r="O2100" s="24"/>
      <c r="P2100" s="24"/>
      <c r="Q2100" s="24"/>
      <c r="R2100" s="24"/>
      <c r="S2100" s="24"/>
      <c r="T2100" s="24"/>
      <c r="Z2100" s="25"/>
    </row>
    <row r="2101">
      <c r="A2101" s="16"/>
      <c r="B2101" s="17"/>
      <c r="C2101" s="24"/>
      <c r="D2101" s="25"/>
      <c r="E2101" s="24"/>
      <c r="F2101" s="25"/>
      <c r="G2101" s="24"/>
      <c r="H2101" s="25"/>
      <c r="I2101" s="24"/>
      <c r="J2101" s="25"/>
      <c r="K2101" s="25"/>
      <c r="L2101" s="24"/>
      <c r="M2101" s="24"/>
      <c r="N2101" s="24"/>
      <c r="O2101" s="24"/>
      <c r="P2101" s="24"/>
      <c r="Q2101" s="24"/>
      <c r="R2101" s="24"/>
      <c r="S2101" s="24"/>
      <c r="T2101" s="24"/>
      <c r="Z2101" s="25"/>
    </row>
    <row r="2102">
      <c r="A2102" s="16"/>
      <c r="B2102" s="17"/>
      <c r="C2102" s="24"/>
      <c r="D2102" s="25"/>
      <c r="E2102" s="24"/>
      <c r="F2102" s="25"/>
      <c r="G2102" s="24"/>
      <c r="H2102" s="25"/>
      <c r="I2102" s="24"/>
      <c r="J2102" s="25"/>
      <c r="K2102" s="25"/>
      <c r="L2102" s="24"/>
      <c r="M2102" s="24"/>
      <c r="N2102" s="24"/>
      <c r="O2102" s="24"/>
      <c r="P2102" s="24"/>
      <c r="Q2102" s="24"/>
      <c r="R2102" s="24"/>
      <c r="S2102" s="24"/>
      <c r="T2102" s="24"/>
      <c r="Z2102" s="25"/>
    </row>
    <row r="2103">
      <c r="A2103" s="16"/>
      <c r="B2103" s="17"/>
      <c r="C2103" s="24"/>
      <c r="D2103" s="25"/>
      <c r="E2103" s="24"/>
      <c r="F2103" s="25"/>
      <c r="G2103" s="24"/>
      <c r="H2103" s="25"/>
      <c r="I2103" s="24"/>
      <c r="J2103" s="25"/>
      <c r="K2103" s="25"/>
      <c r="L2103" s="24"/>
      <c r="M2103" s="24"/>
      <c r="N2103" s="24"/>
      <c r="O2103" s="24"/>
      <c r="P2103" s="24"/>
      <c r="Q2103" s="24"/>
      <c r="R2103" s="24"/>
      <c r="S2103" s="24"/>
      <c r="T2103" s="24"/>
      <c r="Z2103" s="25"/>
    </row>
    <row r="2104">
      <c r="A2104" s="16"/>
      <c r="B2104" s="17"/>
      <c r="C2104" s="24"/>
      <c r="D2104" s="25"/>
      <c r="E2104" s="24"/>
      <c r="F2104" s="25"/>
      <c r="G2104" s="24"/>
      <c r="H2104" s="25"/>
      <c r="I2104" s="24"/>
      <c r="J2104" s="25"/>
      <c r="K2104" s="25"/>
      <c r="L2104" s="24"/>
      <c r="M2104" s="24"/>
      <c r="N2104" s="24"/>
      <c r="O2104" s="24"/>
      <c r="P2104" s="24"/>
      <c r="Q2104" s="24"/>
      <c r="R2104" s="24"/>
      <c r="S2104" s="24"/>
      <c r="T2104" s="24"/>
      <c r="Z2104" s="25"/>
    </row>
    <row r="2105">
      <c r="A2105" s="16"/>
      <c r="B2105" s="17"/>
      <c r="C2105" s="24"/>
      <c r="D2105" s="25"/>
      <c r="E2105" s="24"/>
      <c r="F2105" s="25"/>
      <c r="G2105" s="24"/>
      <c r="H2105" s="25"/>
      <c r="I2105" s="24"/>
      <c r="J2105" s="25"/>
      <c r="K2105" s="25"/>
      <c r="L2105" s="24"/>
      <c r="M2105" s="24"/>
      <c r="N2105" s="24"/>
      <c r="O2105" s="24"/>
      <c r="P2105" s="24"/>
      <c r="Q2105" s="24"/>
      <c r="R2105" s="24"/>
      <c r="S2105" s="24"/>
      <c r="T2105" s="24"/>
      <c r="Z2105" s="25"/>
    </row>
    <row r="2106">
      <c r="A2106" s="16"/>
      <c r="B2106" s="17"/>
      <c r="C2106" s="24"/>
      <c r="D2106" s="25"/>
      <c r="E2106" s="24"/>
      <c r="F2106" s="25"/>
      <c r="G2106" s="24"/>
      <c r="H2106" s="25"/>
      <c r="I2106" s="24"/>
      <c r="J2106" s="25"/>
      <c r="K2106" s="25"/>
      <c r="L2106" s="24"/>
      <c r="M2106" s="24"/>
      <c r="N2106" s="24"/>
      <c r="O2106" s="24"/>
      <c r="P2106" s="24"/>
      <c r="Q2106" s="24"/>
      <c r="R2106" s="24"/>
      <c r="S2106" s="24"/>
      <c r="T2106" s="24"/>
      <c r="Z2106" s="25"/>
    </row>
    <row r="2107">
      <c r="A2107" s="16"/>
      <c r="B2107" s="17"/>
      <c r="C2107" s="24"/>
      <c r="D2107" s="25"/>
      <c r="E2107" s="24"/>
      <c r="F2107" s="25"/>
      <c r="G2107" s="24"/>
      <c r="H2107" s="25"/>
      <c r="I2107" s="24"/>
      <c r="J2107" s="25"/>
      <c r="K2107" s="25"/>
      <c r="L2107" s="24"/>
      <c r="M2107" s="24"/>
      <c r="N2107" s="24"/>
      <c r="O2107" s="24"/>
      <c r="P2107" s="24"/>
      <c r="Q2107" s="24"/>
      <c r="R2107" s="24"/>
      <c r="S2107" s="24"/>
      <c r="T2107" s="24"/>
      <c r="Z2107" s="25"/>
    </row>
    <row r="2108">
      <c r="A2108" s="16"/>
      <c r="B2108" s="17"/>
      <c r="C2108" s="24"/>
      <c r="D2108" s="25"/>
      <c r="E2108" s="24"/>
      <c r="F2108" s="25"/>
      <c r="G2108" s="24"/>
      <c r="H2108" s="25"/>
      <c r="I2108" s="24"/>
      <c r="J2108" s="25"/>
      <c r="K2108" s="25"/>
      <c r="L2108" s="24"/>
      <c r="M2108" s="24"/>
      <c r="N2108" s="24"/>
      <c r="O2108" s="24"/>
      <c r="P2108" s="24"/>
      <c r="Q2108" s="24"/>
      <c r="R2108" s="24"/>
      <c r="S2108" s="24"/>
      <c r="T2108" s="24"/>
      <c r="Z2108" s="25"/>
    </row>
    <row r="2109">
      <c r="A2109" s="16"/>
      <c r="B2109" s="17"/>
      <c r="C2109" s="24"/>
      <c r="D2109" s="25"/>
      <c r="E2109" s="24"/>
      <c r="F2109" s="25"/>
      <c r="G2109" s="24"/>
      <c r="H2109" s="25"/>
      <c r="I2109" s="24"/>
      <c r="J2109" s="25"/>
      <c r="K2109" s="25"/>
      <c r="L2109" s="24"/>
      <c r="M2109" s="24"/>
      <c r="N2109" s="24"/>
      <c r="O2109" s="24"/>
      <c r="P2109" s="24"/>
      <c r="Q2109" s="24"/>
      <c r="R2109" s="24"/>
      <c r="S2109" s="24"/>
      <c r="T2109" s="24"/>
      <c r="Z2109" s="25"/>
    </row>
    <row r="2110">
      <c r="A2110" s="16"/>
      <c r="B2110" s="17"/>
      <c r="C2110" s="24"/>
      <c r="D2110" s="25"/>
      <c r="E2110" s="24"/>
      <c r="F2110" s="25"/>
      <c r="G2110" s="24"/>
      <c r="H2110" s="25"/>
      <c r="I2110" s="24"/>
      <c r="J2110" s="25"/>
      <c r="K2110" s="25"/>
      <c r="L2110" s="24"/>
      <c r="M2110" s="24"/>
      <c r="N2110" s="24"/>
      <c r="O2110" s="24"/>
      <c r="P2110" s="24"/>
      <c r="Q2110" s="24"/>
      <c r="R2110" s="24"/>
      <c r="S2110" s="24"/>
      <c r="T2110" s="24"/>
      <c r="Z2110" s="25"/>
    </row>
    <row r="2111">
      <c r="A2111" s="16"/>
      <c r="B2111" s="17"/>
      <c r="C2111" s="24"/>
      <c r="D2111" s="25"/>
      <c r="E2111" s="24"/>
      <c r="F2111" s="25"/>
      <c r="G2111" s="24"/>
      <c r="H2111" s="25"/>
      <c r="I2111" s="24"/>
      <c r="J2111" s="25"/>
      <c r="K2111" s="25"/>
      <c r="L2111" s="24"/>
      <c r="M2111" s="24"/>
      <c r="N2111" s="24"/>
      <c r="O2111" s="24"/>
      <c r="P2111" s="24"/>
      <c r="Q2111" s="24"/>
      <c r="R2111" s="24"/>
      <c r="S2111" s="24"/>
      <c r="T2111" s="24"/>
      <c r="Z2111" s="25"/>
    </row>
    <row r="2112">
      <c r="A2112" s="16"/>
      <c r="B2112" s="17"/>
      <c r="C2112" s="24"/>
      <c r="D2112" s="25"/>
      <c r="E2112" s="24"/>
      <c r="F2112" s="25"/>
      <c r="G2112" s="24"/>
      <c r="H2112" s="25"/>
      <c r="I2112" s="24"/>
      <c r="J2112" s="25"/>
      <c r="K2112" s="25"/>
      <c r="L2112" s="24"/>
      <c r="M2112" s="24"/>
      <c r="N2112" s="24"/>
      <c r="O2112" s="24"/>
      <c r="P2112" s="24"/>
      <c r="Q2112" s="24"/>
      <c r="R2112" s="24"/>
      <c r="S2112" s="24"/>
      <c r="T2112" s="24"/>
      <c r="Z2112" s="25"/>
    </row>
    <row r="2113">
      <c r="A2113" s="16"/>
      <c r="B2113" s="17"/>
      <c r="C2113" s="24"/>
      <c r="D2113" s="25"/>
      <c r="E2113" s="24"/>
      <c r="F2113" s="25"/>
      <c r="G2113" s="24"/>
      <c r="H2113" s="25"/>
      <c r="I2113" s="24"/>
      <c r="J2113" s="25"/>
      <c r="K2113" s="25"/>
      <c r="L2113" s="24"/>
      <c r="M2113" s="24"/>
      <c r="N2113" s="24"/>
      <c r="O2113" s="24"/>
      <c r="P2113" s="24"/>
      <c r="Q2113" s="24"/>
      <c r="R2113" s="24"/>
      <c r="S2113" s="24"/>
      <c r="T2113" s="24"/>
      <c r="Z2113" s="25"/>
    </row>
    <row r="2114">
      <c r="A2114" s="16"/>
      <c r="B2114" s="17"/>
      <c r="C2114" s="24"/>
      <c r="D2114" s="25"/>
      <c r="E2114" s="24"/>
      <c r="F2114" s="25"/>
      <c r="G2114" s="24"/>
      <c r="H2114" s="25"/>
      <c r="I2114" s="24"/>
      <c r="J2114" s="25"/>
      <c r="K2114" s="25"/>
      <c r="L2114" s="24"/>
      <c r="M2114" s="24"/>
      <c r="N2114" s="24"/>
      <c r="O2114" s="24"/>
      <c r="P2114" s="24"/>
      <c r="Q2114" s="24"/>
      <c r="R2114" s="24"/>
      <c r="S2114" s="24"/>
      <c r="T2114" s="24"/>
      <c r="Z2114" s="25"/>
    </row>
    <row r="2115">
      <c r="A2115" s="16"/>
      <c r="B2115" s="17"/>
      <c r="C2115" s="24"/>
      <c r="D2115" s="25"/>
      <c r="E2115" s="24"/>
      <c r="F2115" s="25"/>
      <c r="G2115" s="24"/>
      <c r="H2115" s="25"/>
      <c r="I2115" s="24"/>
      <c r="J2115" s="25"/>
      <c r="K2115" s="25"/>
      <c r="L2115" s="24"/>
      <c r="M2115" s="24"/>
      <c r="N2115" s="24"/>
      <c r="O2115" s="24"/>
      <c r="P2115" s="24"/>
      <c r="Q2115" s="24"/>
      <c r="R2115" s="24"/>
      <c r="S2115" s="24"/>
      <c r="T2115" s="24"/>
      <c r="Z2115" s="25"/>
    </row>
    <row r="2116">
      <c r="A2116" s="16"/>
      <c r="B2116" s="17"/>
      <c r="C2116" s="24"/>
      <c r="D2116" s="25"/>
      <c r="E2116" s="24"/>
      <c r="F2116" s="25"/>
      <c r="G2116" s="24"/>
      <c r="H2116" s="25"/>
      <c r="I2116" s="24"/>
      <c r="J2116" s="25"/>
      <c r="K2116" s="25"/>
      <c r="L2116" s="24"/>
      <c r="M2116" s="24"/>
      <c r="N2116" s="24"/>
      <c r="O2116" s="24"/>
      <c r="P2116" s="24"/>
      <c r="Q2116" s="24"/>
      <c r="R2116" s="24"/>
      <c r="S2116" s="24"/>
      <c r="T2116" s="24"/>
      <c r="Z2116" s="25"/>
    </row>
    <row r="2117">
      <c r="A2117" s="16"/>
      <c r="B2117" s="17"/>
      <c r="C2117" s="24"/>
      <c r="D2117" s="25"/>
      <c r="E2117" s="24"/>
      <c r="F2117" s="25"/>
      <c r="G2117" s="24"/>
      <c r="H2117" s="25"/>
      <c r="I2117" s="24"/>
      <c r="J2117" s="25"/>
      <c r="K2117" s="25"/>
      <c r="L2117" s="24"/>
      <c r="M2117" s="24"/>
      <c r="N2117" s="24"/>
      <c r="O2117" s="24"/>
      <c r="P2117" s="24"/>
      <c r="Q2117" s="24"/>
      <c r="R2117" s="24"/>
      <c r="S2117" s="24"/>
      <c r="T2117" s="24"/>
      <c r="Z2117" s="25"/>
    </row>
    <row r="2118">
      <c r="A2118" s="16"/>
      <c r="B2118" s="17"/>
      <c r="C2118" s="24"/>
      <c r="D2118" s="25"/>
      <c r="E2118" s="24"/>
      <c r="F2118" s="25"/>
      <c r="G2118" s="24"/>
      <c r="H2118" s="25"/>
      <c r="I2118" s="24"/>
      <c r="J2118" s="25"/>
      <c r="K2118" s="25"/>
      <c r="L2118" s="24"/>
      <c r="M2118" s="24"/>
      <c r="N2118" s="24"/>
      <c r="O2118" s="24"/>
      <c r="P2118" s="24"/>
      <c r="Q2118" s="24"/>
      <c r="R2118" s="24"/>
      <c r="S2118" s="24"/>
      <c r="T2118" s="24"/>
      <c r="Z2118" s="25"/>
    </row>
    <row r="2119">
      <c r="A2119" s="16"/>
      <c r="B2119" s="17"/>
      <c r="C2119" s="24"/>
      <c r="D2119" s="25"/>
      <c r="E2119" s="24"/>
      <c r="F2119" s="25"/>
      <c r="G2119" s="24"/>
      <c r="H2119" s="25"/>
      <c r="I2119" s="24"/>
      <c r="J2119" s="25"/>
      <c r="K2119" s="25"/>
      <c r="L2119" s="24"/>
      <c r="M2119" s="24"/>
      <c r="N2119" s="24"/>
      <c r="O2119" s="24"/>
      <c r="P2119" s="24"/>
      <c r="Q2119" s="24"/>
      <c r="R2119" s="24"/>
      <c r="S2119" s="24"/>
      <c r="T2119" s="24"/>
      <c r="Z2119" s="25"/>
    </row>
    <row r="2120">
      <c r="A2120" s="16"/>
      <c r="B2120" s="17"/>
      <c r="C2120" s="24"/>
      <c r="D2120" s="25"/>
      <c r="E2120" s="24"/>
      <c r="F2120" s="25"/>
      <c r="G2120" s="24"/>
      <c r="H2120" s="25"/>
      <c r="I2120" s="24"/>
      <c r="J2120" s="25"/>
      <c r="K2120" s="25"/>
      <c r="L2120" s="24"/>
      <c r="M2120" s="24"/>
      <c r="N2120" s="24"/>
      <c r="O2120" s="24"/>
      <c r="P2120" s="24"/>
      <c r="Q2120" s="24"/>
      <c r="R2120" s="24"/>
      <c r="S2120" s="24"/>
      <c r="T2120" s="24"/>
      <c r="Z2120" s="25"/>
    </row>
    <row r="2121">
      <c r="A2121" s="16"/>
      <c r="B2121" s="17"/>
      <c r="C2121" s="24"/>
      <c r="D2121" s="25"/>
      <c r="E2121" s="24"/>
      <c r="F2121" s="25"/>
      <c r="G2121" s="24"/>
      <c r="H2121" s="25"/>
      <c r="I2121" s="24"/>
      <c r="J2121" s="25"/>
      <c r="K2121" s="25"/>
      <c r="L2121" s="24"/>
      <c r="M2121" s="24"/>
      <c r="N2121" s="24"/>
      <c r="O2121" s="24"/>
      <c r="P2121" s="24"/>
      <c r="Q2121" s="24"/>
      <c r="R2121" s="24"/>
      <c r="S2121" s="24"/>
      <c r="T2121" s="24"/>
      <c r="Z2121" s="25"/>
    </row>
    <row r="2122">
      <c r="A2122" s="16"/>
      <c r="B2122" s="17"/>
      <c r="C2122" s="24"/>
      <c r="D2122" s="25"/>
      <c r="E2122" s="24"/>
      <c r="F2122" s="25"/>
      <c r="G2122" s="24"/>
      <c r="H2122" s="25"/>
      <c r="I2122" s="24"/>
      <c r="J2122" s="25"/>
      <c r="K2122" s="25"/>
      <c r="L2122" s="24"/>
      <c r="M2122" s="24"/>
      <c r="N2122" s="24"/>
      <c r="O2122" s="24"/>
      <c r="P2122" s="24"/>
      <c r="Q2122" s="24"/>
      <c r="R2122" s="24"/>
      <c r="S2122" s="24"/>
      <c r="T2122" s="24"/>
      <c r="Z2122" s="25"/>
    </row>
    <row r="2123">
      <c r="A2123" s="16"/>
      <c r="B2123" s="17"/>
      <c r="C2123" s="24"/>
      <c r="D2123" s="25"/>
      <c r="E2123" s="24"/>
      <c r="F2123" s="25"/>
      <c r="G2123" s="24"/>
      <c r="H2123" s="25"/>
      <c r="I2123" s="24"/>
      <c r="J2123" s="25"/>
      <c r="K2123" s="25"/>
      <c r="L2123" s="24"/>
      <c r="M2123" s="24"/>
      <c r="N2123" s="24"/>
      <c r="O2123" s="24"/>
      <c r="P2123" s="24"/>
      <c r="Q2123" s="24"/>
      <c r="R2123" s="24"/>
      <c r="S2123" s="24"/>
      <c r="T2123" s="24"/>
      <c r="Z2123" s="25"/>
    </row>
    <row r="2124">
      <c r="A2124" s="16"/>
      <c r="B2124" s="17"/>
      <c r="C2124" s="24"/>
      <c r="D2124" s="25"/>
      <c r="E2124" s="24"/>
      <c r="F2124" s="25"/>
      <c r="G2124" s="24"/>
      <c r="H2124" s="25"/>
      <c r="I2124" s="24"/>
      <c r="J2124" s="25"/>
      <c r="K2124" s="25"/>
      <c r="L2124" s="24"/>
      <c r="M2124" s="24"/>
      <c r="N2124" s="24"/>
      <c r="O2124" s="24"/>
      <c r="P2124" s="24"/>
      <c r="Q2124" s="24"/>
      <c r="R2124" s="24"/>
      <c r="S2124" s="24"/>
      <c r="T2124" s="24"/>
      <c r="Z2124" s="25"/>
    </row>
    <row r="2125">
      <c r="A2125" s="16"/>
      <c r="B2125" s="17"/>
      <c r="C2125" s="24"/>
      <c r="D2125" s="25"/>
      <c r="E2125" s="24"/>
      <c r="F2125" s="25"/>
      <c r="G2125" s="24"/>
      <c r="H2125" s="25"/>
      <c r="I2125" s="24"/>
      <c r="J2125" s="25"/>
      <c r="K2125" s="25"/>
      <c r="L2125" s="24"/>
      <c r="M2125" s="24"/>
      <c r="N2125" s="24"/>
      <c r="O2125" s="24"/>
      <c r="P2125" s="24"/>
      <c r="Q2125" s="24"/>
      <c r="R2125" s="24"/>
      <c r="S2125" s="24"/>
      <c r="T2125" s="24"/>
      <c r="Z2125" s="25"/>
    </row>
    <row r="2126">
      <c r="A2126" s="16"/>
      <c r="B2126" s="17"/>
      <c r="C2126" s="24"/>
      <c r="D2126" s="25"/>
      <c r="E2126" s="24"/>
      <c r="F2126" s="25"/>
      <c r="G2126" s="24"/>
      <c r="H2126" s="25"/>
      <c r="I2126" s="24"/>
      <c r="J2126" s="25"/>
      <c r="K2126" s="25"/>
      <c r="L2126" s="24"/>
      <c r="M2126" s="24"/>
      <c r="N2126" s="24"/>
      <c r="O2126" s="24"/>
      <c r="P2126" s="24"/>
      <c r="Q2126" s="24"/>
      <c r="R2126" s="24"/>
      <c r="S2126" s="24"/>
      <c r="T2126" s="24"/>
      <c r="Z2126" s="25"/>
    </row>
    <row r="2127">
      <c r="A2127" s="16"/>
      <c r="B2127" s="17"/>
      <c r="C2127" s="24"/>
      <c r="D2127" s="25"/>
      <c r="E2127" s="24"/>
      <c r="F2127" s="25"/>
      <c r="G2127" s="24"/>
      <c r="H2127" s="25"/>
      <c r="I2127" s="24"/>
      <c r="J2127" s="25"/>
      <c r="K2127" s="25"/>
      <c r="L2127" s="24"/>
      <c r="M2127" s="24"/>
      <c r="N2127" s="24"/>
      <c r="O2127" s="24"/>
      <c r="P2127" s="24"/>
      <c r="Q2127" s="24"/>
      <c r="R2127" s="24"/>
      <c r="S2127" s="24"/>
      <c r="T2127" s="24"/>
      <c r="Z2127" s="25"/>
    </row>
    <row r="2128">
      <c r="A2128" s="16"/>
      <c r="B2128" s="17"/>
      <c r="C2128" s="24"/>
      <c r="D2128" s="25"/>
      <c r="E2128" s="24"/>
      <c r="F2128" s="25"/>
      <c r="G2128" s="24"/>
      <c r="H2128" s="25"/>
      <c r="I2128" s="24"/>
      <c r="J2128" s="25"/>
      <c r="K2128" s="25"/>
      <c r="L2128" s="24"/>
      <c r="M2128" s="24"/>
      <c r="N2128" s="24"/>
      <c r="O2128" s="24"/>
      <c r="P2128" s="24"/>
      <c r="Q2128" s="24"/>
      <c r="R2128" s="24"/>
      <c r="S2128" s="24"/>
      <c r="T2128" s="24"/>
      <c r="Z2128" s="25"/>
    </row>
    <row r="2129">
      <c r="A2129" s="16"/>
      <c r="B2129" s="17"/>
      <c r="C2129" s="24"/>
      <c r="D2129" s="25"/>
      <c r="E2129" s="24"/>
      <c r="F2129" s="25"/>
      <c r="G2129" s="24"/>
      <c r="H2129" s="25"/>
      <c r="I2129" s="24"/>
      <c r="J2129" s="25"/>
      <c r="K2129" s="25"/>
      <c r="L2129" s="24"/>
      <c r="M2129" s="24"/>
      <c r="N2129" s="24"/>
      <c r="O2129" s="24"/>
      <c r="P2129" s="24"/>
      <c r="Q2129" s="24"/>
      <c r="R2129" s="24"/>
      <c r="S2129" s="24"/>
      <c r="T2129" s="24"/>
      <c r="Z2129" s="25"/>
    </row>
    <row r="2130">
      <c r="A2130" s="16"/>
      <c r="B2130" s="17"/>
      <c r="C2130" s="24"/>
      <c r="D2130" s="25"/>
      <c r="E2130" s="24"/>
      <c r="F2130" s="25"/>
      <c r="G2130" s="24"/>
      <c r="H2130" s="25"/>
      <c r="I2130" s="24"/>
      <c r="J2130" s="25"/>
      <c r="K2130" s="25"/>
      <c r="L2130" s="24"/>
      <c r="M2130" s="24"/>
      <c r="N2130" s="24"/>
      <c r="O2130" s="24"/>
      <c r="P2130" s="24"/>
      <c r="Q2130" s="24"/>
      <c r="R2130" s="24"/>
      <c r="S2130" s="24"/>
      <c r="T2130" s="24"/>
      <c r="Z2130" s="25"/>
    </row>
    <row r="2131">
      <c r="A2131" s="16"/>
      <c r="B2131" s="17"/>
      <c r="C2131" s="24"/>
      <c r="D2131" s="25"/>
      <c r="E2131" s="24"/>
      <c r="F2131" s="25"/>
      <c r="G2131" s="24"/>
      <c r="H2131" s="25"/>
      <c r="I2131" s="24"/>
      <c r="J2131" s="25"/>
      <c r="K2131" s="25"/>
      <c r="L2131" s="24"/>
      <c r="M2131" s="24"/>
      <c r="N2131" s="24"/>
      <c r="O2131" s="24"/>
      <c r="P2131" s="24"/>
      <c r="Q2131" s="24"/>
      <c r="R2131" s="24"/>
      <c r="S2131" s="24"/>
      <c r="T2131" s="24"/>
      <c r="Z2131" s="25"/>
    </row>
    <row r="2132">
      <c r="A2132" s="16"/>
      <c r="B2132" s="17"/>
      <c r="C2132" s="24"/>
      <c r="D2132" s="25"/>
      <c r="E2132" s="24"/>
      <c r="F2132" s="25"/>
      <c r="G2132" s="24"/>
      <c r="H2132" s="25"/>
      <c r="I2132" s="24"/>
      <c r="J2132" s="25"/>
      <c r="K2132" s="25"/>
      <c r="L2132" s="24"/>
      <c r="M2132" s="24"/>
      <c r="N2132" s="24"/>
      <c r="O2132" s="24"/>
      <c r="P2132" s="24"/>
      <c r="Q2132" s="24"/>
      <c r="R2132" s="24"/>
      <c r="S2132" s="24"/>
      <c r="T2132" s="24"/>
      <c r="Z2132" s="25"/>
    </row>
    <row r="2133">
      <c r="A2133" s="16"/>
      <c r="B2133" s="17"/>
      <c r="C2133" s="24"/>
      <c r="D2133" s="25"/>
      <c r="E2133" s="24"/>
      <c r="F2133" s="25"/>
      <c r="G2133" s="24"/>
      <c r="H2133" s="25"/>
      <c r="I2133" s="24"/>
      <c r="J2133" s="25"/>
      <c r="K2133" s="25"/>
      <c r="L2133" s="24"/>
      <c r="M2133" s="24"/>
      <c r="N2133" s="24"/>
      <c r="O2133" s="24"/>
      <c r="P2133" s="24"/>
      <c r="Q2133" s="24"/>
      <c r="R2133" s="24"/>
      <c r="S2133" s="24"/>
      <c r="T2133" s="24"/>
      <c r="Z2133" s="25"/>
    </row>
    <row r="2134">
      <c r="A2134" s="16"/>
      <c r="B2134" s="17"/>
      <c r="C2134" s="24"/>
      <c r="D2134" s="25"/>
      <c r="E2134" s="24"/>
      <c r="F2134" s="25"/>
      <c r="G2134" s="24"/>
      <c r="H2134" s="25"/>
      <c r="I2134" s="24"/>
      <c r="J2134" s="25"/>
      <c r="K2134" s="25"/>
      <c r="L2134" s="24"/>
      <c r="M2134" s="24"/>
      <c r="N2134" s="24"/>
      <c r="O2134" s="24"/>
      <c r="P2134" s="24"/>
      <c r="Q2134" s="24"/>
      <c r="R2134" s="24"/>
      <c r="S2134" s="24"/>
      <c r="T2134" s="24"/>
      <c r="Z2134" s="25"/>
    </row>
    <row r="2135">
      <c r="A2135" s="16"/>
      <c r="B2135" s="17"/>
      <c r="C2135" s="24"/>
      <c r="D2135" s="25"/>
      <c r="E2135" s="24"/>
      <c r="F2135" s="25"/>
      <c r="G2135" s="24"/>
      <c r="H2135" s="25"/>
      <c r="I2135" s="24"/>
      <c r="J2135" s="25"/>
      <c r="K2135" s="25"/>
      <c r="L2135" s="24"/>
      <c r="M2135" s="24"/>
      <c r="N2135" s="24"/>
      <c r="O2135" s="24"/>
      <c r="P2135" s="24"/>
      <c r="Q2135" s="24"/>
      <c r="R2135" s="24"/>
      <c r="S2135" s="24"/>
      <c r="T2135" s="24"/>
      <c r="Z2135" s="25"/>
    </row>
    <row r="2136">
      <c r="A2136" s="16"/>
      <c r="B2136" s="17"/>
      <c r="C2136" s="24"/>
      <c r="D2136" s="25"/>
      <c r="E2136" s="24"/>
      <c r="F2136" s="25"/>
      <c r="G2136" s="24"/>
      <c r="H2136" s="25"/>
      <c r="I2136" s="24"/>
      <c r="J2136" s="25"/>
      <c r="K2136" s="25"/>
      <c r="L2136" s="24"/>
      <c r="M2136" s="24"/>
      <c r="N2136" s="24"/>
      <c r="O2136" s="24"/>
      <c r="P2136" s="24"/>
      <c r="Q2136" s="24"/>
      <c r="R2136" s="24"/>
      <c r="S2136" s="24"/>
      <c r="T2136" s="24"/>
      <c r="Z2136" s="25"/>
    </row>
    <row r="2137">
      <c r="A2137" s="16"/>
      <c r="B2137" s="17"/>
      <c r="C2137" s="24"/>
      <c r="D2137" s="25"/>
      <c r="E2137" s="24"/>
      <c r="F2137" s="25"/>
      <c r="G2137" s="24"/>
      <c r="H2137" s="25"/>
      <c r="I2137" s="24"/>
      <c r="J2137" s="25"/>
      <c r="K2137" s="25"/>
      <c r="L2137" s="24"/>
      <c r="M2137" s="24"/>
      <c r="N2137" s="24"/>
      <c r="O2137" s="24"/>
      <c r="P2137" s="24"/>
      <c r="Q2137" s="24"/>
      <c r="R2137" s="24"/>
      <c r="S2137" s="24"/>
      <c r="T2137" s="24"/>
      <c r="Z2137" s="25"/>
    </row>
    <row r="2138">
      <c r="A2138" s="16"/>
      <c r="B2138" s="17"/>
      <c r="C2138" s="24"/>
      <c r="D2138" s="25"/>
      <c r="E2138" s="24"/>
      <c r="F2138" s="25"/>
      <c r="G2138" s="24"/>
      <c r="H2138" s="25"/>
      <c r="I2138" s="24"/>
      <c r="J2138" s="25"/>
      <c r="K2138" s="25"/>
      <c r="L2138" s="24"/>
      <c r="M2138" s="24"/>
      <c r="N2138" s="24"/>
      <c r="O2138" s="24"/>
      <c r="P2138" s="24"/>
      <c r="Q2138" s="24"/>
      <c r="R2138" s="24"/>
      <c r="S2138" s="24"/>
      <c r="T2138" s="24"/>
      <c r="Z2138" s="25"/>
    </row>
    <row r="2139">
      <c r="A2139" s="16"/>
      <c r="B2139" s="17"/>
      <c r="C2139" s="24"/>
      <c r="D2139" s="25"/>
      <c r="E2139" s="24"/>
      <c r="F2139" s="25"/>
      <c r="G2139" s="24"/>
      <c r="H2139" s="25"/>
      <c r="I2139" s="24"/>
      <c r="J2139" s="25"/>
      <c r="K2139" s="25"/>
      <c r="L2139" s="24"/>
      <c r="M2139" s="24"/>
      <c r="N2139" s="24"/>
      <c r="O2139" s="24"/>
      <c r="P2139" s="24"/>
      <c r="Q2139" s="24"/>
      <c r="R2139" s="24"/>
      <c r="S2139" s="24"/>
      <c r="T2139" s="24"/>
      <c r="Z2139" s="25"/>
    </row>
    <row r="2140">
      <c r="A2140" s="16"/>
      <c r="B2140" s="17"/>
      <c r="C2140" s="24"/>
      <c r="D2140" s="25"/>
      <c r="E2140" s="24"/>
      <c r="F2140" s="25"/>
      <c r="G2140" s="24"/>
      <c r="H2140" s="25"/>
      <c r="I2140" s="24"/>
      <c r="J2140" s="25"/>
      <c r="K2140" s="25"/>
      <c r="L2140" s="24"/>
      <c r="M2140" s="24"/>
      <c r="N2140" s="24"/>
      <c r="O2140" s="24"/>
      <c r="P2140" s="24"/>
      <c r="Q2140" s="24"/>
      <c r="R2140" s="24"/>
      <c r="S2140" s="24"/>
      <c r="T2140" s="24"/>
      <c r="Z2140" s="25"/>
    </row>
    <row r="2141">
      <c r="A2141" s="16"/>
      <c r="B2141" s="17"/>
      <c r="C2141" s="24"/>
      <c r="D2141" s="25"/>
      <c r="E2141" s="24"/>
      <c r="F2141" s="25"/>
      <c r="G2141" s="24"/>
      <c r="H2141" s="25"/>
      <c r="I2141" s="24"/>
      <c r="J2141" s="25"/>
      <c r="K2141" s="25"/>
      <c r="L2141" s="24"/>
      <c r="M2141" s="24"/>
      <c r="N2141" s="24"/>
      <c r="O2141" s="24"/>
      <c r="P2141" s="24"/>
      <c r="Q2141" s="24"/>
      <c r="R2141" s="24"/>
      <c r="S2141" s="24"/>
      <c r="T2141" s="24"/>
      <c r="Z2141" s="25"/>
    </row>
    <row r="2142">
      <c r="A2142" s="16"/>
      <c r="B2142" s="17"/>
      <c r="C2142" s="24"/>
      <c r="D2142" s="25"/>
      <c r="E2142" s="24"/>
      <c r="F2142" s="25"/>
      <c r="G2142" s="24"/>
      <c r="H2142" s="25"/>
      <c r="I2142" s="24"/>
      <c r="J2142" s="25"/>
      <c r="K2142" s="25"/>
      <c r="L2142" s="24"/>
      <c r="M2142" s="24"/>
      <c r="N2142" s="24"/>
      <c r="O2142" s="24"/>
      <c r="P2142" s="24"/>
      <c r="Q2142" s="24"/>
      <c r="R2142" s="24"/>
      <c r="S2142" s="24"/>
      <c r="T2142" s="24"/>
      <c r="Z2142" s="25"/>
    </row>
    <row r="2143">
      <c r="A2143" s="16"/>
      <c r="B2143" s="17"/>
      <c r="C2143" s="24"/>
      <c r="D2143" s="25"/>
      <c r="E2143" s="24"/>
      <c r="F2143" s="25"/>
      <c r="G2143" s="24"/>
      <c r="H2143" s="25"/>
      <c r="I2143" s="24"/>
      <c r="J2143" s="25"/>
      <c r="K2143" s="25"/>
      <c r="L2143" s="24"/>
      <c r="M2143" s="24"/>
      <c r="N2143" s="24"/>
      <c r="O2143" s="24"/>
      <c r="P2143" s="24"/>
      <c r="Q2143" s="24"/>
      <c r="R2143" s="24"/>
      <c r="S2143" s="24"/>
      <c r="T2143" s="24"/>
      <c r="Z2143" s="25"/>
    </row>
    <row r="2144">
      <c r="A2144" s="16"/>
      <c r="B2144" s="17"/>
      <c r="C2144" s="24"/>
      <c r="D2144" s="25"/>
      <c r="E2144" s="24"/>
      <c r="F2144" s="25"/>
      <c r="G2144" s="24"/>
      <c r="H2144" s="25"/>
      <c r="I2144" s="24"/>
      <c r="J2144" s="25"/>
      <c r="K2144" s="25"/>
      <c r="L2144" s="24"/>
      <c r="M2144" s="24"/>
      <c r="N2144" s="24"/>
      <c r="O2144" s="24"/>
      <c r="P2144" s="24"/>
      <c r="Q2144" s="24"/>
      <c r="R2144" s="24"/>
      <c r="S2144" s="24"/>
      <c r="T2144" s="24"/>
      <c r="Z2144" s="25"/>
    </row>
    <row r="2145">
      <c r="A2145" s="16"/>
      <c r="B2145" s="17"/>
      <c r="C2145" s="24"/>
      <c r="D2145" s="25"/>
      <c r="E2145" s="24"/>
      <c r="F2145" s="25"/>
      <c r="G2145" s="24"/>
      <c r="H2145" s="25"/>
      <c r="I2145" s="24"/>
      <c r="J2145" s="25"/>
      <c r="K2145" s="25"/>
      <c r="L2145" s="24"/>
      <c r="M2145" s="24"/>
      <c r="N2145" s="24"/>
      <c r="O2145" s="24"/>
      <c r="P2145" s="24"/>
      <c r="Q2145" s="24"/>
      <c r="R2145" s="24"/>
      <c r="S2145" s="24"/>
      <c r="T2145" s="24"/>
      <c r="Z2145" s="25"/>
    </row>
    <row r="2146">
      <c r="A2146" s="16"/>
      <c r="B2146" s="17"/>
      <c r="C2146" s="24"/>
      <c r="D2146" s="25"/>
      <c r="E2146" s="24"/>
      <c r="F2146" s="25"/>
      <c r="G2146" s="24"/>
      <c r="H2146" s="25"/>
      <c r="I2146" s="24"/>
      <c r="J2146" s="25"/>
      <c r="K2146" s="25"/>
      <c r="L2146" s="24"/>
      <c r="M2146" s="24"/>
      <c r="N2146" s="24"/>
      <c r="O2146" s="24"/>
      <c r="P2146" s="24"/>
      <c r="Q2146" s="24"/>
      <c r="R2146" s="24"/>
      <c r="S2146" s="24"/>
      <c r="T2146" s="24"/>
      <c r="Z2146" s="25"/>
    </row>
    <row r="2147">
      <c r="A2147" s="16"/>
      <c r="B2147" s="17"/>
      <c r="C2147" s="24"/>
      <c r="D2147" s="25"/>
      <c r="E2147" s="24"/>
      <c r="F2147" s="25"/>
      <c r="G2147" s="24"/>
      <c r="H2147" s="25"/>
      <c r="I2147" s="24"/>
      <c r="J2147" s="25"/>
      <c r="K2147" s="25"/>
      <c r="L2147" s="24"/>
      <c r="M2147" s="24"/>
      <c r="N2147" s="24"/>
      <c r="O2147" s="24"/>
      <c r="P2147" s="24"/>
      <c r="Q2147" s="24"/>
      <c r="R2147" s="24"/>
      <c r="S2147" s="24"/>
      <c r="T2147" s="24"/>
      <c r="Z2147" s="25"/>
    </row>
    <row r="2148">
      <c r="A2148" s="16"/>
      <c r="B2148" s="17"/>
      <c r="C2148" s="24"/>
      <c r="D2148" s="25"/>
      <c r="E2148" s="24"/>
      <c r="F2148" s="25"/>
      <c r="G2148" s="24"/>
      <c r="H2148" s="25"/>
      <c r="I2148" s="24"/>
      <c r="J2148" s="25"/>
      <c r="K2148" s="25"/>
      <c r="L2148" s="24"/>
      <c r="M2148" s="24"/>
      <c r="N2148" s="24"/>
      <c r="O2148" s="24"/>
      <c r="P2148" s="24"/>
      <c r="Q2148" s="24"/>
      <c r="R2148" s="24"/>
      <c r="S2148" s="24"/>
      <c r="T2148" s="24"/>
      <c r="Z2148" s="25"/>
    </row>
    <row r="2149">
      <c r="A2149" s="16"/>
      <c r="B2149" s="17"/>
      <c r="C2149" s="24"/>
      <c r="D2149" s="25"/>
      <c r="E2149" s="24"/>
      <c r="F2149" s="25"/>
      <c r="G2149" s="24"/>
      <c r="H2149" s="25"/>
      <c r="I2149" s="24"/>
      <c r="J2149" s="25"/>
      <c r="K2149" s="25"/>
      <c r="L2149" s="24"/>
      <c r="M2149" s="24"/>
      <c r="N2149" s="24"/>
      <c r="O2149" s="24"/>
      <c r="P2149" s="24"/>
      <c r="Q2149" s="24"/>
      <c r="R2149" s="24"/>
      <c r="S2149" s="24"/>
      <c r="T2149" s="24"/>
      <c r="Z2149" s="25"/>
    </row>
    <row r="2150">
      <c r="A2150" s="16"/>
      <c r="B2150" s="17"/>
      <c r="C2150" s="24"/>
      <c r="D2150" s="25"/>
      <c r="E2150" s="24"/>
      <c r="F2150" s="25"/>
      <c r="G2150" s="24"/>
      <c r="H2150" s="25"/>
      <c r="I2150" s="24"/>
      <c r="J2150" s="25"/>
      <c r="K2150" s="25"/>
      <c r="L2150" s="24"/>
      <c r="M2150" s="24"/>
      <c r="N2150" s="24"/>
      <c r="O2150" s="24"/>
      <c r="P2150" s="24"/>
      <c r="Q2150" s="24"/>
      <c r="R2150" s="24"/>
      <c r="S2150" s="24"/>
      <c r="T2150" s="24"/>
      <c r="Z2150" s="25"/>
    </row>
    <row r="2151">
      <c r="A2151" s="16"/>
      <c r="B2151" s="17"/>
      <c r="C2151" s="24"/>
      <c r="D2151" s="25"/>
      <c r="E2151" s="24"/>
      <c r="F2151" s="25"/>
      <c r="G2151" s="24"/>
      <c r="H2151" s="25"/>
      <c r="I2151" s="24"/>
      <c r="J2151" s="25"/>
      <c r="K2151" s="25"/>
      <c r="L2151" s="24"/>
      <c r="M2151" s="24"/>
      <c r="N2151" s="24"/>
      <c r="O2151" s="24"/>
      <c r="P2151" s="24"/>
      <c r="Q2151" s="24"/>
      <c r="R2151" s="24"/>
      <c r="S2151" s="24"/>
      <c r="T2151" s="24"/>
      <c r="Z2151" s="25"/>
    </row>
    <row r="2152">
      <c r="A2152" s="16"/>
      <c r="B2152" s="17"/>
      <c r="C2152" s="24"/>
      <c r="D2152" s="25"/>
      <c r="E2152" s="24"/>
      <c r="F2152" s="25"/>
      <c r="G2152" s="24"/>
      <c r="H2152" s="25"/>
      <c r="I2152" s="24"/>
      <c r="J2152" s="25"/>
      <c r="K2152" s="25"/>
      <c r="L2152" s="24"/>
      <c r="M2152" s="24"/>
      <c r="N2152" s="24"/>
      <c r="O2152" s="24"/>
      <c r="P2152" s="24"/>
      <c r="Q2152" s="24"/>
      <c r="R2152" s="24"/>
      <c r="S2152" s="24"/>
      <c r="T2152" s="24"/>
      <c r="Z2152" s="25"/>
    </row>
    <row r="2153">
      <c r="A2153" s="16"/>
      <c r="B2153" s="17"/>
      <c r="C2153" s="24"/>
      <c r="D2153" s="25"/>
      <c r="E2153" s="24"/>
      <c r="F2153" s="25"/>
      <c r="G2153" s="24"/>
      <c r="H2153" s="25"/>
      <c r="I2153" s="24"/>
      <c r="J2153" s="25"/>
      <c r="K2153" s="25"/>
      <c r="L2153" s="24"/>
      <c r="M2153" s="24"/>
      <c r="N2153" s="24"/>
      <c r="O2153" s="24"/>
      <c r="P2153" s="24"/>
      <c r="Q2153" s="24"/>
      <c r="R2153" s="24"/>
      <c r="S2153" s="24"/>
      <c r="T2153" s="24"/>
      <c r="Z2153" s="25"/>
    </row>
    <row r="2154">
      <c r="A2154" s="16"/>
      <c r="B2154" s="17"/>
      <c r="C2154" s="24"/>
      <c r="D2154" s="25"/>
      <c r="E2154" s="24"/>
      <c r="F2154" s="25"/>
      <c r="G2154" s="24"/>
      <c r="H2154" s="25"/>
      <c r="I2154" s="24"/>
      <c r="J2154" s="25"/>
      <c r="K2154" s="25"/>
      <c r="L2154" s="24"/>
      <c r="M2154" s="24"/>
      <c r="N2154" s="24"/>
      <c r="O2154" s="24"/>
      <c r="P2154" s="24"/>
      <c r="Q2154" s="24"/>
      <c r="R2154" s="24"/>
      <c r="S2154" s="24"/>
      <c r="T2154" s="24"/>
      <c r="Z2154" s="25"/>
    </row>
    <row r="2155">
      <c r="A2155" s="16"/>
      <c r="B2155" s="17"/>
      <c r="C2155" s="24"/>
      <c r="D2155" s="25"/>
      <c r="E2155" s="24"/>
      <c r="F2155" s="25"/>
      <c r="G2155" s="24"/>
      <c r="H2155" s="25"/>
      <c r="I2155" s="24"/>
      <c r="J2155" s="25"/>
      <c r="K2155" s="25"/>
      <c r="L2155" s="24"/>
      <c r="M2155" s="24"/>
      <c r="N2155" s="24"/>
      <c r="O2155" s="24"/>
      <c r="P2155" s="24"/>
      <c r="Q2155" s="24"/>
      <c r="R2155" s="24"/>
      <c r="S2155" s="24"/>
      <c r="T2155" s="24"/>
      <c r="Z2155" s="25"/>
    </row>
    <row r="2156">
      <c r="A2156" s="16"/>
      <c r="B2156" s="17"/>
      <c r="C2156" s="24"/>
      <c r="D2156" s="25"/>
      <c r="E2156" s="24"/>
      <c r="F2156" s="25"/>
      <c r="G2156" s="24"/>
      <c r="H2156" s="25"/>
      <c r="I2156" s="24"/>
      <c r="J2156" s="25"/>
      <c r="K2156" s="25"/>
      <c r="L2156" s="24"/>
      <c r="M2156" s="24"/>
      <c r="N2156" s="24"/>
      <c r="O2156" s="24"/>
      <c r="P2156" s="24"/>
      <c r="Q2156" s="24"/>
      <c r="R2156" s="24"/>
      <c r="S2156" s="24"/>
      <c r="T2156" s="24"/>
      <c r="Z2156" s="25"/>
    </row>
    <row r="2157">
      <c r="A2157" s="16"/>
      <c r="B2157" s="17"/>
      <c r="C2157" s="24"/>
      <c r="D2157" s="25"/>
      <c r="E2157" s="24"/>
      <c r="F2157" s="25"/>
      <c r="G2157" s="24"/>
      <c r="H2157" s="25"/>
      <c r="I2157" s="24"/>
      <c r="J2157" s="25"/>
      <c r="K2157" s="25"/>
      <c r="L2157" s="24"/>
      <c r="M2157" s="24"/>
      <c r="N2157" s="24"/>
      <c r="O2157" s="24"/>
      <c r="P2157" s="24"/>
      <c r="Q2157" s="24"/>
      <c r="R2157" s="24"/>
      <c r="S2157" s="24"/>
      <c r="T2157" s="24"/>
      <c r="Z2157" s="25"/>
    </row>
    <row r="2158">
      <c r="A2158" s="16"/>
      <c r="B2158" s="17"/>
      <c r="C2158" s="24"/>
      <c r="D2158" s="25"/>
      <c r="E2158" s="24"/>
      <c r="F2158" s="25"/>
      <c r="G2158" s="24"/>
      <c r="H2158" s="25"/>
      <c r="I2158" s="24"/>
      <c r="J2158" s="25"/>
      <c r="K2158" s="25"/>
      <c r="L2158" s="24"/>
      <c r="M2158" s="24"/>
      <c r="N2158" s="24"/>
      <c r="O2158" s="24"/>
      <c r="P2158" s="24"/>
      <c r="Q2158" s="24"/>
      <c r="R2158" s="24"/>
      <c r="S2158" s="24"/>
      <c r="T2158" s="24"/>
      <c r="Z2158" s="25"/>
    </row>
    <row r="2159">
      <c r="A2159" s="16"/>
      <c r="B2159" s="17"/>
      <c r="C2159" s="24"/>
      <c r="D2159" s="25"/>
      <c r="E2159" s="24"/>
      <c r="F2159" s="25"/>
      <c r="G2159" s="24"/>
      <c r="H2159" s="25"/>
      <c r="I2159" s="24"/>
      <c r="J2159" s="25"/>
      <c r="K2159" s="25"/>
      <c r="L2159" s="24"/>
      <c r="M2159" s="24"/>
      <c r="N2159" s="24"/>
      <c r="O2159" s="24"/>
      <c r="P2159" s="24"/>
      <c r="Q2159" s="24"/>
      <c r="R2159" s="24"/>
      <c r="S2159" s="24"/>
      <c r="T2159" s="24"/>
      <c r="Z2159" s="25"/>
    </row>
    <row r="2160">
      <c r="A2160" s="16"/>
      <c r="B2160" s="17"/>
      <c r="C2160" s="24"/>
      <c r="D2160" s="25"/>
      <c r="E2160" s="24"/>
      <c r="F2160" s="25"/>
      <c r="G2160" s="24"/>
      <c r="H2160" s="25"/>
      <c r="I2160" s="24"/>
      <c r="J2160" s="25"/>
      <c r="K2160" s="25"/>
      <c r="L2160" s="24"/>
      <c r="M2160" s="24"/>
      <c r="N2160" s="24"/>
      <c r="O2160" s="24"/>
      <c r="P2160" s="24"/>
      <c r="Q2160" s="24"/>
      <c r="R2160" s="24"/>
      <c r="S2160" s="24"/>
      <c r="T2160" s="24"/>
      <c r="Z2160" s="25"/>
    </row>
    <row r="2161">
      <c r="A2161" s="16"/>
      <c r="B2161" s="17"/>
      <c r="C2161" s="24"/>
      <c r="D2161" s="25"/>
      <c r="E2161" s="24"/>
      <c r="F2161" s="25"/>
      <c r="G2161" s="24"/>
      <c r="H2161" s="25"/>
      <c r="I2161" s="24"/>
      <c r="J2161" s="25"/>
      <c r="K2161" s="25"/>
      <c r="L2161" s="24"/>
      <c r="M2161" s="24"/>
      <c r="N2161" s="24"/>
      <c r="O2161" s="24"/>
      <c r="P2161" s="24"/>
      <c r="Q2161" s="24"/>
      <c r="R2161" s="24"/>
      <c r="S2161" s="24"/>
      <c r="T2161" s="24"/>
      <c r="Z2161" s="25"/>
    </row>
    <row r="2162">
      <c r="A2162" s="16"/>
      <c r="B2162" s="17"/>
      <c r="C2162" s="24"/>
      <c r="D2162" s="25"/>
      <c r="E2162" s="24"/>
      <c r="F2162" s="25"/>
      <c r="G2162" s="24"/>
      <c r="H2162" s="25"/>
      <c r="I2162" s="24"/>
      <c r="J2162" s="25"/>
      <c r="K2162" s="25"/>
      <c r="L2162" s="24"/>
      <c r="M2162" s="24"/>
      <c r="N2162" s="24"/>
      <c r="O2162" s="24"/>
      <c r="P2162" s="24"/>
      <c r="Q2162" s="24"/>
      <c r="R2162" s="24"/>
      <c r="S2162" s="24"/>
      <c r="T2162" s="24"/>
      <c r="Z2162" s="25"/>
    </row>
    <row r="2163">
      <c r="A2163" s="16"/>
      <c r="B2163" s="17"/>
      <c r="C2163" s="24"/>
      <c r="D2163" s="25"/>
      <c r="E2163" s="24"/>
      <c r="F2163" s="25"/>
      <c r="G2163" s="24"/>
      <c r="H2163" s="25"/>
      <c r="I2163" s="24"/>
      <c r="J2163" s="25"/>
      <c r="K2163" s="25"/>
      <c r="L2163" s="24"/>
      <c r="M2163" s="24"/>
      <c r="N2163" s="24"/>
      <c r="O2163" s="24"/>
      <c r="P2163" s="24"/>
      <c r="Q2163" s="24"/>
      <c r="R2163" s="24"/>
      <c r="S2163" s="24"/>
      <c r="T2163" s="24"/>
      <c r="Z2163" s="25"/>
    </row>
    <row r="2164">
      <c r="A2164" s="16"/>
      <c r="B2164" s="17"/>
      <c r="C2164" s="24"/>
      <c r="D2164" s="25"/>
      <c r="E2164" s="24"/>
      <c r="F2164" s="25"/>
      <c r="G2164" s="24"/>
      <c r="H2164" s="25"/>
      <c r="I2164" s="24"/>
      <c r="J2164" s="25"/>
      <c r="K2164" s="25"/>
      <c r="L2164" s="24"/>
      <c r="M2164" s="24"/>
      <c r="N2164" s="24"/>
      <c r="O2164" s="24"/>
      <c r="P2164" s="24"/>
      <c r="Q2164" s="24"/>
      <c r="R2164" s="24"/>
      <c r="S2164" s="24"/>
      <c r="T2164" s="24"/>
      <c r="Z2164" s="25"/>
    </row>
    <row r="2165">
      <c r="A2165" s="16"/>
      <c r="B2165" s="17"/>
      <c r="C2165" s="24"/>
      <c r="D2165" s="25"/>
      <c r="E2165" s="24"/>
      <c r="F2165" s="25"/>
      <c r="G2165" s="24"/>
      <c r="H2165" s="25"/>
      <c r="I2165" s="24"/>
      <c r="J2165" s="25"/>
      <c r="K2165" s="25"/>
      <c r="L2165" s="24"/>
      <c r="M2165" s="24"/>
      <c r="N2165" s="24"/>
      <c r="O2165" s="24"/>
      <c r="P2165" s="24"/>
      <c r="Q2165" s="24"/>
      <c r="R2165" s="24"/>
      <c r="S2165" s="24"/>
      <c r="T2165" s="24"/>
      <c r="Z2165" s="25"/>
    </row>
    <row r="2166">
      <c r="A2166" s="16"/>
      <c r="B2166" s="17"/>
      <c r="C2166" s="24"/>
      <c r="D2166" s="25"/>
      <c r="E2166" s="24"/>
      <c r="F2166" s="25"/>
      <c r="G2166" s="24"/>
      <c r="H2166" s="25"/>
      <c r="I2166" s="24"/>
      <c r="J2166" s="25"/>
      <c r="K2166" s="25"/>
      <c r="L2166" s="24"/>
      <c r="M2166" s="24"/>
      <c r="N2166" s="24"/>
      <c r="O2166" s="24"/>
      <c r="P2166" s="24"/>
      <c r="Q2166" s="24"/>
      <c r="R2166" s="24"/>
      <c r="S2166" s="24"/>
      <c r="T2166" s="24"/>
      <c r="Z2166" s="25"/>
    </row>
    <row r="2167">
      <c r="A2167" s="16"/>
      <c r="B2167" s="17"/>
      <c r="C2167" s="24"/>
      <c r="D2167" s="25"/>
      <c r="E2167" s="24"/>
      <c r="F2167" s="25"/>
      <c r="G2167" s="24"/>
      <c r="H2167" s="25"/>
      <c r="I2167" s="24"/>
      <c r="J2167" s="25"/>
      <c r="K2167" s="25"/>
      <c r="L2167" s="24"/>
      <c r="M2167" s="24"/>
      <c r="N2167" s="24"/>
      <c r="O2167" s="24"/>
      <c r="P2167" s="24"/>
      <c r="Q2167" s="24"/>
      <c r="R2167" s="24"/>
      <c r="S2167" s="24"/>
      <c r="T2167" s="24"/>
      <c r="Z2167" s="25"/>
    </row>
    <row r="2168">
      <c r="A2168" s="16"/>
      <c r="B2168" s="17"/>
      <c r="C2168" s="24"/>
      <c r="D2168" s="25"/>
      <c r="E2168" s="24"/>
      <c r="F2168" s="25"/>
      <c r="G2168" s="24"/>
      <c r="H2168" s="25"/>
      <c r="I2168" s="24"/>
      <c r="J2168" s="25"/>
      <c r="K2168" s="25"/>
      <c r="L2168" s="24"/>
      <c r="M2168" s="24"/>
      <c r="N2168" s="24"/>
      <c r="O2168" s="24"/>
      <c r="P2168" s="24"/>
      <c r="Q2168" s="24"/>
      <c r="R2168" s="24"/>
      <c r="S2168" s="24"/>
      <c r="T2168" s="24"/>
      <c r="Z2168" s="25"/>
    </row>
    <row r="2169">
      <c r="A2169" s="16"/>
      <c r="B2169" s="17"/>
      <c r="C2169" s="24"/>
      <c r="D2169" s="25"/>
      <c r="E2169" s="24"/>
      <c r="F2169" s="25"/>
      <c r="G2169" s="24"/>
      <c r="H2169" s="25"/>
      <c r="I2169" s="24"/>
      <c r="J2169" s="25"/>
      <c r="K2169" s="25"/>
      <c r="L2169" s="24"/>
      <c r="M2169" s="24"/>
      <c r="N2169" s="24"/>
      <c r="O2169" s="24"/>
      <c r="P2169" s="24"/>
      <c r="Q2169" s="24"/>
      <c r="R2169" s="24"/>
      <c r="S2169" s="24"/>
      <c r="T2169" s="24"/>
      <c r="Z2169" s="25"/>
    </row>
    <row r="2170">
      <c r="A2170" s="16"/>
      <c r="B2170" s="17"/>
      <c r="C2170" s="24"/>
      <c r="D2170" s="25"/>
      <c r="E2170" s="24"/>
      <c r="F2170" s="25"/>
      <c r="G2170" s="24"/>
      <c r="H2170" s="25"/>
      <c r="I2170" s="24"/>
      <c r="J2170" s="25"/>
      <c r="K2170" s="25"/>
      <c r="L2170" s="24"/>
      <c r="M2170" s="24"/>
      <c r="N2170" s="24"/>
      <c r="O2170" s="24"/>
      <c r="P2170" s="24"/>
      <c r="Q2170" s="24"/>
      <c r="R2170" s="24"/>
      <c r="S2170" s="24"/>
      <c r="T2170" s="24"/>
      <c r="Z2170" s="25"/>
    </row>
    <row r="2171">
      <c r="A2171" s="16"/>
      <c r="B2171" s="17"/>
      <c r="C2171" s="24"/>
      <c r="D2171" s="25"/>
      <c r="E2171" s="24"/>
      <c r="F2171" s="25"/>
      <c r="G2171" s="24"/>
      <c r="H2171" s="25"/>
      <c r="I2171" s="24"/>
      <c r="J2171" s="25"/>
      <c r="K2171" s="25"/>
      <c r="L2171" s="24"/>
      <c r="M2171" s="24"/>
      <c r="N2171" s="24"/>
      <c r="O2171" s="24"/>
      <c r="P2171" s="24"/>
      <c r="Q2171" s="24"/>
      <c r="R2171" s="24"/>
      <c r="S2171" s="24"/>
      <c r="T2171" s="24"/>
      <c r="Z2171" s="25"/>
    </row>
    <row r="2172">
      <c r="A2172" s="16"/>
      <c r="B2172" s="17"/>
      <c r="C2172" s="24"/>
      <c r="D2172" s="25"/>
      <c r="E2172" s="24"/>
      <c r="F2172" s="25"/>
      <c r="G2172" s="24"/>
      <c r="H2172" s="25"/>
      <c r="I2172" s="24"/>
      <c r="J2172" s="25"/>
      <c r="K2172" s="25"/>
      <c r="L2172" s="24"/>
      <c r="M2172" s="24"/>
      <c r="N2172" s="24"/>
      <c r="O2172" s="24"/>
      <c r="P2172" s="24"/>
      <c r="Q2172" s="24"/>
      <c r="R2172" s="24"/>
      <c r="S2172" s="24"/>
      <c r="T2172" s="24"/>
      <c r="Z2172" s="25"/>
    </row>
    <row r="2173">
      <c r="A2173" s="16"/>
      <c r="B2173" s="17"/>
      <c r="C2173" s="24"/>
      <c r="D2173" s="25"/>
      <c r="E2173" s="24"/>
      <c r="F2173" s="25"/>
      <c r="G2173" s="24"/>
      <c r="H2173" s="25"/>
      <c r="I2173" s="24"/>
      <c r="J2173" s="25"/>
      <c r="K2173" s="25"/>
      <c r="L2173" s="24"/>
      <c r="M2173" s="24"/>
      <c r="N2173" s="24"/>
      <c r="O2173" s="24"/>
      <c r="P2173" s="24"/>
      <c r="Q2173" s="24"/>
      <c r="R2173" s="24"/>
      <c r="S2173" s="24"/>
      <c r="T2173" s="24"/>
      <c r="Z2173" s="25"/>
    </row>
    <row r="2174">
      <c r="A2174" s="16"/>
      <c r="B2174" s="17"/>
      <c r="C2174" s="24"/>
      <c r="D2174" s="25"/>
      <c r="E2174" s="24"/>
      <c r="F2174" s="25"/>
      <c r="G2174" s="24"/>
      <c r="H2174" s="25"/>
      <c r="I2174" s="24"/>
      <c r="J2174" s="25"/>
      <c r="K2174" s="25"/>
      <c r="L2174" s="24"/>
      <c r="M2174" s="24"/>
      <c r="N2174" s="24"/>
      <c r="O2174" s="24"/>
      <c r="P2174" s="24"/>
      <c r="Q2174" s="24"/>
      <c r="R2174" s="24"/>
      <c r="S2174" s="24"/>
      <c r="T2174" s="24"/>
      <c r="Z2174" s="25"/>
    </row>
    <row r="2175">
      <c r="A2175" s="16"/>
      <c r="B2175" s="17"/>
      <c r="C2175" s="24"/>
      <c r="D2175" s="25"/>
      <c r="E2175" s="24"/>
      <c r="F2175" s="25"/>
      <c r="G2175" s="24"/>
      <c r="H2175" s="25"/>
      <c r="I2175" s="24"/>
      <c r="J2175" s="25"/>
      <c r="K2175" s="25"/>
      <c r="L2175" s="24"/>
      <c r="M2175" s="24"/>
      <c r="N2175" s="24"/>
      <c r="O2175" s="24"/>
      <c r="P2175" s="24"/>
      <c r="Q2175" s="24"/>
      <c r="R2175" s="24"/>
      <c r="S2175" s="24"/>
      <c r="T2175" s="24"/>
      <c r="Z2175" s="25"/>
    </row>
    <row r="2176">
      <c r="A2176" s="16"/>
      <c r="B2176" s="17"/>
      <c r="C2176" s="24"/>
      <c r="D2176" s="25"/>
      <c r="E2176" s="24"/>
      <c r="F2176" s="25"/>
      <c r="G2176" s="24"/>
      <c r="H2176" s="25"/>
      <c r="I2176" s="24"/>
      <c r="J2176" s="25"/>
      <c r="K2176" s="25"/>
      <c r="L2176" s="24"/>
      <c r="M2176" s="24"/>
      <c r="N2176" s="24"/>
      <c r="O2176" s="24"/>
      <c r="P2176" s="24"/>
      <c r="Q2176" s="24"/>
      <c r="R2176" s="24"/>
      <c r="S2176" s="24"/>
      <c r="T2176" s="24"/>
      <c r="Z2176" s="25"/>
    </row>
    <row r="2177">
      <c r="A2177" s="16"/>
      <c r="B2177" s="17"/>
      <c r="C2177" s="24"/>
      <c r="D2177" s="25"/>
      <c r="E2177" s="24"/>
      <c r="F2177" s="25"/>
      <c r="G2177" s="24"/>
      <c r="H2177" s="25"/>
      <c r="I2177" s="24"/>
      <c r="J2177" s="25"/>
      <c r="K2177" s="25"/>
      <c r="L2177" s="24"/>
      <c r="M2177" s="24"/>
      <c r="N2177" s="24"/>
      <c r="O2177" s="24"/>
      <c r="P2177" s="24"/>
      <c r="Q2177" s="24"/>
      <c r="R2177" s="24"/>
      <c r="S2177" s="24"/>
      <c r="T2177" s="24"/>
      <c r="Z2177" s="25"/>
    </row>
    <row r="2178">
      <c r="A2178" s="16"/>
      <c r="B2178" s="17"/>
      <c r="C2178" s="24"/>
      <c r="D2178" s="25"/>
      <c r="E2178" s="24"/>
      <c r="F2178" s="25"/>
      <c r="G2178" s="24"/>
      <c r="H2178" s="25"/>
      <c r="I2178" s="24"/>
      <c r="J2178" s="25"/>
      <c r="K2178" s="25"/>
      <c r="L2178" s="24"/>
      <c r="M2178" s="24"/>
      <c r="N2178" s="24"/>
      <c r="O2178" s="24"/>
      <c r="P2178" s="24"/>
      <c r="Q2178" s="24"/>
      <c r="R2178" s="24"/>
      <c r="S2178" s="24"/>
      <c r="T2178" s="24"/>
      <c r="Z2178" s="25"/>
    </row>
    <row r="2179">
      <c r="A2179" s="16"/>
      <c r="B2179" s="17"/>
      <c r="C2179" s="24"/>
      <c r="D2179" s="25"/>
      <c r="E2179" s="24"/>
      <c r="F2179" s="25"/>
      <c r="G2179" s="24"/>
      <c r="H2179" s="25"/>
      <c r="I2179" s="24"/>
      <c r="J2179" s="25"/>
      <c r="K2179" s="25"/>
      <c r="L2179" s="24"/>
      <c r="M2179" s="24"/>
      <c r="N2179" s="24"/>
      <c r="O2179" s="24"/>
      <c r="P2179" s="24"/>
      <c r="Q2179" s="24"/>
      <c r="R2179" s="24"/>
      <c r="S2179" s="24"/>
      <c r="T2179" s="24"/>
      <c r="Z2179" s="25"/>
    </row>
    <row r="2180">
      <c r="A2180" s="16"/>
      <c r="B2180" s="17"/>
      <c r="C2180" s="24"/>
      <c r="D2180" s="25"/>
      <c r="E2180" s="24"/>
      <c r="F2180" s="25"/>
      <c r="G2180" s="24"/>
      <c r="H2180" s="25"/>
      <c r="I2180" s="24"/>
      <c r="J2180" s="25"/>
      <c r="K2180" s="25"/>
      <c r="L2180" s="24"/>
      <c r="M2180" s="24"/>
      <c r="N2180" s="24"/>
      <c r="O2180" s="24"/>
      <c r="P2180" s="24"/>
      <c r="Q2180" s="24"/>
      <c r="R2180" s="24"/>
      <c r="S2180" s="24"/>
      <c r="T2180" s="24"/>
      <c r="Z2180" s="25"/>
    </row>
    <row r="2181">
      <c r="A2181" s="16"/>
      <c r="B2181" s="17"/>
      <c r="C2181" s="24"/>
      <c r="D2181" s="25"/>
      <c r="E2181" s="24"/>
      <c r="F2181" s="25"/>
      <c r="G2181" s="24"/>
      <c r="H2181" s="25"/>
      <c r="I2181" s="24"/>
      <c r="J2181" s="25"/>
      <c r="K2181" s="25"/>
      <c r="L2181" s="24"/>
      <c r="M2181" s="24"/>
      <c r="N2181" s="24"/>
      <c r="O2181" s="24"/>
      <c r="P2181" s="24"/>
      <c r="Q2181" s="24"/>
      <c r="R2181" s="24"/>
      <c r="S2181" s="24"/>
      <c r="T2181" s="24"/>
      <c r="Z2181" s="25"/>
    </row>
    <row r="2182">
      <c r="A2182" s="16"/>
      <c r="B2182" s="17"/>
      <c r="C2182" s="24"/>
      <c r="D2182" s="25"/>
      <c r="E2182" s="24"/>
      <c r="F2182" s="25"/>
      <c r="G2182" s="24"/>
      <c r="H2182" s="25"/>
      <c r="I2182" s="24"/>
      <c r="J2182" s="25"/>
      <c r="K2182" s="25"/>
      <c r="L2182" s="24"/>
      <c r="M2182" s="24"/>
      <c r="N2182" s="24"/>
      <c r="O2182" s="24"/>
      <c r="P2182" s="24"/>
      <c r="Q2182" s="24"/>
      <c r="R2182" s="24"/>
      <c r="S2182" s="24"/>
      <c r="T2182" s="24"/>
      <c r="Z2182" s="25"/>
    </row>
    <row r="2183">
      <c r="A2183" s="16"/>
      <c r="B2183" s="17"/>
      <c r="C2183" s="24"/>
      <c r="D2183" s="25"/>
      <c r="E2183" s="24"/>
      <c r="F2183" s="25"/>
      <c r="G2183" s="24"/>
      <c r="H2183" s="25"/>
      <c r="I2183" s="24"/>
      <c r="J2183" s="25"/>
      <c r="K2183" s="25"/>
      <c r="L2183" s="24"/>
      <c r="M2183" s="24"/>
      <c r="N2183" s="24"/>
      <c r="O2183" s="24"/>
      <c r="P2183" s="24"/>
      <c r="Q2183" s="24"/>
      <c r="R2183" s="24"/>
      <c r="S2183" s="24"/>
      <c r="T2183" s="24"/>
      <c r="Z2183" s="25"/>
    </row>
    <row r="2184">
      <c r="A2184" s="16"/>
      <c r="B2184" s="17"/>
      <c r="C2184" s="24"/>
      <c r="D2184" s="25"/>
      <c r="E2184" s="24"/>
      <c r="F2184" s="25"/>
      <c r="G2184" s="24"/>
      <c r="H2184" s="25"/>
      <c r="I2184" s="24"/>
      <c r="J2184" s="25"/>
      <c r="K2184" s="25"/>
      <c r="L2184" s="24"/>
      <c r="M2184" s="24"/>
      <c r="N2184" s="24"/>
      <c r="O2184" s="24"/>
      <c r="P2184" s="24"/>
      <c r="Q2184" s="24"/>
      <c r="R2184" s="24"/>
      <c r="S2184" s="24"/>
      <c r="T2184" s="24"/>
      <c r="Z2184" s="25"/>
    </row>
    <row r="2185">
      <c r="A2185" s="16"/>
      <c r="B2185" s="17"/>
      <c r="C2185" s="24"/>
      <c r="D2185" s="25"/>
      <c r="E2185" s="24"/>
      <c r="F2185" s="25"/>
      <c r="G2185" s="24"/>
      <c r="H2185" s="25"/>
      <c r="I2185" s="24"/>
      <c r="J2185" s="25"/>
      <c r="K2185" s="25"/>
      <c r="L2185" s="24"/>
      <c r="M2185" s="24"/>
      <c r="N2185" s="24"/>
      <c r="O2185" s="24"/>
      <c r="P2185" s="24"/>
      <c r="Q2185" s="24"/>
      <c r="R2185" s="24"/>
      <c r="S2185" s="24"/>
      <c r="T2185" s="24"/>
      <c r="Z2185" s="25"/>
    </row>
    <row r="2186">
      <c r="A2186" s="16"/>
      <c r="B2186" s="17"/>
      <c r="C2186" s="24"/>
      <c r="D2186" s="25"/>
      <c r="E2186" s="24"/>
      <c r="F2186" s="25"/>
      <c r="G2186" s="24"/>
      <c r="H2186" s="25"/>
      <c r="I2186" s="24"/>
      <c r="J2186" s="25"/>
      <c r="K2186" s="25"/>
      <c r="L2186" s="24"/>
      <c r="M2186" s="24"/>
      <c r="N2186" s="24"/>
      <c r="O2186" s="24"/>
      <c r="P2186" s="24"/>
      <c r="Q2186" s="24"/>
      <c r="R2186" s="24"/>
      <c r="S2186" s="24"/>
      <c r="T2186" s="24"/>
      <c r="Z2186" s="25"/>
    </row>
    <row r="2187">
      <c r="A2187" s="16"/>
      <c r="B2187" s="17"/>
      <c r="C2187" s="24"/>
      <c r="D2187" s="25"/>
      <c r="E2187" s="24"/>
      <c r="F2187" s="25"/>
      <c r="G2187" s="24"/>
      <c r="H2187" s="25"/>
      <c r="I2187" s="24"/>
      <c r="J2187" s="25"/>
      <c r="K2187" s="25"/>
      <c r="L2187" s="24"/>
      <c r="M2187" s="24"/>
      <c r="N2187" s="24"/>
      <c r="O2187" s="24"/>
      <c r="P2187" s="24"/>
      <c r="Q2187" s="24"/>
      <c r="R2187" s="24"/>
      <c r="S2187" s="24"/>
      <c r="T2187" s="24"/>
      <c r="Z2187" s="25"/>
    </row>
    <row r="2188">
      <c r="A2188" s="16"/>
      <c r="B2188" s="17"/>
      <c r="C2188" s="24"/>
      <c r="D2188" s="25"/>
      <c r="E2188" s="24"/>
      <c r="F2188" s="25"/>
      <c r="G2188" s="24"/>
      <c r="H2188" s="25"/>
      <c r="I2188" s="24"/>
      <c r="J2188" s="25"/>
      <c r="K2188" s="25"/>
      <c r="L2188" s="24"/>
      <c r="M2188" s="24"/>
      <c r="N2188" s="24"/>
      <c r="O2188" s="24"/>
      <c r="P2188" s="24"/>
      <c r="Q2188" s="24"/>
      <c r="R2188" s="24"/>
      <c r="S2188" s="24"/>
      <c r="T2188" s="24"/>
      <c r="Z2188" s="25"/>
    </row>
    <row r="2189">
      <c r="A2189" s="16"/>
      <c r="B2189" s="17"/>
      <c r="C2189" s="24"/>
      <c r="D2189" s="25"/>
      <c r="E2189" s="24"/>
      <c r="F2189" s="25"/>
      <c r="G2189" s="24"/>
      <c r="H2189" s="25"/>
      <c r="I2189" s="24"/>
      <c r="J2189" s="25"/>
      <c r="K2189" s="25"/>
      <c r="L2189" s="24"/>
      <c r="M2189" s="24"/>
      <c r="N2189" s="24"/>
      <c r="O2189" s="24"/>
      <c r="P2189" s="24"/>
      <c r="Q2189" s="24"/>
      <c r="R2189" s="24"/>
      <c r="S2189" s="24"/>
      <c r="T2189" s="24"/>
      <c r="Z2189" s="25"/>
    </row>
    <row r="2190">
      <c r="A2190" s="16"/>
      <c r="B2190" s="17"/>
      <c r="C2190" s="24"/>
      <c r="D2190" s="25"/>
      <c r="E2190" s="24"/>
      <c r="F2190" s="25"/>
      <c r="G2190" s="24"/>
      <c r="H2190" s="25"/>
      <c r="I2190" s="24"/>
      <c r="J2190" s="25"/>
      <c r="K2190" s="25"/>
      <c r="L2190" s="24"/>
      <c r="M2190" s="24"/>
      <c r="N2190" s="24"/>
      <c r="O2190" s="24"/>
      <c r="P2190" s="24"/>
      <c r="Q2190" s="24"/>
      <c r="R2190" s="24"/>
      <c r="S2190" s="24"/>
      <c r="T2190" s="24"/>
      <c r="Z2190" s="25"/>
    </row>
    <row r="2191">
      <c r="A2191" s="16"/>
      <c r="B2191" s="17"/>
      <c r="C2191" s="24"/>
      <c r="D2191" s="25"/>
      <c r="E2191" s="24"/>
      <c r="F2191" s="25"/>
      <c r="G2191" s="24"/>
      <c r="H2191" s="25"/>
      <c r="I2191" s="24"/>
      <c r="J2191" s="25"/>
      <c r="K2191" s="25"/>
      <c r="L2191" s="24"/>
      <c r="M2191" s="24"/>
      <c r="N2191" s="24"/>
      <c r="O2191" s="24"/>
      <c r="P2191" s="24"/>
      <c r="Q2191" s="24"/>
      <c r="R2191" s="24"/>
      <c r="S2191" s="24"/>
      <c r="T2191" s="24"/>
      <c r="Z2191" s="25"/>
    </row>
    <row r="2192">
      <c r="A2192" s="16"/>
      <c r="B2192" s="17"/>
      <c r="C2192" s="24"/>
      <c r="D2192" s="25"/>
      <c r="E2192" s="24"/>
      <c r="F2192" s="25"/>
      <c r="G2192" s="24"/>
      <c r="H2192" s="25"/>
      <c r="I2192" s="24"/>
      <c r="J2192" s="25"/>
      <c r="K2192" s="25"/>
      <c r="L2192" s="24"/>
      <c r="M2192" s="24"/>
      <c r="N2192" s="24"/>
      <c r="O2192" s="24"/>
      <c r="P2192" s="24"/>
      <c r="Q2192" s="24"/>
      <c r="R2192" s="24"/>
      <c r="S2192" s="24"/>
      <c r="T2192" s="24"/>
      <c r="Z2192" s="25"/>
    </row>
    <row r="2193">
      <c r="A2193" s="16"/>
      <c r="B2193" s="17"/>
      <c r="C2193" s="24"/>
      <c r="D2193" s="25"/>
      <c r="E2193" s="24"/>
      <c r="F2193" s="25"/>
      <c r="G2193" s="24"/>
      <c r="H2193" s="25"/>
      <c r="I2193" s="24"/>
      <c r="J2193" s="25"/>
      <c r="K2193" s="25"/>
      <c r="L2193" s="24"/>
      <c r="M2193" s="24"/>
      <c r="N2193" s="24"/>
      <c r="O2193" s="24"/>
      <c r="P2193" s="24"/>
      <c r="Q2193" s="24"/>
      <c r="R2193" s="24"/>
      <c r="S2193" s="24"/>
      <c r="T2193" s="24"/>
      <c r="Z2193" s="25"/>
    </row>
    <row r="2194">
      <c r="A2194" s="16"/>
      <c r="B2194" s="17"/>
      <c r="C2194" s="24"/>
      <c r="D2194" s="25"/>
      <c r="E2194" s="24"/>
      <c r="F2194" s="25"/>
      <c r="G2194" s="24"/>
      <c r="H2194" s="25"/>
      <c r="I2194" s="24"/>
      <c r="J2194" s="25"/>
      <c r="K2194" s="25"/>
      <c r="L2194" s="24"/>
      <c r="M2194" s="24"/>
      <c r="N2194" s="24"/>
      <c r="O2194" s="24"/>
      <c r="P2194" s="24"/>
      <c r="Q2194" s="24"/>
      <c r="R2194" s="24"/>
      <c r="S2194" s="24"/>
      <c r="T2194" s="24"/>
      <c r="Z2194" s="25"/>
    </row>
    <row r="2195">
      <c r="A2195" s="16"/>
      <c r="B2195" s="17"/>
      <c r="C2195" s="24"/>
      <c r="D2195" s="25"/>
      <c r="E2195" s="24"/>
      <c r="F2195" s="25"/>
      <c r="G2195" s="24"/>
      <c r="H2195" s="25"/>
      <c r="I2195" s="24"/>
      <c r="J2195" s="25"/>
      <c r="K2195" s="25"/>
      <c r="L2195" s="24"/>
      <c r="M2195" s="24"/>
      <c r="N2195" s="24"/>
      <c r="O2195" s="24"/>
      <c r="P2195" s="24"/>
      <c r="Q2195" s="24"/>
      <c r="R2195" s="24"/>
      <c r="S2195" s="24"/>
      <c r="T2195" s="24"/>
      <c r="Z2195" s="25"/>
    </row>
    <row r="2196">
      <c r="A2196" s="16"/>
      <c r="B2196" s="17"/>
      <c r="C2196" s="24"/>
      <c r="D2196" s="25"/>
      <c r="E2196" s="24"/>
      <c r="F2196" s="25"/>
      <c r="G2196" s="24"/>
      <c r="H2196" s="25"/>
      <c r="I2196" s="24"/>
      <c r="J2196" s="25"/>
      <c r="K2196" s="25"/>
      <c r="L2196" s="24"/>
      <c r="M2196" s="24"/>
      <c r="N2196" s="24"/>
      <c r="O2196" s="24"/>
      <c r="P2196" s="24"/>
      <c r="Q2196" s="24"/>
      <c r="R2196" s="24"/>
      <c r="S2196" s="24"/>
      <c r="T2196" s="24"/>
      <c r="Z2196" s="25"/>
    </row>
    <row r="2197">
      <c r="A2197" s="16"/>
      <c r="B2197" s="2"/>
      <c r="C2197" s="24"/>
      <c r="D2197" s="25"/>
      <c r="E2197" s="24"/>
      <c r="F2197" s="25"/>
      <c r="G2197" s="24"/>
      <c r="H2197" s="25"/>
      <c r="I2197" s="24"/>
      <c r="J2197" s="25"/>
      <c r="K2197" s="25"/>
      <c r="L2197" s="24"/>
      <c r="M2197" s="24"/>
      <c r="N2197" s="24"/>
      <c r="O2197" s="24"/>
      <c r="P2197" s="24"/>
      <c r="Q2197" s="24"/>
      <c r="R2197" s="24"/>
      <c r="S2197" s="24"/>
      <c r="T2197" s="24"/>
      <c r="Z2197" s="25"/>
    </row>
    <row r="2198">
      <c r="A2198" s="16"/>
      <c r="B2198" s="2"/>
      <c r="C2198" s="24"/>
      <c r="D2198" s="25"/>
      <c r="E2198" s="24"/>
      <c r="F2198" s="25"/>
      <c r="G2198" s="24"/>
      <c r="H2198" s="25"/>
      <c r="I2198" s="24"/>
      <c r="J2198" s="25"/>
      <c r="K2198" s="25"/>
      <c r="L2198" s="24"/>
      <c r="M2198" s="24"/>
      <c r="N2198" s="24"/>
      <c r="O2198" s="24"/>
      <c r="P2198" s="24"/>
      <c r="Q2198" s="24"/>
      <c r="R2198" s="24"/>
      <c r="S2198" s="24"/>
      <c r="T2198" s="24"/>
      <c r="Z2198" s="25"/>
    </row>
    <row r="2199">
      <c r="A2199" s="16"/>
      <c r="B2199" s="2"/>
      <c r="C2199" s="24"/>
      <c r="D2199" s="25"/>
      <c r="E2199" s="24"/>
      <c r="F2199" s="25"/>
      <c r="G2199" s="24"/>
      <c r="H2199" s="25"/>
      <c r="I2199" s="24"/>
      <c r="J2199" s="25"/>
      <c r="K2199" s="25"/>
      <c r="L2199" s="24"/>
      <c r="M2199" s="24"/>
      <c r="N2199" s="24"/>
      <c r="O2199" s="24"/>
      <c r="P2199" s="24"/>
      <c r="Q2199" s="24"/>
      <c r="R2199" s="24"/>
      <c r="S2199" s="24"/>
      <c r="T2199" s="24"/>
      <c r="Z2199" s="25"/>
    </row>
    <row r="2200">
      <c r="A2200" s="16"/>
      <c r="B2200" s="2"/>
      <c r="C2200" s="24"/>
      <c r="D2200" s="25"/>
      <c r="E2200" s="24"/>
      <c r="F2200" s="25"/>
      <c r="G2200" s="24"/>
      <c r="H2200" s="25"/>
      <c r="I2200" s="24"/>
      <c r="J2200" s="25"/>
      <c r="K2200" s="25"/>
      <c r="L2200" s="24"/>
      <c r="M2200" s="24"/>
      <c r="N2200" s="24"/>
      <c r="O2200" s="24"/>
      <c r="P2200" s="24"/>
      <c r="Q2200" s="24"/>
      <c r="R2200" s="24"/>
      <c r="S2200" s="24"/>
      <c r="T2200" s="24"/>
      <c r="Z2200" s="25"/>
    </row>
    <row r="2201">
      <c r="A2201" s="16"/>
      <c r="B2201" s="2"/>
      <c r="C2201" s="24"/>
      <c r="D2201" s="25"/>
      <c r="E2201" s="24"/>
      <c r="F2201" s="25"/>
      <c r="G2201" s="24"/>
      <c r="H2201" s="25"/>
      <c r="I2201" s="24"/>
      <c r="J2201" s="25"/>
      <c r="K2201" s="25"/>
      <c r="L2201" s="24"/>
      <c r="M2201" s="24"/>
      <c r="N2201" s="24"/>
      <c r="O2201" s="24"/>
      <c r="P2201" s="24"/>
      <c r="Q2201" s="24"/>
      <c r="R2201" s="24"/>
      <c r="S2201" s="24"/>
      <c r="T2201" s="24"/>
      <c r="Z2201" s="25"/>
    </row>
  </sheetData>
  <drawing r:id="rId1"/>
</worksheet>
</file>